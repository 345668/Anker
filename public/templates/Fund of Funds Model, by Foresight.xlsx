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License" sheetId="2" r:id="rId5"/>
    <sheet state="visible" name="Get Started" sheetId="3" r:id="rId6"/>
    <sheet state="visible" name="Key Reports" sheetId="4" r:id="rId7"/>
    <sheet state="visible" name="Forecast" sheetId="5" r:id="rId8"/>
    <sheet state="visible" name="Resources" sheetId="6" r:id="rId9"/>
    <sheet state="visible" name="Model Comparison" sheetId="7" r:id="rId10"/>
    <sheet state="visible" name="Glossary" sheetId="8" r:id="rId11"/>
    <sheet state="visible" name="Changelog" sheetId="9" r:id="rId12"/>
  </sheets>
  <definedNames/>
  <calcPr/>
</workbook>
</file>

<file path=xl/sharedStrings.xml><?xml version="1.0" encoding="utf-8"?>
<sst xmlns="http://schemas.openxmlformats.org/spreadsheetml/2006/main" count="1384" uniqueCount="409">
  <si>
    <t>Fund of Funds Model, with Annual Forecast</t>
  </si>
  <si>
    <t>Copyright &amp; Contact</t>
  </si>
  <si>
    <t xml:space="preserve">This was created by Taylor Davidson (@tdavidson) of Foresight.
© 2023, Unstructured Ventures, LLC.
Questions, contact taylor@foresight.is or @tdavidson
</t>
  </si>
  <si>
    <t>License</t>
  </si>
  <si>
    <r>
      <rPr>
        <color rgb="FF000000"/>
      </rPr>
      <t xml:space="preserve">tl:dr; You can modify, edit, use, and share within your company (and with third-parties as needed to operate your business). You may not redistribute, resell, give away to others. </t>
    </r>
    <r>
      <rPr>
        <color rgb="FF1155CC"/>
        <u/>
      </rPr>
      <t xml:space="preserve">Full license.
</t>
    </r>
  </si>
  <si>
    <t>Goal</t>
  </si>
  <si>
    <r>
      <rPr/>
      <t xml:space="preserve">Simplified model for forecasting a fund investing in venture funds (fund-of-fund, or FoF), to help understand overall fund assumptions and how portfolio construction impacts returns. I've worked with countless founders building complicated models for fund construction - see </t>
    </r>
    <r>
      <rPr>
        <color rgb="FF1155CC"/>
        <u/>
      </rPr>
      <t>Venture Investor Model</t>
    </r>
    <r>
      <rPr/>
      <t xml:space="preserve"> for one - but want to create a model for fund of funds.</t>
    </r>
  </si>
  <si>
    <t>Copy to Google Sheets or Download to Excel</t>
  </si>
  <si>
    <r>
      <rPr/>
      <t xml:space="preserve">File &gt; Make a Copy to copy it to your own Google Drive, or File &gt; Download to download this to use in Excel or other spreadsheet programs. </t>
    </r>
    <r>
      <rPr>
        <color rgb="FF1155CC"/>
        <u/>
      </rPr>
      <t xml:space="preserve">See License for warranties and liabilities.
</t>
    </r>
  </si>
  <si>
    <t>Support</t>
  </si>
  <si>
    <r>
      <rPr/>
      <t xml:space="preserve">Questions, happy to assist, contact anytime. More details on how I provide support: </t>
    </r>
    <r>
      <rPr>
        <color rgb="FF1155CC"/>
        <u/>
      </rPr>
      <t xml:space="preserve">https://foresight.is/learn/support
</t>
    </r>
  </si>
  <si>
    <t>Missing a feature you need?</t>
  </si>
  <si>
    <r>
      <rPr/>
      <t xml:space="preserve">Check out the </t>
    </r>
    <r>
      <rPr>
        <color rgb="FF1155CC"/>
        <u/>
      </rPr>
      <t>Resources</t>
    </r>
    <r>
      <rPr/>
      <t xml:space="preserve"> for other resources for modeling venture funds, and check out Foresight's </t>
    </r>
    <r>
      <rPr>
        <color rgb="FF1155CC"/>
        <u/>
      </rPr>
      <t>Venture Investor Model</t>
    </r>
    <r>
      <rPr/>
      <t xml:space="preserve"> for a more detailed fund model with financial statements, management company budgeting, and more.
</t>
    </r>
  </si>
  <si>
    <t>Quickstart</t>
  </si>
  <si>
    <t xml:space="preserve">Input fund structural assumptions on Get Started sheet, then review the Key Reports and Forecast sheet to see the key outputs.
</t>
  </si>
  <si>
    <t>Video Overview</t>
  </si>
  <si>
    <t>https://www.loom.com/share/abc1eec8e3dc4066bd8ab59ab69886b3</t>
  </si>
  <si>
    <t>Outline</t>
  </si>
  <si>
    <t>README</t>
  </si>
  <si>
    <t>Contact into, overview on model. Safe to delete or hide.</t>
  </si>
  <si>
    <t xml:space="preserve">   Formatting and Colors Overview</t>
  </si>
  <si>
    <t>Details on what the colors and formatting in the model mean. https://foresight.is/learn/colors-and-formatting</t>
  </si>
  <si>
    <t>Terms of use of the model. Safe to delete or hide. https://foresight.is/license</t>
  </si>
  <si>
    <t>Get Started</t>
  </si>
  <si>
    <t>Core assumptions for the fund. Do not delete, safe to hide.</t>
  </si>
  <si>
    <t xml:space="preserve">   Capital and Fund Assumptions</t>
  </si>
  <si>
    <t>Video overview at https://www.loom.com/share/d73a5dca6f1c47df9cfdb048aa147f9d</t>
  </si>
  <si>
    <t xml:space="preserve">   Portfolio Construction </t>
  </si>
  <si>
    <t>Assumptions related to the funds being invested in, their cost structure, and return profile.</t>
  </si>
  <si>
    <t xml:space="preserve">   Fund Performance</t>
  </si>
  <si>
    <t>Overall performance returns for the fund of funds.</t>
  </si>
  <si>
    <t>Key Reports</t>
  </si>
  <si>
    <t>Key charts to summarize the model. Safe to delete or hide.</t>
  </si>
  <si>
    <t>Forecast</t>
  </si>
  <si>
    <t>The core calculations to forecast the operations of the fund. The core of the model.</t>
  </si>
  <si>
    <t>Resources</t>
  </si>
  <si>
    <t>Links to other models and resources for modeling venture capital funds and investments, from around the web. Safe to delete or hide.</t>
  </si>
  <si>
    <t>Model Comparison</t>
  </si>
  <si>
    <t>Detailed feature comparison of the range of Foresight models for venture investors</t>
  </si>
  <si>
    <t>Glossary</t>
  </si>
  <si>
    <t>Glossary of key terminology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</si>
  <si>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</si>
  <si>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</si>
  <si>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</si>
  <si>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</si>
  <si>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</si>
  <si>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</si>
  <si>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</si>
  <si>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</si>
  <si>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</si>
  <si>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</si>
  <si>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</si>
  <si>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</si>
  <si>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</si>
  <si>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</si>
  <si>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</si>
  <si>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</si>
  <si>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</si>
  <si>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</si>
  <si>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</si>
  <si>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</si>
  <si>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</si>
  <si>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</si>
  <si>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</si>
  <si>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Key model assumptions.</t>
  </si>
  <si>
    <t>Capital and Fund Assumptions</t>
  </si>
  <si>
    <t>Capital, Management Fees, base Fund Assumptions</t>
  </si>
  <si>
    <t>Detail</t>
  </si>
  <si>
    <t>Unit</t>
  </si>
  <si>
    <t>Assumption</t>
  </si>
  <si>
    <t>Notes</t>
  </si>
  <si>
    <t>Total Commited Capital (Fund Size)</t>
  </si>
  <si>
    <t>$</t>
  </si>
  <si>
    <t>Fund size. By default, assumes all committed capital is closed at the start. Can adjust that by modifying the committed capital on Forecast sheet.</t>
  </si>
  <si>
    <t>GP Commit, as % of committed capital</t>
  </si>
  <si>
    <t>%</t>
  </si>
  <si>
    <t>GP commit is treated as an LP interest for purposes of calculating mangement fees and carried interest. see glossary for additional details</t>
  </si>
  <si>
    <t>Organizational Expenses (one time)</t>
  </si>
  <si>
    <t>paid by fund, in addition to management fees</t>
  </si>
  <si>
    <t>Operational Expenses (annual)</t>
  </si>
  <si>
    <t>Management Fees, per year, as % of committed capital</t>
  </si>
  <si>
    <t>model works for management fees based on called and committed capital (can be edited for fee structures based on assets under management). if you have a management fee structure that steps down over time, you can edit the management fees directly on the Forecast sheet.</t>
  </si>
  <si>
    <t>Management Fees Recycled</t>
  </si>
  <si>
    <t>recycling proceeds, as a % of management fees</t>
  </si>
  <si>
    <t>Carry</t>
  </si>
  <si>
    <t>carry is the % of gains that are paid to the managers of the fund. part of the commonly cited "2 and 20" fees structure for funds</t>
  </si>
  <si>
    <t>Number of years making commitments to funds (years)</t>
  </si>
  <si>
    <t>#</t>
  </si>
  <si>
    <t>time period to make new commitments to funds</t>
  </si>
  <si>
    <t>Fund of Fund Management Fees time period (years)</t>
  </si>
  <si>
    <t>time period used for assuming management fees, tied to the fund duration and not including the fund extension period, if applicable</t>
  </si>
  <si>
    <t>Fund of Fund Operations time period (years)</t>
  </si>
  <si>
    <t>time period used for assuming operational expenses, which is calculated from the new invesetment and exit timeframes, to cover the periods the fund incurrs operational expenses. you can override the calculated period if desired.</t>
  </si>
  <si>
    <t>Portfolio Construction</t>
  </si>
  <si>
    <t>Baseline assumptions for the average investment into a fund, and the baseline expectations for a fund</t>
  </si>
  <si>
    <t>Fund Expenses</t>
  </si>
  <si>
    <t>LP Investment</t>
  </si>
  <si>
    <t>Total Fund</t>
  </si>
  <si>
    <t>Input the average fund size investing into, and the LP position taken in the fund</t>
  </si>
  <si>
    <t>Assume zero, as we are modeling the performance of the underlying fund, but only for the capital invested by the LP, of which there is no GP commit per the LP's investment</t>
  </si>
  <si>
    <t>Assume the total fund, then the model calculates the prorata - based on portion of the fund invested in - to use across the fund</t>
  </si>
  <si>
    <t>Structurally assumes the LP's stake modeled here has the same terms as all other LPs. Possible to adjust to reflect different terms, if needed, contact taylor@foresight.is</t>
  </si>
  <si>
    <t>Investment Allocation Detail</t>
  </si>
  <si>
    <t>New</t>
  </si>
  <si>
    <t>Follow</t>
  </si>
  <si>
    <t>% Allocation of Invested Capital</t>
  </si>
  <si>
    <t>Allocation of overall invested capital to new and follow, for this example fund</t>
  </si>
  <si>
    <t>Average Check Size</t>
  </si>
  <si>
    <r>
      <rPr/>
      <t xml:space="preserve">Follow ons are assumed to be on average 1-2 years after the new investment. If more detailed required, consider the Venture Investor Model (see </t>
    </r>
    <r>
      <rPr>
        <color rgb="FF1155CC"/>
        <u/>
      </rPr>
      <t>Model Comparison sheet</t>
    </r>
    <r>
      <rPr/>
      <t>)</t>
    </r>
  </si>
  <si>
    <t>Investment time period (years)</t>
  </si>
  <si>
    <t>time period for new investments (follow ons by default assumed to come over time)</t>
  </si>
  <si>
    <t>Management Fees time period (years)</t>
  </si>
  <si>
    <t>Fund Operations time period (years)</t>
  </si>
  <si>
    <t>Invested Capital</t>
  </si>
  <si>
    <t>total for the average fund being modeled</t>
  </si>
  <si>
    <t>Type of Exit</t>
  </si>
  <si>
    <t>% of Investments</t>
  </si>
  <si>
    <t># of Investments</t>
  </si>
  <si>
    <t>Average Gross Exit Multiple</t>
  </si>
  <si>
    <t>Average Hold Period (years)</t>
  </si>
  <si>
    <t>% of Total Proceeds</t>
  </si>
  <si>
    <t>Type of Exit can be defined in a few ways: by returns (writeoffs, small, medium, large), by strategy (Seed, A, B, etc.), by investment strategy (early, late, growth), or industry strategy (tech, energy, etc.)</t>
  </si>
  <si>
    <t>Writeoff</t>
  </si>
  <si>
    <t>#, %</t>
  </si>
  <si>
    <t>Average Hold Period is the average time from initial investment to exit, per # of investments</t>
  </si>
  <si>
    <t>Small</t>
  </si>
  <si>
    <t>Ownership at initial investment is assumed to be same across all types of investments</t>
  </si>
  <si>
    <t>Medium</t>
  </si>
  <si>
    <t>% of Total Follow on is an assumption to help assume how your total follow on capital is allocated across types of invesetments. You could make it equal across all types, or weight your follow ons differently to show larger investments into certain types of investments.</t>
  </si>
  <si>
    <t>Large</t>
  </si>
  <si>
    <r>
      <rPr/>
      <t xml:space="preserve">Ownership % at exit an assumption, which you will need to make based on your investment strategy and expectation of how many rounds of capital a company will need to raise. This is a simplified way to do what can be a complicated thing, to do this in more detail consider the Venture Investor Model (see link in </t>
    </r>
    <r>
      <rPr>
        <color rgb="FF1155CC"/>
        <u/>
      </rPr>
      <t>Model Comparison sheet</t>
    </r>
    <r>
      <rPr/>
      <t>), which has a full detailed Portfolio Construction option.</t>
    </r>
  </si>
  <si>
    <t>Average</t>
  </si>
  <si>
    <t>Can adjust this structure to add additional lines, just note will need to make a few edits on Forecast sheet.</t>
  </si>
  <si>
    <t>Fund of Funds Performance</t>
  </si>
  <si>
    <t>Performance summary</t>
  </si>
  <si>
    <t>Called Capital (also called Paid in Capital)</t>
  </si>
  <si>
    <t>note, if using assets under management for management fees and not recycling capital, called capital may deviate from committed capital due to the difficulties in estimating expenses and budget for invested capital when expenses are unknown. this new feature was introduced in Dec 2024, the past versions used circular references to calculate it exactly, and the model can be modified to use that instead.</t>
  </si>
  <si>
    <t>Management Fees and Fund Expenses</t>
  </si>
  <si>
    <t>Recycled Fees</t>
  </si>
  <si>
    <t>different method used if any of the periods in the fund life uses a base for calculating management fees other than committed capital</t>
  </si>
  <si>
    <t>Proceeds</t>
  </si>
  <si>
    <t>Carried Interest</t>
  </si>
  <si>
    <t>Distributions</t>
  </si>
  <si>
    <t>Gross Multiple</t>
  </si>
  <si>
    <t>Proceeds / Invested Capital, for the fund of funds</t>
  </si>
  <si>
    <t>Net Multiple</t>
  </si>
  <si>
    <t>Distributions / Paid in Capital, for the fund of funds</t>
  </si>
  <si>
    <t>Gross IRR</t>
  </si>
  <si>
    <t>net cash flows per period, based on proceeds and invested capital, for the fund of funds</t>
  </si>
  <si>
    <t>Net IRR</t>
  </si>
  <si>
    <t>net cash flows per period, based on distributions and paid in capital, for the fund of funds</t>
  </si>
  <si>
    <t># of Funds Invested in</t>
  </si>
  <si>
    <t>reporting out the number of funds. invested capital into funds / average LP commitment</t>
  </si>
  <si>
    <t>Average Fund Performance</t>
  </si>
  <si>
    <t>calculated from the performance of the invested capital by the fund of funds and the performance of the average fund</t>
  </si>
  <si>
    <t>Annual Forecast</t>
  </si>
  <si>
    <t>Relative Year</t>
  </si>
  <si>
    <t>Date at end of period</t>
  </si>
  <si>
    <t>Triggers</t>
  </si>
  <si>
    <t>FoF Investment time period (years)</t>
  </si>
  <si>
    <t>period for making new investments only</t>
  </si>
  <si>
    <t>sum</t>
  </si>
  <si>
    <t>FoF Management Fees time period (years)</t>
  </si>
  <si>
    <r>
      <rPr/>
      <t xml:space="preserve">see FAST Standard for how to use triggers: </t>
    </r>
    <r>
      <rPr>
        <color rgb="FF1155CC"/>
        <u/>
      </rPr>
      <t>https://foresight.is/learn/fast-standard</t>
    </r>
  </si>
  <si>
    <t>FoF Operations time period (years)</t>
  </si>
  <si>
    <t>Inputs</t>
  </si>
  <si>
    <t>Management Fees</t>
  </si>
  <si>
    <t>committed</t>
  </si>
  <si>
    <t>GP Commit, excluded from LP capital. By default, GP commit is treated as an LP interest. Check the box to have the GP commit not treated as an LP investment. This will affect management fees (management fees will not be charged on the GP commit if it's not an LP interest, and it will change the waterfall so that GPs only get carried interest, and not carried interest + their share of distributions as an LP)</t>
  </si>
  <si>
    <t>GP Commit, excluded from management fees. Check the box to have the GP commit - capital contributed by the GP as LP capital and an ownership in the fund - excluded from calculation of management fees</t>
  </si>
  <si>
    <t>Capital, beginning of period</t>
  </si>
  <si>
    <t>initial</t>
  </si>
  <si>
    <t>Called Capital</t>
  </si>
  <si>
    <t>Distributions + Carried Interest</t>
  </si>
  <si>
    <t>Fees</t>
  </si>
  <si>
    <t>Investments</t>
  </si>
  <si>
    <t>Capital, end of period</t>
  </si>
  <si>
    <t>final</t>
  </si>
  <si>
    <t>Committed Capital</t>
  </si>
  <si>
    <t>New Investments</t>
  </si>
  <si>
    <t>Prorata Opportunities</t>
  </si>
  <si>
    <t>Follow on Investments</t>
  </si>
  <si>
    <t>Total Investments, by cohort of New Investments</t>
  </si>
  <si>
    <t>Total Investments</t>
  </si>
  <si>
    <t>Organizational Expenses</t>
  </si>
  <si>
    <t>Operational Expenses</t>
  </si>
  <si>
    <t>Preferred Return</t>
  </si>
  <si>
    <t>GP Catchup</t>
  </si>
  <si>
    <t>Writeoffs</t>
  </si>
  <si>
    <t>Invested Capital Exited</t>
  </si>
  <si>
    <t>value of the original capital invested, that exits (proceeds &gt; 0)</t>
  </si>
  <si>
    <t>Change in Invested Capital</t>
  </si>
  <si>
    <t>value of the original capital invested. goes up when investments are made, down when investments are written off, and down when investments exit. using the net return from the funds in the calcs to estimate.</t>
  </si>
  <si>
    <t>Change in Unrealized Gain (Loss)</t>
  </si>
  <si>
    <t>using the udnerlying unrealized gains from the funds, and adjusting it by subtracting out carry. an estimate, likely a little low.</t>
  </si>
  <si>
    <t>Change in Residual Value</t>
  </si>
  <si>
    <t>change in invested capital + change in residual value</t>
  </si>
  <si>
    <t>Committed Capital from LPs</t>
  </si>
  <si>
    <t>Called Capital from LPs</t>
  </si>
  <si>
    <t>Distributions to LPs</t>
  </si>
  <si>
    <t>Distributions to GPs</t>
  </si>
  <si>
    <t>equal to residual value at end of period. also known as net asset value</t>
  </si>
  <si>
    <t>Paid in Capital (PIC)</t>
  </si>
  <si>
    <t>Residual Value to Paid in Capital (RVPI)</t>
  </si>
  <si>
    <t>Distributed Value to Paid in Capital (DVPI)</t>
  </si>
  <si>
    <t>Total Value to Paid in Capital (TVPI)</t>
  </si>
  <si>
    <t>Exposure, as % of Total Committed Capital</t>
  </si>
  <si>
    <t>idea from https://blog.newfundcap.com/vc-calculator/</t>
  </si>
  <si>
    <t>max</t>
  </si>
  <si>
    <t>Net (Investments) Proceeds</t>
  </si>
  <si>
    <t>Net (Called Capital) Distributions</t>
  </si>
  <si>
    <t>Interim Net IRR</t>
  </si>
  <si>
    <t>will differ from net IRR simply because of difference in using XIRR and IRR and how they handle dates differently</t>
  </si>
  <si>
    <t>Waterfall</t>
  </si>
  <si>
    <t>Proceeds to Distribute</t>
  </si>
  <si>
    <t>proceeds less recycled capital</t>
  </si>
  <si>
    <t>Return of Capital</t>
  </si>
  <si>
    <t>invested capital returned through distributions in this period</t>
  </si>
  <si>
    <t>Cumulative Return of Capital</t>
  </si>
  <si>
    <t>cumulative return of invested capital. This will calculate back to the total forecasted invested capital, not the amount invested to date</t>
  </si>
  <si>
    <t>Cumulative Capital not returned</t>
  </si>
  <si>
    <t>this will turn to 0 when all invested capital is returned to investor. Since this is based on total invested capital in the investment period - not the investment to date - this may turn zero when the fund has returned capital before it has all been called. Questions about this, just email help@foresight.is</t>
  </si>
  <si>
    <t>Proceeds applicable for Carry</t>
  </si>
  <si>
    <t>by default carry is paid once capital is returned. see model comparison for more detailed models with features for more complexity for these calcs</t>
  </si>
  <si>
    <t>proceeds applicable for carry * carry %.</t>
  </si>
  <si>
    <t>Detail for Charts</t>
  </si>
  <si>
    <t>Investments in Funds</t>
  </si>
  <si>
    <t>creates a cohort-based analysis of all funds started in each year, based on new fund commitments per year</t>
  </si>
  <si>
    <t>New Fund Commitments, per period</t>
  </si>
  <si>
    <t>Number of New Fund Commitments, per period</t>
  </si>
  <si>
    <t>Invested Capital, per annual cohort of fund commitments</t>
  </si>
  <si>
    <t>Management Fees, average over total fund operations period</t>
  </si>
  <si>
    <t>Management Fees, based on committed, called, or assets under management</t>
  </si>
  <si>
    <t>not included. if needed, contact taylor@foresight.is for edits</t>
  </si>
  <si>
    <t>Cumulative Committed Capital from LPs</t>
  </si>
  <si>
    <t>Cumulative Change in Invested Capital, from LPs</t>
  </si>
  <si>
    <t>Cumulative Management Fees</t>
  </si>
  <si>
    <t>Cumulative Management Fees Recycled</t>
  </si>
  <si>
    <t>Gross IRR and Net Multiple</t>
  </si>
  <si>
    <t>Resources and Templates</t>
  </si>
  <si>
    <t>Every tool and template has its own rationale and goals, almost all share the same goal, to help emerging managers and entrepreneurs understand how the economics for venture funds work.</t>
  </si>
  <si>
    <t>Name</t>
  </si>
  <si>
    <t>Key Attributes</t>
  </si>
  <si>
    <t>Link</t>
  </si>
  <si>
    <t>How to Model a Venture Capital Fund</t>
  </si>
  <si>
    <t>Post detailing how to model a venture capital fund, detailing all the components, methods, considerations, and links to template models to review</t>
  </si>
  <si>
    <t>https://openvc.app/blog/how-to-model-a-venture-capital-fund</t>
  </si>
  <si>
    <t>Portfolio Construction for Dummies, by Hadley Harris (Eniac Ventures)</t>
  </si>
  <si>
    <t>Free Excel and Google Sheets Model and explanations on how to model a venture fund</t>
  </si>
  <si>
    <t>https://eniacvc.medium.com/seed-fund-portfolio-construction-for-dummies-9ec5b4d152dc</t>
  </si>
  <si>
    <t>Tactyc Venture Manager</t>
  </si>
  <si>
    <t>Web app to build, manage and strategize venture portfolio models</t>
  </si>
  <si>
    <t>https://vc.tactyc.io/</t>
  </si>
  <si>
    <t>Venture Fund Model, by Craig Thomas</t>
  </si>
  <si>
    <t>Free model in Causal for modeling portfolio construction</t>
  </si>
  <si>
    <t>https://my.causal.app/models/7140</t>
  </si>
  <si>
    <t>Open Source Venture Model (V1), by Sam Gerstenzang</t>
  </si>
  <si>
    <t>Google Sheet, open source, helpful for understanding how follow-on dynamics work in modeling and planning for reserves.</t>
  </si>
  <si>
    <t>https://medium.com/@gerstenzang/open-source-venture-model-osvm-v1-55bebf3eda9</t>
  </si>
  <si>
    <t>Airstream Alpha</t>
  </si>
  <si>
    <t>Fund budget template from a fund CFO firm (submit email to access)</t>
  </si>
  <si>
    <t>https://airstreamalpha.com/financial-model/</t>
  </si>
  <si>
    <t>Venture Capital Starter Model, by Foresight</t>
  </si>
  <si>
    <t>Free Google Sheet (can download to Excel) for forecasting a venture fund, including basic fund performance metrics. Calculates at an overall portfolio level (does not model cashflows over time)</t>
  </si>
  <si>
    <t>https://foresight.is/vc</t>
  </si>
  <si>
    <t>Simple, free model in Causal to show overall returns based on fund size, follow-on reserves, and fees.</t>
  </si>
  <si>
    <t>Venture Capital Model, Annual Forecast, by Foresight</t>
  </si>
  <si>
    <t>Free Google Sheet (can download to Excel) for forecasting a venture fund, including all fund performance metrics, showing annual cashflows over time.</t>
  </si>
  <si>
    <t>Venture Capital Model, Annual Forecast, by Foresight (Causal)</t>
  </si>
  <si>
    <t>Free Causal model for forecasting a venture fund, including all fund performance metrics, showing annual cashflows over time.</t>
  </si>
  <si>
    <t>Venture Fund Model, Quarterly Forecast,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</si>
  <si>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t>
  </si>
  <si>
    <t>https://foresight.is/venture-fund-model</t>
  </si>
  <si>
    <t>Venture Fund Model, Quarterly, with Tracking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</si>
  <si>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 Adds in tracking to track actual investments, compare budgeted investment pacing and performance to actuals, and create rolling forecasts.</t>
  </si>
  <si>
    <t>Venture Portfolio Construction, by Foresight</t>
  </si>
  <si>
    <t>Free Google Sheet (can download to Excel) to help understand portfolio construction.</t>
  </si>
  <si>
    <t>Contact taylor@foresight.is</t>
  </si>
  <si>
    <t>Angel and Solo GP Portfolio Tracking, by Foresight</t>
  </si>
  <si>
    <t>Free Google Sheet (can download to Excel) for angel investors to track and report performance metrics</t>
  </si>
  <si>
    <t>https://foresight.is/venture-portfolio-model</t>
  </si>
  <si>
    <t>Rolling Fund Template, by Foresight</t>
  </si>
  <si>
    <t>Free Google Sheet (can download to Excel) for budgeting capital, fees and investments for Angellist rolling funds</t>
  </si>
  <si>
    <t>https://www.angellist.com/blog/rolling-fund-budget</t>
  </si>
  <si>
    <t>Cap Table and Exit Waterfall Tool, by Foresight</t>
  </si>
  <si>
    <t xml:space="preserve">Free Excel Model (can upload to Google Sheets) to create a cap table through multiple rounds of investments, and forecast how investment rounds impact ownership, dilution, valuations, and distribution of proceeds to entrepreneurs and investors through a detailed exit waterfall. </t>
  </si>
  <si>
    <t>https://foresight.is/cap-table</t>
  </si>
  <si>
    <t>Venture Valuation Tool, by Foresight</t>
  </si>
  <si>
    <t>Free Excel Model (can upload to Google Sheets), useful for evaluating a specific investment, projected dilution, returns to shareholders participating in each round of investment</t>
  </si>
  <si>
    <t>https://foresight.is/learn/venture-valuation</t>
  </si>
  <si>
    <t>VC Fund Performance Calculator, by Angellist</t>
  </si>
  <si>
    <t>Percentile scores of venture funds across vintage years by combining performance data from hundreds of recent venture capital funds.</t>
  </si>
  <si>
    <t>https://angel.co/v/venture/calculator</t>
  </si>
  <si>
    <t>Venture Fund Economics, by Fred Wilson</t>
  </si>
  <si>
    <t>An outline of fund economics, with examples based on USV</t>
  </si>
  <si>
    <t>https://avc.com/2008/08/venture-fund-1/</t>
  </si>
  <si>
    <t>Venture Capital Method (Valuation)</t>
  </si>
  <si>
    <t>Examples of how to use the Venture Capital Method for valuation, free Google Sheets</t>
  </si>
  <si>
    <t>https://vcmethod.com/</t>
  </si>
  <si>
    <t>Foresight Template Comparison</t>
  </si>
  <si>
    <t>I offer a range of templates for venture funds and angels. Here's a breakdown of the models and how they compare.</t>
  </si>
  <si>
    <t>Template</t>
  </si>
  <si>
    <t>Software</t>
  </si>
  <si>
    <t>Price</t>
  </si>
  <si>
    <t>Overall Portfolio Forecast</t>
  </si>
  <si>
    <t>Annual Portfolio Forecast</t>
  </si>
  <si>
    <t>Quarterly Portfolio Forecast</t>
  </si>
  <si>
    <t>Fund Performance Metrics</t>
  </si>
  <si>
    <t>Financial Statements</t>
  </si>
  <si>
    <t>Track Actual Investments</t>
  </si>
  <si>
    <t>Budget v. Actuals, and rolling Forecast</t>
  </si>
  <si>
    <t>Multi-tiered Carried Interest</t>
  </si>
  <si>
    <t>Preferred Return (and GP Catchup)</t>
  </si>
  <si>
    <t>Rolling Funds</t>
  </si>
  <si>
    <t>Individual Investment Evaluation</t>
  </si>
  <si>
    <t>Management Company Budgeting</t>
  </si>
  <si>
    <t>Fund-of-Funds</t>
  </si>
  <si>
    <t>Venture Capital Model, Overall Portfolio, by Foresight</t>
  </si>
  <si>
    <t>https://foresight.is/venture-fund-model-overall/</t>
  </si>
  <si>
    <t>Google Sheets, download to Excel, Causal</t>
  </si>
  <si>
    <t>Free</t>
  </si>
  <si>
    <t>https://foresight.is/venture-fund-model-annual/</t>
  </si>
  <si>
    <t>Venture Capital Model, Annual forecast using Portfolio Model, by Foresight</t>
  </si>
  <si>
    <t>https://foresight.is/venture-fund-model-portfolio/</t>
  </si>
  <si>
    <t>Google Sheets, download to Excel</t>
  </si>
  <si>
    <t>Venture Capital Model, Annual Forecast, Intermediate Portfolio Construction</t>
  </si>
  <si>
    <t>https://foresight.is/venture-fund-model-detailed/</t>
  </si>
  <si>
    <t>$74 USD</t>
  </si>
  <si>
    <t>Venture Fund Model, Quarterly, by Foresight</t>
  </si>
  <si>
    <t>$349 USD</t>
  </si>
  <si>
    <t>https://foresight.is/venture-fund-model-tracking/</t>
  </si>
  <si>
    <t>$479 USD</t>
  </si>
  <si>
    <t>Angel and Venture Fund Portfolio Tracking, by Foresight</t>
  </si>
  <si>
    <t>https://foresight.is/venture-portfolio-model/</t>
  </si>
  <si>
    <t>https://foresight.is/rolling-fund-template/</t>
  </si>
  <si>
    <t>Excel, upload to Google Sheets</t>
  </si>
  <si>
    <t>https://foresight.is/venture-valuation-tool/</t>
  </si>
  <si>
    <t>Runway and Cash Budget Tool</t>
  </si>
  <si>
    <t>https://foresight.is/runway-cash-forecasting</t>
  </si>
  <si>
    <t>Custom Services</t>
  </si>
  <si>
    <t>Customization, edits to models, and custom services in Excel, Google Sheets, Causal</t>
  </si>
  <si>
    <t>Quote</t>
  </si>
  <si>
    <t>Key venture terms and metrics used in this model. For more, http://www.allenlatta.com/glossary-of-private-equity-terms.html is a good resource</t>
  </si>
  <si>
    <t>Term</t>
  </si>
  <si>
    <t>Definition</t>
  </si>
  <si>
    <t>Limited Partner</t>
  </si>
  <si>
    <t>Part-owner of a company whose liability for the firm's debts cannot exceed the amount that an individual invested in the company. In VC, the investors in the fund. https://www.investopedia.com/terms/l/limited-partner.asp</t>
  </si>
  <si>
    <t>General Partner</t>
  </si>
  <si>
    <t>A general partner is one of two or more investors who jointly own a business that is structured as a partnership, and who assumes a day-to-day role in managing it. In venture capital, often the management company or the owners and managers of the management company. https://www.investopedia.com/terms/g/generalpartner.asp</t>
  </si>
  <si>
    <t>Rolling Fund</t>
  </si>
  <si>
    <t>A newer fund structure created where each quarter is its own "fund" for reporting purposes, so that new limited partners can be accepted into the fund at every quarter. See https://www.angellist.com/blog/rolling-fund-budget for budgeting for rolling funds and more details on the structure</t>
  </si>
  <si>
    <t>Evergreen Fund</t>
  </si>
  <si>
    <t>Fund structure where proceeds are continually recycled, and typically limited partners can invest and divest regularly throughout the fund's life. (This model does not fit an evergreen structure.)</t>
  </si>
  <si>
    <t>Also known as total fund size. Total capital committed to the fund. May vary over a fund's lifetime if the fund is holding multiple closes.</t>
  </si>
  <si>
    <t>Capital called from limited partners. Used to pay fund expenses and invest in companies. Once all capital is called, total called capital will equal committed capital.</t>
  </si>
  <si>
    <t>GP Commit</t>
  </si>
  <si>
    <t>% of total called capital that is required to be contributed by the general partners of the fund. May be funded through management fees if limited partners allow in fund operating agreements.</t>
  </si>
  <si>
    <t>Expenses occured in creating a fund entity, which can often be charged to the fund (in addition to management fees)</t>
  </si>
  <si>
    <t>Expenses occured in operating a fund, which can often be charged to the fund (in addition to management fees). Can include fund administration, fund tax reporting, legal costs in working on investment opportunities, and more.</t>
  </si>
  <si>
    <t>Fees charged by the management company operating the fund to the fund. They are revenues to the management company, and used to pay expenses such as salaries, insurance, marketing, operating costs, and more.</t>
  </si>
  <si>
    <t>Many funds will recycle their management fees, meaning they reinvest early proceeds back into new investments. The rationale is that it allows the management company to invest more capital from the same fund size and improve returns. Recycling all fees into new investments can be difficult to do, based on the timeframe for new investments and the timing of when proceeds happen. Budgeting a schedule of invested capital for management fee recycling can be difficult. Many funds will target higher recycling earlier (&gt;100%) knowing they will not be able to recycle all management fees into new investments later in period, or to be more aggressive in redeploying capital/.</t>
  </si>
  <si>
    <t>Proceeds received from the sale of investments. Proceeds may be distributed to investors in the fund, recycled into new investments, or retained to distribute at a later time. Thus, proceeds are calculated separately from distributions.</t>
  </si>
  <si>
    <t>Common in private equity, common in non-US venture capital, very rare in US venture capital. Also known as a hurdle rate, a rate of return promised to limited partners before carry is paid to general partners.</t>
  </si>
  <si>
    <t>Many funds that have a preferred return provide the ability to the General Partners to "catch-up" on the carry they would have earned on the preferred return that was first paid to limited partners.</t>
  </si>
  <si>
    <t>Also called "carry', the percentage of gains (proceeds less paid in capital) from investments that are paid to the managers of the fund.</t>
  </si>
  <si>
    <t>European Waterfall</t>
  </si>
  <si>
    <t>Also known as "total fund carry". Default assumption for US venture capital, and this model, which calculates carry on a total fund basis, so that carry is not paid until the entire fund earns a return</t>
  </si>
  <si>
    <t>American Waterfall</t>
  </si>
  <si>
    <t>Also known as "deal by deal carry". Rare in US venture capital, occurs in non-US venture capital, common in private equity. Carry is paid on a deal-by-deal basis, rather than a total fund. The effect is that carry is often paid earlier in a fund's lifecycle. Often comes with clawback provisions.</t>
  </si>
  <si>
    <t>Clawback</t>
  </si>
  <si>
    <t>Provisions in fund operating agreements for funds with American Waterfalls</t>
  </si>
  <si>
    <t>Distributions to investors in the fund. This is net of carried interest paid to the managers of the fund. Distributions = Proceeds less carried interest less recycled capital less retained proceeds, it captures the actual cash disbursed to investors in the fund.</t>
  </si>
  <si>
    <t>Investments that are written off from companies going out of business. Estimated using the portfolio construction sheet.</t>
  </si>
  <si>
    <t>value of the original capital invested. goes up when investments are made, down when investments are written off, and down when investments exit</t>
  </si>
  <si>
    <t>simplified calc in this model. one way to do this is to take the gross IRR from exits to back into an estimate of markups and changes in valuations overtime, smoothing those unrealized gains over time. in reality, unrealized gains would be tied to changes in the value of the underlying investments and far spikier in terms of how much and when they occur. unrealized gains go down over time as they are realized, so unrealized gains over a fund's life should equal zero. this model uses the portfolio construction markups and exits to estimate the changes over time, so it attempts to more closely reflect the spikiness from the portfolio construction assumptions.</t>
  </si>
  <si>
    <t>equivalent to called capital</t>
  </si>
  <si>
    <t>Ratio of Residual Value to Paid in Capital.</t>
  </si>
  <si>
    <t>Ratio of cumulative distributions to paid in capital</t>
  </si>
  <si>
    <t>Ratio of (residual value remaining in portfolio + realized distributions) to paid in capital</t>
  </si>
  <si>
    <t>Gross cash flows per period, used to calculate gross IRRs</t>
  </si>
  <si>
    <t>Cumulative proceeds divided by cumulative invested capital, at the end of each period. Used to reflect the performance of the fund's investments.</t>
  </si>
  <si>
    <t>IRR (internal rate of return) of the investments and proceeds</t>
  </si>
  <si>
    <t>Net cash flows per period, used to calculate net IRRs</t>
  </si>
  <si>
    <t>Cumulative distributions divided by cumulative paid in capital, at the end of each period. Used to reflect the cash on cash performance of the fund, including the effect of the fund's expenses on returns.</t>
  </si>
  <si>
    <t>IRR (internatl rate of return) of paid in capital and distributions.</t>
  </si>
  <si>
    <t>Interim IRRs reflect a rate of return that includes the unrealized value of the existing investments in the portfolio. Good read:http://www.allenlatta.com/allens-blog/lp-corner-fund-performance-metrics-internal-rate-of-return-irr-part-two</t>
  </si>
  <si>
    <t>J Curve</t>
  </si>
  <si>
    <t>Created by charting Interim IRR over the fund's life. Venture capital funds typically show negative IRRs early inthe fund's life, as the residual value is less than the paid in capital (from taking out fees, and since investments often have not received markups), then increase over time as exits occur and the portfolio is marked up from investments increasing in value. http://www.allenlatta.com/allens-blog/lp-corner-the-j-curve</t>
  </si>
  <si>
    <t>Pro rata</t>
  </si>
  <si>
    <t>Potential investment amount in a new investment round offered to an pre-existing investor, often an amount that allows them to maintain their ownership position. Managers should have a strategy about how to handle pro rata investment opportunities, as well as a point of view on pro rata investment rights and their desire and ability to secure pro rata rights in investments.</t>
  </si>
  <si>
    <t>Here's what has changed.</t>
  </si>
  <si>
    <t>Version</t>
  </si>
  <si>
    <t>Date</t>
  </si>
  <si>
    <t>v4.1.7</t>
  </si>
  <si>
    <t>Edited Get Started and Forecast to apply the edit from v4.1.6 to the underlying funds.
Edited Get Started and Forecast to build new way to forecast operational expenses. Previously model assumed operational fees were not charged to the fund in the extension period, after the initial fund operations period, if the fund was not yet exited out of all investments. Now by default it does estimate that period and use that for budgeting for operational expenses.</t>
  </si>
  <si>
    <t>v4.1.6</t>
  </si>
  <si>
    <t>Edited Get Started to create new calculation of invested capital if using assets under management as the base for any period in calculating management fees. Previously the model relied on circular references to calculate fees and create a schedule of called capital, but that method sometimes failed to work reliably because of how iterative calculations work to resolve circulars (context on circulars, https://foresight.is/circulars ). Now, if the model observes any option other than committed capital used, it will alter the estimate of invested capital so that it does not create a circular. The trade-off is that the model will not result in called capital = committed capital if you are not recycling 100% of management fees, due to the difficulty in estimating the budget for management fees.</t>
  </si>
  <si>
    <t>v4.1.5</t>
  </si>
  <si>
    <t>Edited Forecast sheet, calculation of RVPI, to estimate the value of carried interest. Previously RVPI was reported on a gross basis, while DPI was reported on a net basis, creating a TVPI that reflected a net DPI and gross RVPI, slightly overestimating TVPI because it did not estimate carried interest to net from the residual value. A small edit that removed the slight change in TVPI on the last period where RVPI goes to zero.</t>
  </si>
  <si>
    <t>v4.1.4</t>
  </si>
  <si>
    <t>Edited Forecast sheet to change calc for Change in Unrealized Value in the per-fund buildup. The timing was off in the rows leading to it recognizing changes in unrealized value for the year 1 cohort of funds after the funds were completely exited. No change to total change, but does change the timing of the unrealized gains across all cohorts.</t>
  </si>
  <si>
    <t>v4.1.3</t>
  </si>
  <si>
    <t>Edited organizational and operational expenses for component funds to correctly account for the number of funds invested in. (Thanks Forrest.) Now, the model calculates the number of new fund commitments per period, and uses that in the calculation of the expenses.</t>
  </si>
  <si>
    <t>v4.1.2</t>
  </si>
  <si>
    <t>Edited Forecast sheet to add one more performance metric to the model
Edited logic behind the change in unrealized gains calculation on Forecast, based on conversation with a user. I think the numbers calculated previously were directionally correct, although the logic behind the formula didn't make sense. So, I revisted the logic and created a new formula that uses a different logic to calculate this estimate, by accounting for all capital to date. The end result isn't that different, but I do think the logic makes more sense.</t>
  </si>
  <si>
    <t>v4.1.1</t>
  </si>
  <si>
    <t>Edited the Interim IRR calculation for the first period in the model, so that it would capture the change in value during the first year and record a negative IRR. No change to any other calculations, no change in cash flows, just to change the reporting of the IRR in the first year</t>
  </si>
  <si>
    <t>v4.1.0</t>
  </si>
  <si>
    <t>New Fund of Funds Model, based on the Venture Capital Model, Annual Forecast, to model out a fund investing in funds.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</si>
</sst>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_);(#,##0);_(&quot;-&quot;_);_(@_)"/>
    <numFmt numFmtId="166" formatCode="#,##0.00;(#,##0.00)"/>
    <numFmt numFmtId="167" formatCode="Q0"/>
    <numFmt numFmtId="168" formatCode="&quot;Year&quot; #,##0_);(#,##0);_(&quot;-&quot;_);_(@_)"/>
    <numFmt numFmtId="169" formatCode="M/d/yyyy"/>
    <numFmt numFmtId="170" formatCode="#,##0.00_);(#,##0.00);_(&quot;-&quot;_);_(@_)"/>
    <numFmt numFmtId="171" formatCode="&quot;$&quot;#,##0"/>
    <numFmt numFmtId="172" formatCode="m/d/yyyy"/>
  </numFmts>
  <fonts count="32">
    <font>
      <sz val="10.0"/>
      <color rgb="FF000000"/>
      <name val="Arial"/>
      <scheme val="minor"/>
    </font>
    <font>
      <color theme="1"/>
      <name val="Arial"/>
      <scheme val="minor"/>
    </font>
    <font>
      <b/>
      <sz val="14.0"/>
      <color theme="1"/>
      <name val="Arial"/>
      <scheme val="minor"/>
    </font>
    <font>
      <color rgb="FF000000"/>
      <name val="Arial"/>
      <scheme val="minor"/>
    </font>
    <font>
      <b/>
      <color theme="1"/>
      <name val="Arial"/>
      <scheme val="minor"/>
    </font>
    <font>
      <color rgb="FF000000"/>
    </font>
    <font>
      <u/>
      <color rgb="FF0000FF"/>
    </font>
    <font>
      <b/>
      <sz val="12.0"/>
      <color theme="1"/>
      <name val="Arial"/>
      <scheme val="minor"/>
    </font>
    <font>
      <u/>
      <color rgb="FF0000FF"/>
    </font>
    <font>
      <i/>
      <sz val="10.0"/>
      <color rgb="FF000000"/>
      <name val="&quot;Avenir Book&quot;"/>
    </font>
    <font>
      <u/>
      <sz val="10.0"/>
      <color rgb="FF1155CC"/>
      <name val="Arial"/>
    </font>
    <font>
      <sz val="10.0"/>
      <color rgb="FF000000"/>
      <name val="&quot;Avenir Book&quot;"/>
    </font>
    <font>
      <color rgb="FF666666"/>
      <name val="Arial"/>
      <scheme val="minor"/>
    </font>
    <font>
      <b/>
      <i/>
      <sz val="12.0"/>
      <color theme="1"/>
      <name val="Arial"/>
      <scheme val="minor"/>
    </font>
    <font>
      <color rgb="FF0000FF"/>
      <name val="Arial"/>
      <scheme val="minor"/>
    </font>
    <font>
      <color theme="1"/>
      <name val="Arial"/>
    </font>
    <font>
      <color rgb="FF0000FF"/>
      <name val="Arial"/>
    </font>
    <font>
      <b/>
      <i/>
      <sz val="12.0"/>
      <color theme="1"/>
      <name val="Arial"/>
    </font>
    <font>
      <color rgb="FF666666"/>
      <name val="Arial"/>
    </font>
    <font>
      <u/>
      <color rgb="FF0000FF"/>
    </font>
    <font>
      <color rgb="FF000000"/>
      <name val="Arial"/>
    </font>
    <font>
      <i/>
      <color theme="1"/>
      <name val="Arial"/>
      <scheme val="minor"/>
    </font>
    <font>
      <color rgb="FFFFFFFF"/>
      <name val="Arial"/>
      <scheme val="minor"/>
    </font>
    <font>
      <color rgb="FFFFFFFF"/>
      <name val="Arial"/>
    </font>
    <font>
      <b/>
      <color theme="1"/>
      <name val="Arial"/>
    </font>
    <font>
      <b/>
      <sz val="14.0"/>
      <color theme="1"/>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4">
    <border/>
    <border>
      <bottom style="thin">
        <color rgb="FF000000"/>
      </bottom>
    </border>
    <border>
      <right/>
    </border>
    <border>
      <top style="thin">
        <color rgb="FF000000"/>
      </top>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vertical="top" wrapText="1"/>
    </xf>
    <xf borderId="0" fillId="0" fontId="3" numFmtId="0" xfId="0" applyAlignment="1" applyFont="1">
      <alignment readingOrder="0" shrinkToFit="0"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vertical="top"/>
    </xf>
    <xf borderId="0" fillId="0" fontId="3"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shrinkToFit="0" vertical="top" wrapText="1"/>
    </xf>
    <xf borderId="0" fillId="0" fontId="8" numFmtId="0" xfId="0" applyAlignment="1" applyFont="1">
      <alignment shrinkToFit="0" vertical="top" wrapText="1"/>
    </xf>
    <xf borderId="0" fillId="0" fontId="1" numFmtId="0" xfId="0" applyAlignment="1" applyFont="1">
      <alignment readingOrder="0"/>
    </xf>
    <xf borderId="0" fillId="0" fontId="1" numFmtId="0" xfId="0" applyAlignment="1" applyFont="1">
      <alignment readingOrder="0" shrinkToFit="0" vertical="top" wrapText="1"/>
    </xf>
    <xf borderId="0" fillId="0" fontId="9" numFmtId="0" xfId="0" applyAlignment="1" applyFont="1">
      <alignment readingOrder="0" shrinkToFit="0" vertical="bottom" wrapText="1"/>
    </xf>
    <xf borderId="0" fillId="0" fontId="10" numFmtId="0" xfId="0" applyAlignment="1" applyFont="1">
      <alignment readingOrder="0" shrinkToFit="0" vertical="bottom" wrapText="1"/>
    </xf>
    <xf borderId="0" fillId="0" fontId="11" numFmtId="0" xfId="0" applyAlignment="1" applyFont="1">
      <alignment shrinkToFit="0" vertical="bottom" wrapText="1"/>
    </xf>
    <xf borderId="0" fillId="0" fontId="11" numFmtId="0" xfId="0" applyAlignment="1" applyFont="1">
      <alignment readingOrder="0" shrinkToFit="0" vertical="bottom" wrapText="1"/>
    </xf>
    <xf borderId="0" fillId="0" fontId="1" numFmtId="0" xfId="0" applyAlignment="1" applyFont="1">
      <alignment horizontal="center"/>
    </xf>
    <xf borderId="0" fillId="0" fontId="12" numFmtId="0" xfId="0" applyAlignment="1" applyFont="1">
      <alignment readingOrder="0"/>
    </xf>
    <xf borderId="0" fillId="0" fontId="13" numFmtId="0" xfId="0" applyAlignment="1" applyFont="1">
      <alignment readingOrder="0"/>
    </xf>
    <xf borderId="0" fillId="0" fontId="1" numFmtId="0" xfId="0" applyAlignment="1" applyFont="1">
      <alignment horizontal="center" readingOrder="0"/>
    </xf>
    <xf borderId="0" fillId="0" fontId="1" numFmtId="0" xfId="0" applyAlignment="1" applyFont="1">
      <alignment horizontal="right" readingOrder="0"/>
    </xf>
    <xf borderId="1" fillId="0" fontId="1" numFmtId="0" xfId="0" applyAlignment="1" applyBorder="1" applyFont="1">
      <alignment readingOrder="0"/>
    </xf>
    <xf borderId="1" fillId="0" fontId="1" numFmtId="0" xfId="0" applyAlignment="1" applyBorder="1" applyFont="1">
      <alignment horizontal="center" readingOrder="0"/>
    </xf>
    <xf borderId="1" fillId="0" fontId="1" numFmtId="0" xfId="0" applyAlignment="1" applyBorder="1" applyFont="1">
      <alignment horizontal="right" readingOrder="0"/>
    </xf>
    <xf borderId="1" fillId="0" fontId="1" numFmtId="0" xfId="0" applyAlignment="1" applyBorder="1" applyFont="1">
      <alignment horizontal="left" readingOrder="0"/>
    </xf>
    <xf borderId="0" fillId="2" fontId="14" numFmtId="164" xfId="0" applyAlignment="1" applyFill="1" applyFont="1" applyNumberFormat="1">
      <alignment horizontal="center" readingOrder="0"/>
    </xf>
    <xf borderId="0" fillId="2" fontId="14" numFmtId="165" xfId="0" applyAlignment="1" applyFont="1" applyNumberFormat="1">
      <alignment readingOrder="0"/>
    </xf>
    <xf borderId="0" fillId="0" fontId="1" numFmtId="165" xfId="0" applyFont="1" applyNumberFormat="1"/>
    <xf borderId="0" fillId="2" fontId="14" numFmtId="10" xfId="0" applyAlignment="1" applyFont="1" applyNumberFormat="1">
      <alignment readingOrder="0"/>
    </xf>
    <xf borderId="0" fillId="0" fontId="1" numFmtId="164" xfId="0" applyAlignment="1" applyFont="1" applyNumberFormat="1">
      <alignment horizontal="center" readingOrder="0"/>
    </xf>
    <xf borderId="0" fillId="0" fontId="15" numFmtId="0" xfId="0" applyAlignment="1" applyFont="1">
      <alignment readingOrder="0" vertical="bottom"/>
    </xf>
    <xf borderId="0" fillId="2" fontId="16" numFmtId="164" xfId="0" applyAlignment="1" applyFont="1" applyNumberFormat="1">
      <alignment horizontal="right" readingOrder="0" vertical="bottom"/>
    </xf>
    <xf borderId="0" fillId="0" fontId="15" numFmtId="164" xfId="0" applyAlignment="1" applyFont="1" applyNumberFormat="1">
      <alignment vertical="bottom"/>
    </xf>
    <xf borderId="0" fillId="0" fontId="15" numFmtId="0" xfId="0" applyAlignment="1" applyFont="1">
      <alignment vertical="bottom"/>
    </xf>
    <xf borderId="0" fillId="0" fontId="15" numFmtId="0" xfId="0" applyAlignment="1" applyFont="1">
      <alignment vertical="bottom"/>
    </xf>
    <xf borderId="0" fillId="0" fontId="15" numFmtId="164" xfId="0" applyAlignment="1" applyFont="1" applyNumberFormat="1">
      <alignment shrinkToFit="0" vertical="bottom" wrapText="0"/>
    </xf>
    <xf borderId="0" fillId="0" fontId="1" numFmtId="164" xfId="0" applyFont="1" applyNumberFormat="1"/>
    <xf borderId="0" fillId="0" fontId="17" numFmtId="164" xfId="0" applyAlignment="1" applyFont="1" applyNumberFormat="1">
      <alignment readingOrder="0" vertical="bottom"/>
    </xf>
    <xf borderId="2" fillId="0" fontId="18" numFmtId="0" xfId="0" applyAlignment="1" applyBorder="1" applyFont="1">
      <alignment readingOrder="0" shrinkToFit="0" vertical="bottom" wrapText="0"/>
    </xf>
    <xf borderId="0" fillId="0" fontId="1" numFmtId="10" xfId="0" applyAlignment="1" applyFont="1" applyNumberFormat="1">
      <alignment readingOrder="0"/>
    </xf>
    <xf borderId="0" fillId="0" fontId="1" numFmtId="164" xfId="0" applyAlignment="1" applyFont="1" applyNumberFormat="1">
      <alignment horizontal="right" readingOrder="0"/>
    </xf>
    <xf borderId="1" fillId="0" fontId="1" numFmtId="164" xfId="0" applyAlignment="1" applyBorder="1" applyFont="1" applyNumberFormat="1">
      <alignment horizontal="right" readingOrder="0"/>
    </xf>
    <xf borderId="0" fillId="2" fontId="14" numFmtId="9" xfId="0" applyAlignment="1" applyFont="1" applyNumberFormat="1">
      <alignment readingOrder="0"/>
    </xf>
    <xf borderId="0" fillId="0" fontId="1" numFmtId="9" xfId="0" applyFont="1" applyNumberFormat="1"/>
    <xf borderId="0" fillId="2" fontId="14" numFmtId="164" xfId="0" applyAlignment="1" applyFont="1" applyNumberFormat="1">
      <alignment readingOrder="0"/>
    </xf>
    <xf borderId="0" fillId="0" fontId="19" numFmtId="0" xfId="0" applyAlignment="1" applyFont="1">
      <alignment readingOrder="0"/>
    </xf>
    <xf borderId="0" fillId="2" fontId="14" numFmtId="164" xfId="0" applyAlignment="1" applyFont="1" applyNumberFormat="1">
      <alignment horizontal="left" readingOrder="0"/>
    </xf>
    <xf borderId="0" fillId="0" fontId="1" numFmtId="1" xfId="0" applyFont="1" applyNumberFormat="1"/>
    <xf borderId="0" fillId="2" fontId="14" numFmtId="166" xfId="0" applyAlignment="1" applyFont="1" applyNumberFormat="1">
      <alignment readingOrder="0"/>
    </xf>
    <xf borderId="3" fillId="0" fontId="1" numFmtId="9" xfId="0" applyBorder="1" applyFont="1" applyNumberFormat="1"/>
    <xf borderId="3" fillId="0" fontId="1" numFmtId="1" xfId="0" applyBorder="1" applyFont="1" applyNumberFormat="1"/>
    <xf borderId="3" fillId="0" fontId="1" numFmtId="2" xfId="0" applyAlignment="1" applyBorder="1" applyFont="1" applyNumberFormat="1">
      <alignment readingOrder="0"/>
    </xf>
    <xf borderId="3" fillId="0" fontId="1" numFmtId="9" xfId="0" applyAlignment="1" applyBorder="1" applyFont="1" applyNumberFormat="1">
      <alignment readingOrder="0"/>
    </xf>
    <xf borderId="0" fillId="0" fontId="15" numFmtId="0" xfId="0" applyAlignment="1" applyFont="1">
      <alignment shrinkToFit="0" vertical="bottom" wrapText="0"/>
    </xf>
    <xf borderId="0" fillId="0" fontId="15" numFmtId="0" xfId="0" applyAlignment="1" applyFont="1">
      <alignment readingOrder="0" shrinkToFit="0" vertical="bottom" wrapText="0"/>
    </xf>
    <xf borderId="0" fillId="0" fontId="1" numFmtId="10" xfId="0" applyFont="1" applyNumberFormat="1"/>
    <xf borderId="0" fillId="0" fontId="1" numFmtId="2" xfId="0" applyFont="1" applyNumberFormat="1"/>
    <xf borderId="0" fillId="0" fontId="20" numFmtId="165" xfId="0" applyAlignment="1" applyFont="1" applyNumberFormat="1">
      <alignment horizontal="right" readingOrder="0" shrinkToFit="0" vertical="bottom" wrapText="0"/>
    </xf>
    <xf borderId="0" fillId="0" fontId="4" numFmtId="0" xfId="0" applyAlignment="1" applyFont="1">
      <alignment readingOrder="0"/>
    </xf>
    <xf borderId="1" fillId="0" fontId="1" numFmtId="167" xfId="0" applyAlignment="1" applyBorder="1" applyFont="1" applyNumberFormat="1">
      <alignment horizontal="left" readingOrder="0"/>
    </xf>
    <xf borderId="1" fillId="0" fontId="1" numFmtId="167" xfId="0" applyAlignment="1" applyBorder="1" applyFont="1" applyNumberFormat="1">
      <alignment horizontal="right" readingOrder="0"/>
    </xf>
    <xf borderId="1" fillId="0" fontId="1" numFmtId="167" xfId="0" applyAlignment="1" applyBorder="1" applyFont="1" applyNumberFormat="1">
      <alignment readingOrder="0"/>
    </xf>
    <xf borderId="1" fillId="0" fontId="1" numFmtId="168" xfId="0" applyBorder="1" applyFont="1" applyNumberFormat="1"/>
    <xf borderId="0" fillId="0" fontId="1" numFmtId="167" xfId="0" applyAlignment="1" applyFont="1" applyNumberFormat="1">
      <alignment readingOrder="0"/>
    </xf>
    <xf borderId="0" fillId="2" fontId="14" numFmtId="169" xfId="0" applyAlignment="1" applyFont="1" applyNumberFormat="1">
      <alignment readingOrder="0"/>
    </xf>
    <xf borderId="0" fillId="0" fontId="1" numFmtId="14" xfId="0" applyFont="1" applyNumberFormat="1"/>
    <xf borderId="0" fillId="0" fontId="1" numFmtId="164" xfId="0" applyAlignment="1" applyFont="1" applyNumberFormat="1">
      <alignment readingOrder="0"/>
    </xf>
    <xf borderId="0" fillId="0" fontId="21" numFmtId="0" xfId="0" applyAlignment="1" applyFont="1">
      <alignment readingOrder="0"/>
    </xf>
    <xf borderId="0" fillId="0" fontId="1" numFmtId="165" xfId="0" applyAlignment="1" applyFont="1" applyNumberFormat="1">
      <alignment readingOrder="0"/>
    </xf>
    <xf borderId="0" fillId="2" fontId="14" numFmtId="0" xfId="0" applyAlignment="1" applyFont="1">
      <alignment horizontal="right" readingOrder="0"/>
    </xf>
    <xf borderId="0" fillId="0" fontId="15" numFmtId="165" xfId="0" applyAlignment="1" applyFont="1" applyNumberFormat="1">
      <alignment readingOrder="0"/>
    </xf>
    <xf borderId="0" fillId="0" fontId="15" numFmtId="165" xfId="0" applyAlignment="1" applyFont="1" applyNumberFormat="1">
      <alignment horizontal="right" vertical="bottom"/>
    </xf>
    <xf borderId="0" fillId="0" fontId="15" numFmtId="165" xfId="0" applyAlignment="1" applyFont="1" applyNumberFormat="1">
      <alignment vertical="bottom"/>
    </xf>
    <xf borderId="3" fillId="0" fontId="1" numFmtId="165" xfId="0" applyAlignment="1" applyBorder="1" applyFont="1" applyNumberFormat="1">
      <alignment readingOrder="0"/>
    </xf>
    <xf borderId="0" fillId="0" fontId="1" numFmtId="0" xfId="0" applyAlignment="1" applyFont="1">
      <alignment vertical="bottom"/>
    </xf>
    <xf borderId="0" fillId="0" fontId="1" numFmtId="0" xfId="0" applyAlignment="1" applyFont="1">
      <alignment readingOrder="0" vertical="bottom"/>
    </xf>
    <xf borderId="0" fillId="0" fontId="1" numFmtId="170" xfId="0" applyAlignment="1" applyFont="1" applyNumberFormat="1">
      <alignment readingOrder="0"/>
    </xf>
    <xf borderId="0" fillId="0" fontId="22" numFmtId="165" xfId="0" applyAlignment="1" applyFont="1" applyNumberFormat="1">
      <alignment readingOrder="0"/>
    </xf>
    <xf borderId="0" fillId="0" fontId="15" numFmtId="0" xfId="0" applyAlignment="1" applyFont="1">
      <alignment shrinkToFit="0" vertical="bottom" wrapText="0"/>
    </xf>
    <xf borderId="0" fillId="0" fontId="15" numFmtId="170" xfId="0" applyAlignment="1" applyFont="1" applyNumberFormat="1">
      <alignment horizontal="right" vertical="bottom"/>
    </xf>
    <xf borderId="0" fillId="0" fontId="23" numFmtId="165" xfId="0" applyAlignment="1" applyFont="1" applyNumberFormat="1">
      <alignment vertical="bottom"/>
    </xf>
    <xf borderId="0" fillId="0" fontId="1" numFmtId="165" xfId="0" applyAlignment="1" applyFont="1" applyNumberFormat="1">
      <alignment readingOrder="0"/>
    </xf>
    <xf borderId="0" fillId="0" fontId="1" numFmtId="10" xfId="0" applyAlignment="1" applyFont="1" applyNumberFormat="1">
      <alignment horizontal="right" vertical="bottom"/>
    </xf>
    <xf borderId="0" fillId="0" fontId="1" numFmtId="168" xfId="0" applyFont="1" applyNumberFormat="1"/>
    <xf borderId="0" fillId="0" fontId="15" numFmtId="10" xfId="0" applyAlignment="1" applyFont="1" applyNumberFormat="1">
      <alignment horizontal="right" vertical="bottom"/>
    </xf>
    <xf borderId="2" fillId="0" fontId="24" numFmtId="0" xfId="0" applyAlignment="1" applyBorder="1" applyFont="1">
      <alignment readingOrder="0" shrinkToFit="0" vertical="bottom" wrapText="0"/>
    </xf>
    <xf borderId="2" fillId="0" fontId="15" numFmtId="0" xfId="0" applyAlignment="1" applyBorder="1" applyFont="1">
      <alignment vertical="bottom"/>
    </xf>
    <xf borderId="0" fillId="0" fontId="15" numFmtId="168" xfId="0" applyAlignment="1" applyFont="1" applyNumberFormat="1">
      <alignment horizontal="right" vertical="bottom"/>
    </xf>
    <xf borderId="0" fillId="0" fontId="15" numFmtId="165" xfId="0" applyAlignment="1" applyFont="1" applyNumberFormat="1">
      <alignment horizontal="right" readingOrder="0" vertical="bottom"/>
    </xf>
    <xf borderId="0" fillId="0" fontId="15" numFmtId="10" xfId="0" applyAlignment="1" applyFont="1" applyNumberFormat="1">
      <alignment vertical="bottom"/>
    </xf>
    <xf borderId="0" fillId="0" fontId="15" numFmtId="2" xfId="0" applyAlignment="1" applyFont="1" applyNumberFormat="1">
      <alignment vertical="bottom"/>
    </xf>
    <xf borderId="0" fillId="0" fontId="1" numFmtId="10" xfId="0" applyAlignment="1" applyFont="1" applyNumberFormat="1">
      <alignment horizontal="right" readingOrder="0"/>
    </xf>
    <xf borderId="0" fillId="0" fontId="25" numFmtId="0" xfId="0" applyAlignment="1" applyFont="1">
      <alignment vertical="bottom"/>
    </xf>
    <xf borderId="2" fillId="0" fontId="18" numFmtId="0" xfId="0" applyAlignment="1" applyBorder="1" applyFont="1">
      <alignment shrinkToFit="0" vertical="bottom" wrapText="0"/>
    </xf>
    <xf borderId="1" fillId="0" fontId="15" numFmtId="0" xfId="0" applyAlignment="1" applyBorder="1" applyFont="1">
      <alignment vertical="bottom"/>
    </xf>
    <xf borderId="0" fillId="2" fontId="15" numFmtId="0" xfId="0" applyAlignment="1" applyFont="1">
      <alignment shrinkToFit="0" vertical="top" wrapText="1"/>
    </xf>
    <xf borderId="0" fillId="2" fontId="26" numFmtId="0" xfId="0" applyAlignment="1" applyFont="1">
      <alignment vertical="top"/>
    </xf>
    <xf borderId="0" fillId="3" fontId="15" numFmtId="0" xfId="0" applyAlignment="1" applyFill="1" applyFont="1">
      <alignment shrinkToFit="0" vertical="top" wrapText="1"/>
    </xf>
    <xf borderId="0" fillId="3" fontId="27" numFmtId="0" xfId="0" applyAlignment="1" applyFont="1">
      <alignment vertical="top"/>
    </xf>
    <xf borderId="0" fillId="0" fontId="15" numFmtId="0" xfId="0" applyFont="1"/>
    <xf borderId="0" fillId="0" fontId="15" numFmtId="0" xfId="0" applyFont="1"/>
    <xf borderId="2" fillId="2" fontId="28" numFmtId="0" xfId="0" applyAlignment="1" applyBorder="1" applyFont="1">
      <alignment vertical="top"/>
    </xf>
    <xf borderId="2" fillId="3" fontId="29" numFmtId="0" xfId="0" applyAlignment="1" applyBorder="1" applyFont="1">
      <alignment vertical="top"/>
    </xf>
    <xf borderId="0" fillId="2" fontId="15" numFmtId="0" xfId="0" applyAlignment="1" applyFont="1">
      <alignment shrinkToFit="0" vertical="top" wrapText="1"/>
    </xf>
    <xf borderId="0" fillId="2" fontId="15" numFmtId="0" xfId="0" applyAlignment="1" applyFont="1">
      <alignment vertical="top"/>
    </xf>
    <xf borderId="0" fillId="2" fontId="30" numFmtId="0" xfId="0" applyAlignment="1" applyFont="1">
      <alignment vertical="top"/>
    </xf>
    <xf borderId="0" fillId="3" fontId="15" numFmtId="0" xfId="0" applyAlignment="1" applyFont="1">
      <alignment shrinkToFit="0" vertical="top" wrapText="1"/>
    </xf>
    <xf borderId="0" fillId="3" fontId="31" numFmtId="0" xfId="0" applyAlignment="1" applyFont="1">
      <alignment vertical="top"/>
    </xf>
    <xf borderId="0" fillId="0" fontId="25" numFmtId="0" xfId="0" applyAlignment="1" applyFont="1">
      <alignment shrinkToFit="0" vertical="bottom" wrapText="0"/>
    </xf>
    <xf borderId="0" fillId="0" fontId="18" numFmtId="0" xfId="0" applyAlignment="1" applyFont="1">
      <alignment shrinkToFit="0" vertical="bottom" wrapText="0"/>
    </xf>
    <xf borderId="1" fillId="0" fontId="15" numFmtId="0" xfId="0" applyAlignment="1" applyBorder="1" applyFont="1">
      <alignment shrinkToFit="0" vertical="bottom" wrapText="1"/>
    </xf>
    <xf borderId="1" fillId="0" fontId="15" numFmtId="0" xfId="0" applyAlignment="1" applyBorder="1" applyFont="1">
      <alignment horizontal="center" shrinkToFit="0" vertical="bottom" wrapText="1"/>
    </xf>
    <xf borderId="1" fillId="0" fontId="15" numFmtId="0" xfId="0" applyAlignment="1" applyBorder="1" applyFont="1">
      <alignment horizontal="center" shrinkToFit="0" vertical="bottom" wrapText="1"/>
    </xf>
    <xf borderId="0" fillId="0" fontId="15" numFmtId="0" xfId="0" applyAlignment="1" applyFont="1">
      <alignment vertical="top"/>
    </xf>
    <xf borderId="0" fillId="0" fontId="15" numFmtId="0" xfId="0" applyAlignment="1" applyFont="1">
      <alignment vertical="top"/>
    </xf>
    <xf borderId="0" fillId="2" fontId="15" numFmtId="0" xfId="0" applyFont="1"/>
    <xf borderId="0" fillId="2" fontId="15" numFmtId="0" xfId="0" applyFont="1"/>
    <xf borderId="0" fillId="2" fontId="15" numFmtId="0" xfId="0" applyAlignment="1" applyFont="1">
      <alignment vertical="top"/>
    </xf>
    <xf borderId="0" fillId="3" fontId="15" numFmtId="0" xfId="0" applyFont="1"/>
    <xf borderId="0" fillId="3" fontId="15" numFmtId="0" xfId="0" applyFont="1"/>
    <xf borderId="0" fillId="3" fontId="15" numFmtId="0" xfId="0" applyAlignment="1" applyFont="1">
      <alignment vertical="top"/>
    </xf>
    <xf borderId="0" fillId="3" fontId="15" numFmtId="171" xfId="0" applyAlignment="1" applyFont="1" applyNumberFormat="1">
      <alignment shrinkToFit="0" vertical="top" wrapText="1"/>
    </xf>
    <xf borderId="0" fillId="2" fontId="15" numFmtId="171" xfId="0" applyAlignment="1" applyFont="1" applyNumberFormat="1">
      <alignment shrinkToFit="0" vertical="top" wrapText="1"/>
    </xf>
    <xf borderId="0" fillId="3" fontId="15" numFmtId="0" xfId="0" applyAlignment="1" applyFont="1">
      <alignment vertical="top"/>
    </xf>
    <xf borderId="0" fillId="3" fontId="15" numFmtId="0" xfId="0" applyAlignment="1" applyFont="1">
      <alignment vertical="bottom"/>
    </xf>
    <xf borderId="0" fillId="0" fontId="15" numFmtId="0" xfId="0" applyAlignment="1" applyFont="1">
      <alignment shrinkToFit="0" vertical="top" wrapText="1"/>
    </xf>
    <xf borderId="0" fillId="0" fontId="15" numFmtId="0" xfId="0" applyAlignment="1" applyFont="1">
      <alignment readingOrder="0" shrinkToFit="0" vertical="top" wrapText="1"/>
    </xf>
    <xf borderId="0" fillId="0" fontId="1" numFmtId="0" xfId="0" applyAlignment="1" applyFont="1">
      <alignment horizontal="left"/>
    </xf>
    <xf borderId="0" fillId="0" fontId="1" numFmtId="0" xfId="0" applyAlignment="1" applyFont="1">
      <alignment horizontal="left" readingOrder="0" shrinkToFit="0" vertical="top" wrapText="1"/>
    </xf>
    <xf borderId="0" fillId="2" fontId="15" numFmtId="0" xfId="0" applyAlignment="1" applyFont="1">
      <alignment readingOrder="0" shrinkToFit="0" vertical="top" wrapText="1"/>
    </xf>
    <xf borderId="0" fillId="0" fontId="1" numFmtId="172" xfId="0" applyAlignment="1" applyFont="1" applyNumberFormat="1">
      <alignment horizontal="left" readingOrder="0" shrinkToFit="0" vertical="top" wrapText="1"/>
    </xf>
    <xf borderId="0" fillId="2" fontId="15" numFmtId="0" xfId="0" applyAlignment="1" applyFont="1">
      <alignment shrinkToFit="0" vertical="top" wrapText="1"/>
    </xf>
    <xf borderId="0" fillId="0" fontId="1" numFmtId="0" xfId="0" applyAlignment="1" applyFont="1">
      <alignment readingOrder="0" shrinkToFit="0" vertical="top" wrapText="1"/>
    </xf>
  </cellXfs>
  <cellStyles count="1">
    <cellStyle xfId="0" name="Normal" builtinId="0"/>
  </cellStyles>
  <dxfs count="4">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DDF2F0"/>
          <bgColor rgb="FFDDF2F0"/>
        </patternFill>
      </fill>
      <border/>
    </dxf>
  </dxfs>
  <tableStyles count="6">
    <tableStyle count="3" pivot="0" name="README-style">
      <tableStyleElement dxfId="1" type="headerRow"/>
      <tableStyleElement dxfId="2" type="firstRowStripe"/>
      <tableStyleElement dxfId="1" type="secondRowStripe"/>
    </tableStyle>
    <tableStyle count="3" pivot="0" name="README-style 2">
      <tableStyleElement dxfId="3" type="headerRow"/>
      <tableStyleElement dxfId="2" type="firstRowStripe"/>
      <tableStyleElement dxfId="3" type="secondRowStripe"/>
    </tableStyle>
    <tableStyle count="3" pivot="0" name="Resources-style">
      <tableStyleElement dxfId="1" type="headerRow"/>
      <tableStyleElement dxfId="2" type="firstRowStripe"/>
      <tableStyleElement dxfId="1" type="secondRowStripe"/>
    </tableStyle>
    <tableStyle count="3" pivot="0" name="Model Comparison-style">
      <tableStyleElement dxfId="1" type="headerRow"/>
      <tableStyleElement dxfId="2" type="firstRowStripe"/>
      <tableStyleElement dxfId="1" type="secondRowStripe"/>
    </tableStyle>
    <tableStyle count="3" pivot="0" name="Glossary-style">
      <tableStyleElement dxfId="1" type="headerRow"/>
      <tableStyleElement dxfId="2" type="firstRowStripe"/>
      <tableStyleElement dxfId="1" type="secondRowStripe"/>
    </tableStyle>
    <tableStyle count="3" pivot="0" name="Changelog-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Interim IRR</a:t>
            </a:r>
          </a:p>
        </c:rich>
      </c:tx>
      <c:overlay val="0"/>
    </c:title>
    <c:plotArea>
      <c:layout/>
      <c:lineChart>
        <c:varyColors val="0"/>
        <c:ser>
          <c:idx val="0"/>
          <c:order val="0"/>
          <c:spPr>
            <a:ln cmpd="sng">
              <a:solidFill>
                <a:srgbClr val="4285F4"/>
              </a:solidFill>
            </a:ln>
          </c:spPr>
          <c:marker>
            <c:symbol val="none"/>
          </c:marker>
          <c:cat>
            <c:strRef>
              <c:f>Forecast!$G$4:$Z$4</c:f>
            </c:strRef>
          </c:cat>
          <c:val>
            <c:numRef>
              <c:f>Forecast!$G$93:$Z$93</c:f>
              <c:numCache/>
            </c:numRef>
          </c:val>
          <c:smooth val="0"/>
        </c:ser>
        <c:axId val="508930069"/>
        <c:axId val="1861425460"/>
      </c:lineChart>
      <c:catAx>
        <c:axId val="5089300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61425460"/>
      </c:catAx>
      <c:valAx>
        <c:axId val="18614254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893006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Performance Ratios</a:t>
            </a:r>
          </a:p>
        </c:rich>
      </c:tx>
      <c:overlay val="0"/>
    </c:title>
    <c:plotArea>
      <c:layout/>
      <c:lineChart>
        <c:ser>
          <c:idx val="0"/>
          <c:order val="0"/>
          <c:tx>
            <c:strRef>
              <c:f>Forecast!$F$79</c:f>
            </c:strRef>
          </c:tx>
          <c:spPr>
            <a:ln cmpd="sng">
              <a:solidFill>
                <a:srgbClr val="4285F4"/>
              </a:solidFill>
            </a:ln>
          </c:spPr>
          <c:marker>
            <c:symbol val="none"/>
          </c:marker>
          <c:cat>
            <c:strRef>
              <c:f>Forecast!$G$4:$Z$4</c:f>
            </c:strRef>
          </c:cat>
          <c:val>
            <c:numRef>
              <c:f>Forecast!$G$79:$Z$79</c:f>
              <c:numCache/>
            </c:numRef>
          </c:val>
          <c:smooth val="0"/>
        </c:ser>
        <c:ser>
          <c:idx val="1"/>
          <c:order val="1"/>
          <c:tx>
            <c:strRef>
              <c:f>Forecast!$F$80</c:f>
            </c:strRef>
          </c:tx>
          <c:spPr>
            <a:ln cmpd="sng">
              <a:solidFill>
                <a:srgbClr val="EA4335"/>
              </a:solidFill>
            </a:ln>
          </c:spPr>
          <c:marker>
            <c:symbol val="none"/>
          </c:marker>
          <c:cat>
            <c:strRef>
              <c:f>Forecast!$G$4:$Z$4</c:f>
            </c:strRef>
          </c:cat>
          <c:val>
            <c:numRef>
              <c:f>Forecast!$G$80:$Z$80</c:f>
              <c:numCache/>
            </c:numRef>
          </c:val>
          <c:smooth val="0"/>
        </c:ser>
        <c:ser>
          <c:idx val="2"/>
          <c:order val="2"/>
          <c:tx>
            <c:strRef>
              <c:f>Forecast!$F$81</c:f>
            </c:strRef>
          </c:tx>
          <c:spPr>
            <a:ln cmpd="sng">
              <a:solidFill>
                <a:srgbClr val="FBBC04"/>
              </a:solidFill>
            </a:ln>
          </c:spPr>
          <c:marker>
            <c:symbol val="none"/>
          </c:marker>
          <c:cat>
            <c:strRef>
              <c:f>Forecast!$G$4:$Z$4</c:f>
            </c:strRef>
          </c:cat>
          <c:val>
            <c:numRef>
              <c:f>Forecast!$G$81:$Z$81</c:f>
              <c:numCache/>
            </c:numRef>
          </c:val>
          <c:smooth val="0"/>
        </c:ser>
        <c:ser>
          <c:idx val="3"/>
          <c:order val="3"/>
          <c:tx>
            <c:strRef>
              <c:f>Forecast!$F$82</c:f>
            </c:strRef>
          </c:tx>
          <c:spPr>
            <a:ln cmpd="sng">
              <a:solidFill>
                <a:srgbClr val="34A853"/>
              </a:solidFill>
            </a:ln>
          </c:spPr>
          <c:marker>
            <c:symbol val="none"/>
          </c:marker>
          <c:cat>
            <c:strRef>
              <c:f>Forecast!$G$4:$Z$4</c:f>
            </c:strRef>
          </c:cat>
          <c:val>
            <c:numRef>
              <c:f>Forecast!$G$82:$Z$82</c:f>
              <c:numCache/>
            </c:numRef>
          </c:val>
          <c:smooth val="0"/>
        </c:ser>
        <c:axId val="391157747"/>
        <c:axId val="1488202249"/>
      </c:lineChart>
      <c:catAx>
        <c:axId val="3911577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8202249"/>
      </c:catAx>
      <c:valAx>
        <c:axId val="14882022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1157747"/>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Fund Cash Flows</a:t>
            </a:r>
          </a:p>
        </c:rich>
      </c:tx>
      <c:overlay val="0"/>
    </c:title>
    <c:plotArea>
      <c:layout/>
      <c:barChart>
        <c:barDir val="col"/>
        <c:grouping val="stacked"/>
        <c:ser>
          <c:idx val="0"/>
          <c:order val="0"/>
          <c:tx>
            <c:strRef>
              <c:f>Forecast!$F$124</c:f>
            </c:strRef>
          </c:tx>
          <c:spPr>
            <a:solidFill>
              <a:schemeClr val="accent1"/>
            </a:solidFill>
            <a:ln cmpd="sng">
              <a:solidFill>
                <a:srgbClr val="000000"/>
              </a:solidFill>
            </a:ln>
          </c:spPr>
          <c:cat>
            <c:strRef>
              <c:f>Forecast!$G$4:$Z$4</c:f>
            </c:strRef>
          </c:cat>
          <c:val>
            <c:numRef>
              <c:f>Forecast!$G$124:$Z$124</c:f>
              <c:numCache/>
            </c:numRef>
          </c:val>
        </c:ser>
        <c:ser>
          <c:idx val="1"/>
          <c:order val="1"/>
          <c:tx>
            <c:strRef>
              <c:f>Forecast!$F$125</c:f>
            </c:strRef>
          </c:tx>
          <c:spPr>
            <a:solidFill>
              <a:schemeClr val="accent2"/>
            </a:solidFill>
            <a:ln cmpd="sng">
              <a:solidFill>
                <a:srgbClr val="000000"/>
              </a:solidFill>
            </a:ln>
          </c:spPr>
          <c:cat>
            <c:strRef>
              <c:f>Forecast!$G$4:$Z$4</c:f>
            </c:strRef>
          </c:cat>
          <c:val>
            <c:numRef>
              <c:f>Forecast!$G$125:$Z$125</c:f>
              <c:numCache/>
            </c:numRef>
          </c:val>
        </c:ser>
        <c:ser>
          <c:idx val="2"/>
          <c:order val="2"/>
          <c:tx>
            <c:strRef>
              <c:f>Forecast!$F$126</c:f>
            </c:strRef>
          </c:tx>
          <c:spPr>
            <a:solidFill>
              <a:schemeClr val="accent3"/>
            </a:solidFill>
            <a:ln cmpd="sng">
              <a:solidFill>
                <a:srgbClr val="000000"/>
              </a:solidFill>
            </a:ln>
          </c:spPr>
          <c:cat>
            <c:strRef>
              <c:f>Forecast!$G$4:$Z$4</c:f>
            </c:strRef>
          </c:cat>
          <c:val>
            <c:numRef>
              <c:f>Forecast!$G$126:$Z$126</c:f>
              <c:numCache/>
            </c:numRef>
          </c:val>
        </c:ser>
        <c:ser>
          <c:idx val="3"/>
          <c:order val="3"/>
          <c:tx>
            <c:strRef>
              <c:f>Forecast!$F$127</c:f>
            </c:strRef>
          </c:tx>
          <c:spPr>
            <a:solidFill>
              <a:schemeClr val="accent4"/>
            </a:solidFill>
            <a:ln cmpd="sng">
              <a:solidFill>
                <a:srgbClr val="000000"/>
              </a:solidFill>
            </a:ln>
          </c:spPr>
          <c:cat>
            <c:strRef>
              <c:f>Forecast!$G$4:$Z$4</c:f>
            </c:strRef>
          </c:cat>
          <c:val>
            <c:numRef>
              <c:f>Forecast!$G$127:$Z$127</c:f>
              <c:numCache/>
            </c:numRef>
          </c:val>
        </c:ser>
        <c:ser>
          <c:idx val="4"/>
          <c:order val="4"/>
          <c:tx>
            <c:strRef>
              <c:f>Forecast!$F$128</c:f>
            </c:strRef>
          </c:tx>
          <c:spPr>
            <a:solidFill>
              <a:schemeClr val="accent5"/>
            </a:solidFill>
            <a:ln cmpd="sng">
              <a:solidFill>
                <a:srgbClr val="000000"/>
              </a:solidFill>
            </a:ln>
          </c:spPr>
          <c:cat>
            <c:strRef>
              <c:f>Forecast!$G$4:$Z$4</c:f>
            </c:strRef>
          </c:cat>
          <c:val>
            <c:numRef>
              <c:f>Forecast!$G$128:$Z$128</c:f>
              <c:numCache/>
            </c:numRef>
          </c:val>
        </c:ser>
        <c:overlap val="100"/>
        <c:axId val="1762171614"/>
        <c:axId val="631687221"/>
      </c:barChart>
      <c:catAx>
        <c:axId val="1762171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31687221"/>
      </c:catAx>
      <c:valAx>
        <c:axId val="6316872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2171614"/>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Cumulative cash flows</a:t>
            </a:r>
          </a:p>
        </c:rich>
      </c:tx>
      <c:overlay val="0"/>
    </c:title>
    <c:plotArea>
      <c:layout/>
      <c:areaChart>
        <c:ser>
          <c:idx val="0"/>
          <c:order val="0"/>
          <c:spPr>
            <a:solidFill>
              <a:srgbClr val="4285F4">
                <a:alpha val="30000"/>
              </a:srgbClr>
            </a:solidFill>
            <a:ln cmpd="sng">
              <a:solidFill>
                <a:srgbClr val="4285F4"/>
              </a:solidFill>
            </a:ln>
          </c:spPr>
          <c:cat>
            <c:strRef>
              <c:f>Forecast!$G$4:$Z$4</c:f>
            </c:strRef>
          </c:cat>
          <c:val>
            <c:numRef>
              <c:f>Forecast!$G$90:$Z$90</c:f>
              <c:numCache/>
            </c:numRef>
          </c:val>
        </c:ser>
        <c:axId val="1114663362"/>
        <c:axId val="145061654"/>
      </c:areaChart>
      <c:catAx>
        <c:axId val="11146633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5061654"/>
      </c:catAx>
      <c:valAx>
        <c:axId val="1450616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4663362"/>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923925</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857250</xdr:colOff>
      <xdr:row>20</xdr:row>
      <xdr:rowOff>180975</xdr:rowOff>
    </xdr:from>
    <xdr:ext cx="5781675" cy="3581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409575</xdr:colOff>
      <xdr:row>1</xdr:row>
      <xdr:rowOff>142875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409575</xdr:colOff>
      <xdr:row>21</xdr:row>
      <xdr:rowOff>9525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C11" displayName="Table_1" id="1">
  <tableColumns count="2">
    <tableColumn name="Copyright &amp; Contact" id="1"/>
    <tableColumn name="This was created by Taylor Davidson (@tdavidson) of Foresight._x000a_© 2023, Unstructured Ventures, LLC._x000a_Questions, contact taylor@foresight.is or @tdavidson_x000a_" id="2"/>
  </tableColumns>
  <tableStyleInfo name="README-style" showColumnStripes="0" showFirstColumn="1" showLastColumn="1" showRowStripes="1"/>
</table>
</file>

<file path=xl/tables/table2.xml><?xml version="1.0" encoding="utf-8"?>
<table xmlns="http://schemas.openxmlformats.org/spreadsheetml/2006/main" ref="B15:C27" displayName="Table_2" id="2">
  <tableColumns count="2">
    <tableColumn name="README" id="1"/>
    <tableColumn name="Contact into, overview on model. Safe to delete or hide." id="2"/>
  </tableColumns>
  <tableStyleInfo name="README-style 2" showColumnStripes="0" showFirstColumn="1" showLastColumn="1" showRowStripes="1"/>
</table>
</file>

<file path=xl/tables/table3.xml><?xml version="1.0" encoding="utf-8"?>
<table xmlns="http://schemas.openxmlformats.org/spreadsheetml/2006/main" ref="B7:D25" displayName="Table_3" id="3">
  <tableColumns count="3">
    <tableColumn name="How to Model a Venture Capital Fund" id="1"/>
    <tableColumn name="Post detailing how to model a venture capital fund, detailing all the components, methods, considerations, and links to template models to review" id="2"/>
    <tableColumn name="https://openvc.app/blog/how-to-model-a-venture-capital-fund" id="3"/>
  </tableColumns>
  <tableStyleInfo name="Resources-style" showColumnStripes="0" showFirstColumn="1" showLastColumn="1" showRowStripes="1"/>
</table>
</file>

<file path=xl/tables/table4.xml><?xml version="1.0" encoding="utf-8"?>
<table xmlns="http://schemas.openxmlformats.org/spreadsheetml/2006/main" headerRowCount="0" ref="B7:R18" displayName="Table_4" id="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Model Comparison-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B7:C42" displayName="Table_5" id="5">
  <tableColumns count="2">
    <tableColumn name="Limited Partner" id="1"/>
    <tableColumn name="Part-owner of a company whose liability for the firm's debts cannot exceed the amount that an individual invested in the company. In VC, the investors in the fund. https://www.investopedia.com/terms/l/limited-partner.asp" id="2"/>
  </tableColumns>
  <tableStyleInfo name="Glossary-style" showColumnStripes="0" showFirstColumn="1" showLastColumn="1" showRowStripes="1"/>
</table>
</file>

<file path=xl/tables/table6.xml><?xml version="1.0" encoding="utf-8"?>
<table xmlns="http://schemas.openxmlformats.org/spreadsheetml/2006/main" headerRowCount="0" ref="B7:D14" displayName="Table_6" id="6">
  <tableColumns count="3">
    <tableColumn name="Column1" id="1"/>
    <tableColumn name="Column2" id="2"/>
    <tableColumn name="Column3" id="3"/>
  </tableColumns>
  <tableStyleInfo name="Changelog-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esight.is/venture-fund-model" TargetMode="External"/><Relationship Id="rId2" Type="http://schemas.openxmlformats.org/officeDocument/2006/relationships/hyperlink" Target="https://foresight.is/learn/support" TargetMode="External"/><Relationship Id="rId3" Type="http://schemas.openxmlformats.org/officeDocument/2006/relationships/hyperlink" Target="https://www.loom.com/share/abc1eec8e3dc4066bd8ab59ab69886b3" TargetMode="External"/><Relationship Id="rId4" Type="http://schemas.openxmlformats.org/officeDocument/2006/relationships/hyperlink" Target="https://foresight.is/learn/colors-and-formatting" TargetMode="Externa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hyperlink" Target="https://foresight.is/license"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foresight.is/learn/fast-standard"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drawing" Target="../drawings/drawing6.xml"/><Relationship Id="rId11" Type="http://schemas.openxmlformats.org/officeDocument/2006/relationships/hyperlink" Target="https://foresight.is/venture-fund-model" TargetMode="External"/><Relationship Id="rId22" Type="http://schemas.openxmlformats.org/officeDocument/2006/relationships/table" Target="../tables/table3.xml"/><Relationship Id="rId10" Type="http://schemas.openxmlformats.org/officeDocument/2006/relationships/hyperlink" Target="https://foresight.is/vc" TargetMode="External"/><Relationship Id="rId13" Type="http://schemas.openxmlformats.org/officeDocument/2006/relationships/hyperlink" Target="https://foresight.is/venture-portfolio-model" TargetMode="External"/><Relationship Id="rId12" Type="http://schemas.openxmlformats.org/officeDocument/2006/relationships/hyperlink" Target="https://foresight.is/vc" TargetMode="External"/><Relationship Id="rId1" Type="http://schemas.openxmlformats.org/officeDocument/2006/relationships/hyperlink" Target="https://openvc.app/blog/how-to-model-a-venture-capital-fund" TargetMode="External"/><Relationship Id="rId2" Type="http://schemas.openxmlformats.org/officeDocument/2006/relationships/hyperlink" Target="https://eniacvc.medium.com/seed-fund-portfolio-construction-for-dummies-9ec5b4d152dc" TargetMode="External"/><Relationship Id="rId3" Type="http://schemas.openxmlformats.org/officeDocument/2006/relationships/hyperlink" Target="https://vc.tactyc.io/" TargetMode="External"/><Relationship Id="rId4" Type="http://schemas.openxmlformats.org/officeDocument/2006/relationships/hyperlink" Target="https://my.causal.app/models/7140" TargetMode="External"/><Relationship Id="rId9" Type="http://schemas.openxmlformats.org/officeDocument/2006/relationships/hyperlink" Target="https://foresight.is/vc" TargetMode="External"/><Relationship Id="rId15" Type="http://schemas.openxmlformats.org/officeDocument/2006/relationships/hyperlink" Target="https://foresight.is/cap-table" TargetMode="External"/><Relationship Id="rId14" Type="http://schemas.openxmlformats.org/officeDocument/2006/relationships/hyperlink" Target="https://www.angellist.com/blog/rolling-fund-budget" TargetMode="External"/><Relationship Id="rId17" Type="http://schemas.openxmlformats.org/officeDocument/2006/relationships/hyperlink" Target="https://angel.co/v/venture/calculator" TargetMode="External"/><Relationship Id="rId16" Type="http://schemas.openxmlformats.org/officeDocument/2006/relationships/hyperlink" Target="https://foresight.is/learn/venture-valuation" TargetMode="External"/><Relationship Id="rId5" Type="http://schemas.openxmlformats.org/officeDocument/2006/relationships/hyperlink" Target="https://medium.com/@gerstenzang/open-source-venture-model-osvm-v1-55bebf3eda9" TargetMode="External"/><Relationship Id="rId19" Type="http://schemas.openxmlformats.org/officeDocument/2006/relationships/hyperlink" Target="https://vcmethod.com/" TargetMode="External"/><Relationship Id="rId6" Type="http://schemas.openxmlformats.org/officeDocument/2006/relationships/hyperlink" Target="https://airstreamalpha.com/financial-model/" TargetMode="External"/><Relationship Id="rId18" Type="http://schemas.openxmlformats.org/officeDocument/2006/relationships/hyperlink" Target="https://avc.com/2008/08/venture-fund-1/" TargetMode="External"/><Relationship Id="rId7" Type="http://schemas.openxmlformats.org/officeDocument/2006/relationships/hyperlink" Target="https://foresight.is/vc" TargetMode="External"/><Relationship Id="rId8" Type="http://schemas.openxmlformats.org/officeDocument/2006/relationships/hyperlink" Target="https://foresight.is/vc"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foresight.is/runway-cash-forecasting" TargetMode="External"/><Relationship Id="rId10" Type="http://schemas.openxmlformats.org/officeDocument/2006/relationships/hyperlink" Target="https://foresight.is/venture-valuation-tool/" TargetMode="External"/><Relationship Id="rId12" Type="http://schemas.openxmlformats.org/officeDocument/2006/relationships/drawing" Target="../drawings/drawing7.xml"/><Relationship Id="rId1" Type="http://schemas.openxmlformats.org/officeDocument/2006/relationships/hyperlink" Target="https://foresight.is/venture-fund-model-overall/" TargetMode="External"/><Relationship Id="rId2" Type="http://schemas.openxmlformats.org/officeDocument/2006/relationships/hyperlink" Target="https://foresight.is/venture-fund-model-annual/" TargetMode="External"/><Relationship Id="rId3" Type="http://schemas.openxmlformats.org/officeDocument/2006/relationships/hyperlink" Target="https://foresight.is/venture-fund-model-portfolio/" TargetMode="External"/><Relationship Id="rId4" Type="http://schemas.openxmlformats.org/officeDocument/2006/relationships/hyperlink" Target="https://foresight.is/venture-fund-model-detailed/" TargetMode="External"/><Relationship Id="rId9" Type="http://schemas.openxmlformats.org/officeDocument/2006/relationships/hyperlink" Target="https://foresight.is/cap-table" TargetMode="External"/><Relationship Id="rId14" Type="http://schemas.openxmlformats.org/officeDocument/2006/relationships/table" Target="../tables/table4.xml"/><Relationship Id="rId5" Type="http://schemas.openxmlformats.org/officeDocument/2006/relationships/hyperlink" Target="https://foresight.is/venture-fund-model" TargetMode="External"/><Relationship Id="rId6" Type="http://schemas.openxmlformats.org/officeDocument/2006/relationships/hyperlink" Target="https://foresight.is/venture-fund-model-tracking/" TargetMode="External"/><Relationship Id="rId7" Type="http://schemas.openxmlformats.org/officeDocument/2006/relationships/hyperlink" Target="https://foresight.is/venture-portfolio-model/" TargetMode="External"/><Relationship Id="rId8" Type="http://schemas.openxmlformats.org/officeDocument/2006/relationships/hyperlink" Target="https://foresight.is/rolling-fund-templat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35.13"/>
    <col customWidth="1" min="3" max="3" width="65.63"/>
    <col customWidth="1" min="4" max="5" width="22.75"/>
  </cols>
  <sheetData>
    <row r="1">
      <c r="A1" s="1"/>
    </row>
    <row r="2">
      <c r="B2" s="2" t="s">
        <v>0</v>
      </c>
    </row>
    <row r="3">
      <c r="B3" s="3"/>
    </row>
    <row r="4">
      <c r="B4" s="4" t="s">
        <v>1</v>
      </c>
      <c r="C4" s="5" t="s">
        <v>2</v>
      </c>
    </row>
    <row r="5">
      <c r="B5" s="4" t="s">
        <v>3</v>
      </c>
      <c r="C5" s="6" t="s">
        <v>4</v>
      </c>
    </row>
    <row r="6">
      <c r="B6" s="4" t="s">
        <v>5</v>
      </c>
      <c r="C6" s="7" t="s">
        <v>6</v>
      </c>
    </row>
    <row r="7">
      <c r="B7" s="8" t="s">
        <v>7</v>
      </c>
      <c r="C7" s="7" t="s">
        <v>8</v>
      </c>
    </row>
    <row r="8">
      <c r="B8" s="8" t="s">
        <v>9</v>
      </c>
      <c r="C8" s="7" t="s">
        <v>10</v>
      </c>
    </row>
    <row r="9">
      <c r="B9" s="8" t="s">
        <v>11</v>
      </c>
      <c r="C9" s="7" t="s">
        <v>12</v>
      </c>
    </row>
    <row r="10">
      <c r="B10" s="4" t="s">
        <v>13</v>
      </c>
      <c r="C10" s="9" t="s">
        <v>14</v>
      </c>
    </row>
    <row r="11" ht="24.75" customHeight="1">
      <c r="B11" s="8" t="s">
        <v>15</v>
      </c>
      <c r="C11" s="7" t="s">
        <v>16</v>
      </c>
    </row>
    <row r="12">
      <c r="B12" s="10"/>
      <c r="C12" s="11"/>
    </row>
    <row r="13">
      <c r="B13" s="10" t="s">
        <v>17</v>
      </c>
      <c r="C13" s="11"/>
    </row>
    <row r="14">
      <c r="B14" s="12"/>
      <c r="C14" s="13"/>
    </row>
    <row r="15">
      <c r="B15" s="14" t="s">
        <v>18</v>
      </c>
      <c r="C15" s="14" t="s">
        <v>19</v>
      </c>
    </row>
    <row r="16">
      <c r="B16" s="14" t="s">
        <v>20</v>
      </c>
      <c r="C16" s="15" t="s">
        <v>21</v>
      </c>
    </row>
    <row r="17">
      <c r="B17" s="14" t="s">
        <v>3</v>
      </c>
      <c r="C17" s="15" t="s">
        <v>22</v>
      </c>
    </row>
    <row r="18">
      <c r="B18" s="14" t="s">
        <v>23</v>
      </c>
      <c r="C18" s="14" t="s">
        <v>24</v>
      </c>
    </row>
    <row r="19">
      <c r="B19" s="14" t="s">
        <v>25</v>
      </c>
      <c r="C19" s="9" t="s">
        <v>26</v>
      </c>
    </row>
    <row r="20">
      <c r="B20" s="9" t="s">
        <v>27</v>
      </c>
      <c r="C20" s="9" t="s">
        <v>28</v>
      </c>
    </row>
    <row r="21">
      <c r="B21" s="14" t="s">
        <v>29</v>
      </c>
      <c r="C21" s="9" t="s">
        <v>30</v>
      </c>
    </row>
    <row r="22">
      <c r="B22" s="14" t="s">
        <v>31</v>
      </c>
      <c r="C22" s="14" t="s">
        <v>32</v>
      </c>
    </row>
    <row r="23">
      <c r="B23" s="14" t="s">
        <v>33</v>
      </c>
      <c r="C23" s="14" t="s">
        <v>34</v>
      </c>
    </row>
    <row r="24">
      <c r="B24" s="14" t="s">
        <v>35</v>
      </c>
      <c r="C24" s="14" t="s">
        <v>36</v>
      </c>
    </row>
    <row r="25">
      <c r="B25" s="14" t="s">
        <v>37</v>
      </c>
      <c r="C25" s="14" t="s">
        <v>38</v>
      </c>
    </row>
    <row r="26">
      <c r="B26" s="14" t="s">
        <v>39</v>
      </c>
      <c r="C26" s="14" t="s">
        <v>40</v>
      </c>
    </row>
    <row r="27">
      <c r="B27" s="14" t="s">
        <v>41</v>
      </c>
      <c r="C27" s="14" t="s">
        <v>42</v>
      </c>
    </row>
    <row r="28">
      <c r="B28" s="16"/>
      <c r="C28" s="17"/>
    </row>
  </sheetData>
  <hyperlinks>
    <hyperlink display="tl:dr; You can modify, edit, use, and share within your company (and with third-parties as needed to operate your business). You may not redistribute, resell, give away to others. Full license.&#10;" location="License!A1" ref="C5"/>
    <hyperlink r:id="rId1" ref="C6"/>
    <hyperlink display="File &gt; Make a Copy to copy it to your own Google Drive, or File &gt; Download to download this to use in Excel or other spreadsheet programs. See License for warranties and liabilities.&#10;" location="License!A1" ref="C7"/>
    <hyperlink r:id="rId2" ref="C8"/>
    <hyperlink display="Check out the Resources for other resources for modeling venture funds, and check out Foresight's Venture Investor Model for a more detailed fund model with financial statements, management company budgeting, and more.&#10;" location="null!A1" ref="C9"/>
    <hyperlink r:id="rId3" ref="C11"/>
    <hyperlink r:id="rId4" ref="C16"/>
    <hyperlink r:id="rId5" ref="C17"/>
  </hyperlinks>
  <drawing r:id="rId6"/>
  <tableParts count="2">
    <tablePart r:id="rId9"/>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79.13"/>
  </cols>
  <sheetData>
    <row r="1" ht="29.25" customHeight="1">
      <c r="A1" s="2"/>
      <c r="B1" s="2" t="s">
        <v>43</v>
      </c>
    </row>
    <row r="2" ht="19.5" customHeight="1">
      <c r="A2" s="18"/>
      <c r="B2" s="19" t="s">
        <v>44</v>
      </c>
    </row>
    <row r="3">
      <c r="A3" s="20"/>
      <c r="B3" s="20"/>
    </row>
    <row r="4">
      <c r="A4" s="21"/>
      <c r="B4" s="21" t="s">
        <v>45</v>
      </c>
    </row>
    <row r="5">
      <c r="A5" s="20"/>
      <c r="B5" s="20"/>
    </row>
    <row r="6">
      <c r="A6" s="21"/>
      <c r="B6" s="21" t="s">
        <v>46</v>
      </c>
    </row>
    <row r="7">
      <c r="A7" s="20"/>
      <c r="B7" s="20"/>
    </row>
    <row r="8">
      <c r="A8" s="21"/>
      <c r="B8" s="21" t="s">
        <v>47</v>
      </c>
    </row>
    <row r="9">
      <c r="A9" s="21"/>
      <c r="B9" s="21" t="s">
        <v>48</v>
      </c>
    </row>
    <row r="10">
      <c r="A10" s="21"/>
      <c r="B10" s="21" t="s">
        <v>49</v>
      </c>
    </row>
    <row r="11">
      <c r="A11" s="21"/>
      <c r="B11" s="21" t="s">
        <v>50</v>
      </c>
    </row>
    <row r="12">
      <c r="A12" s="21"/>
      <c r="B12" s="21" t="s">
        <v>51</v>
      </c>
    </row>
    <row r="13">
      <c r="A13" s="20"/>
      <c r="B13" s="20"/>
    </row>
    <row r="14">
      <c r="A14" s="21"/>
      <c r="B14" s="21" t="s">
        <v>52</v>
      </c>
    </row>
    <row r="15">
      <c r="A15" s="21"/>
      <c r="B15" s="21" t="s">
        <v>53</v>
      </c>
    </row>
    <row r="16">
      <c r="A16" s="21"/>
      <c r="B16" s="21" t="s">
        <v>54</v>
      </c>
    </row>
    <row r="17">
      <c r="A17" s="21"/>
      <c r="B17" s="21" t="s">
        <v>55</v>
      </c>
    </row>
    <row r="18">
      <c r="A18" s="21"/>
      <c r="B18" s="21" t="s">
        <v>56</v>
      </c>
    </row>
    <row r="19">
      <c r="A19" s="21"/>
      <c r="B19" s="21" t="s">
        <v>57</v>
      </c>
    </row>
    <row r="20">
      <c r="A20" s="21"/>
      <c r="B20" s="21" t="s">
        <v>58</v>
      </c>
    </row>
    <row r="21">
      <c r="A21" s="21"/>
      <c r="B21" s="21" t="s">
        <v>59</v>
      </c>
    </row>
    <row r="22">
      <c r="A22" s="20"/>
      <c r="B22" s="20"/>
    </row>
    <row r="23">
      <c r="A23" s="21"/>
      <c r="B23" s="21" t="s">
        <v>60</v>
      </c>
    </row>
    <row r="24">
      <c r="A24" s="20"/>
      <c r="B24" s="20"/>
    </row>
    <row r="25">
      <c r="A25" s="21"/>
      <c r="B25" s="21" t="s">
        <v>61</v>
      </c>
    </row>
    <row r="26">
      <c r="A26" s="20"/>
      <c r="B26" s="20"/>
    </row>
    <row r="27">
      <c r="A27" s="21"/>
      <c r="B27" s="21" t="s">
        <v>62</v>
      </c>
    </row>
    <row r="28">
      <c r="A28" s="20"/>
      <c r="B28" s="20"/>
    </row>
    <row r="29">
      <c r="A29" s="21"/>
      <c r="B29" s="21" t="s">
        <v>63</v>
      </c>
    </row>
  </sheetData>
  <hyperlinks>
    <hyperlink r:id="rId1"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8"/>
    <col customWidth="1" min="2" max="2" width="41.75"/>
    <col customWidth="1" min="3" max="3" width="5.25"/>
    <col customWidth="1" min="6" max="6" width="10.5"/>
    <col customWidth="1" min="8" max="8" width="13.63"/>
    <col customWidth="1" min="9" max="9" width="7.75"/>
    <col customWidth="1" min="10" max="10" width="79.25"/>
  </cols>
  <sheetData>
    <row r="1">
      <c r="C1" s="22"/>
    </row>
    <row r="2">
      <c r="B2" s="2" t="s">
        <v>23</v>
      </c>
      <c r="C2" s="22"/>
    </row>
    <row r="3">
      <c r="B3" s="23" t="s">
        <v>64</v>
      </c>
      <c r="C3" s="22"/>
    </row>
    <row r="4">
      <c r="B4" s="24"/>
    </row>
    <row r="5">
      <c r="B5" s="24" t="s">
        <v>65</v>
      </c>
    </row>
    <row r="6">
      <c r="B6" s="23" t="s">
        <v>66</v>
      </c>
      <c r="C6" s="25"/>
      <c r="D6" s="26"/>
      <c r="E6" s="26"/>
    </row>
    <row r="7">
      <c r="B7" s="16"/>
      <c r="C7" s="25"/>
      <c r="D7" s="26"/>
      <c r="E7" s="26"/>
    </row>
    <row r="8">
      <c r="B8" s="27" t="s">
        <v>67</v>
      </c>
      <c r="C8" s="28" t="s">
        <v>68</v>
      </c>
      <c r="D8" s="29" t="s">
        <v>69</v>
      </c>
      <c r="E8" s="29" t="s">
        <v>33</v>
      </c>
      <c r="J8" s="30" t="s">
        <v>70</v>
      </c>
    </row>
    <row r="9">
      <c r="B9" s="16" t="s">
        <v>71</v>
      </c>
      <c r="C9" s="31" t="s">
        <v>72</v>
      </c>
      <c r="D9" s="32">
        <v>1.0E8</v>
      </c>
      <c r="E9" s="33">
        <f>D9</f>
        <v>100000000</v>
      </c>
      <c r="J9" s="16" t="s">
        <v>73</v>
      </c>
    </row>
    <row r="10">
      <c r="B10" s="16" t="s">
        <v>74</v>
      </c>
      <c r="C10" s="25" t="s">
        <v>75</v>
      </c>
      <c r="D10" s="34">
        <v>0.02</v>
      </c>
      <c r="E10" s="33">
        <f>D10*E$9</f>
        <v>2000000</v>
      </c>
      <c r="J10" s="16" t="s">
        <v>76</v>
      </c>
    </row>
    <row r="11">
      <c r="B11" s="16" t="s">
        <v>77</v>
      </c>
      <c r="C11" s="35" t="str">
        <f t="shared" ref="C11:C12" si="1">C$9</f>
        <v>$</v>
      </c>
      <c r="D11" s="32">
        <v>150000.0</v>
      </c>
      <c r="E11" s="33">
        <f>D11</f>
        <v>150000</v>
      </c>
      <c r="J11" s="16" t="s">
        <v>78</v>
      </c>
    </row>
    <row r="12">
      <c r="B12" s="16" t="s">
        <v>79</v>
      </c>
      <c r="C12" s="35" t="str">
        <f t="shared" si="1"/>
        <v>$</v>
      </c>
      <c r="D12" s="32">
        <v>100000.0</v>
      </c>
      <c r="E12" s="33">
        <f>D12*D18</f>
        <v>1400000</v>
      </c>
      <c r="H12" s="16"/>
      <c r="I12" s="16"/>
      <c r="J12" s="16" t="s">
        <v>78</v>
      </c>
    </row>
    <row r="13">
      <c r="B13" s="16" t="s">
        <v>80</v>
      </c>
      <c r="C13" s="25" t="s">
        <v>75</v>
      </c>
      <c r="D13" s="34">
        <v>0.02</v>
      </c>
      <c r="E13" s="33">
        <f>Forecast!E35</f>
        <v>23520000</v>
      </c>
      <c r="H13" s="16"/>
      <c r="I13" s="16"/>
      <c r="J13" s="16" t="s">
        <v>81</v>
      </c>
    </row>
    <row r="14">
      <c r="B14" s="16" t="s">
        <v>82</v>
      </c>
      <c r="C14" s="25" t="s">
        <v>75</v>
      </c>
      <c r="D14" s="34">
        <v>1.0</v>
      </c>
      <c r="E14" s="33">
        <f>D14*E13</f>
        <v>23520000</v>
      </c>
      <c r="H14" s="16"/>
      <c r="I14" s="16"/>
      <c r="J14" s="16" t="s">
        <v>83</v>
      </c>
    </row>
    <row r="15">
      <c r="B15" s="16" t="s">
        <v>84</v>
      </c>
      <c r="C15" s="25" t="s">
        <v>75</v>
      </c>
      <c r="D15" s="34">
        <v>0.2</v>
      </c>
      <c r="E15" s="33">
        <f>Forecast!E40</f>
        <v>35689168</v>
      </c>
      <c r="J15" s="16" t="s">
        <v>85</v>
      </c>
    </row>
    <row r="16">
      <c r="B16" s="36" t="s">
        <v>86</v>
      </c>
      <c r="C16" s="25" t="s">
        <v>87</v>
      </c>
      <c r="D16" s="37">
        <v>3.0</v>
      </c>
      <c r="E16" s="38"/>
      <c r="F16" s="39"/>
      <c r="G16" s="39"/>
      <c r="H16" s="16"/>
      <c r="I16" s="16"/>
      <c r="J16" s="40" t="s">
        <v>88</v>
      </c>
    </row>
    <row r="17">
      <c r="B17" s="36" t="s">
        <v>89</v>
      </c>
      <c r="C17" s="25" t="s">
        <v>87</v>
      </c>
      <c r="D17" s="37">
        <v>12.0</v>
      </c>
      <c r="E17" s="38"/>
      <c r="F17" s="39"/>
      <c r="G17" s="39"/>
      <c r="H17" s="16"/>
      <c r="I17" s="16"/>
      <c r="J17" s="41" t="s">
        <v>90</v>
      </c>
    </row>
    <row r="18">
      <c r="B18" s="36" t="s">
        <v>91</v>
      </c>
      <c r="C18" s="25" t="s">
        <v>87</v>
      </c>
      <c r="D18" s="37">
        <f>max(G43:G46)+D37+D16-1</f>
        <v>14</v>
      </c>
      <c r="E18" s="42"/>
      <c r="H18" s="16"/>
      <c r="I18" s="16"/>
      <c r="J18" s="41" t="s">
        <v>92</v>
      </c>
    </row>
    <row r="19">
      <c r="B19" s="24"/>
      <c r="C19" s="42"/>
      <c r="D19" s="42"/>
      <c r="E19" s="42"/>
      <c r="H19" s="16"/>
      <c r="I19" s="16"/>
    </row>
    <row r="20">
      <c r="B20" s="43"/>
      <c r="C20" s="42"/>
      <c r="D20" s="42"/>
      <c r="E20" s="42"/>
      <c r="H20" s="16"/>
      <c r="I20" s="16"/>
    </row>
    <row r="21">
      <c r="B21" s="43" t="s">
        <v>93</v>
      </c>
      <c r="C21" s="42"/>
      <c r="D21" s="42"/>
      <c r="E21" s="42"/>
      <c r="H21" s="16"/>
      <c r="I21" s="16"/>
    </row>
    <row r="22">
      <c r="B22" s="44" t="s">
        <v>94</v>
      </c>
      <c r="C22" s="42"/>
      <c r="D22" s="42"/>
      <c r="E22" s="42"/>
      <c r="H22" s="16"/>
      <c r="I22" s="16"/>
    </row>
    <row r="23">
      <c r="B23" s="24"/>
      <c r="C23" s="42"/>
      <c r="D23" s="42"/>
      <c r="E23" s="42"/>
      <c r="H23" s="16"/>
      <c r="I23" s="16"/>
    </row>
    <row r="24">
      <c r="B24" s="27" t="s">
        <v>95</v>
      </c>
      <c r="C24" s="28" t="s">
        <v>68</v>
      </c>
      <c r="D24" s="29" t="s">
        <v>96</v>
      </c>
      <c r="E24" s="29" t="s">
        <v>97</v>
      </c>
      <c r="H24" s="16"/>
      <c r="I24" s="16"/>
      <c r="J24" s="16"/>
    </row>
    <row r="25">
      <c r="B25" s="16" t="s">
        <v>71</v>
      </c>
      <c r="C25" s="35" t="str">
        <f>C$9</f>
        <v>$</v>
      </c>
      <c r="D25" s="32">
        <v>5000000.0</v>
      </c>
      <c r="E25" s="32">
        <v>2.5E7</v>
      </c>
      <c r="H25" s="16"/>
      <c r="I25" s="16"/>
      <c r="J25" s="16" t="s">
        <v>98</v>
      </c>
    </row>
    <row r="26">
      <c r="B26" s="16" t="s">
        <v>74</v>
      </c>
      <c r="C26" s="25" t="s">
        <v>75</v>
      </c>
      <c r="D26" s="45">
        <v>0.0</v>
      </c>
      <c r="E26" s="34">
        <v>0.0</v>
      </c>
      <c r="H26" s="16"/>
      <c r="I26" s="16"/>
      <c r="J26" s="16" t="s">
        <v>99</v>
      </c>
    </row>
    <row r="27">
      <c r="B27" s="16" t="s">
        <v>77</v>
      </c>
      <c r="C27" s="35" t="str">
        <f t="shared" ref="C27:C28" si="2">C$9</f>
        <v>$</v>
      </c>
      <c r="D27" s="33">
        <f>D25/E25*E27</f>
        <v>30000</v>
      </c>
      <c r="E27" s="32">
        <v>150000.0</v>
      </c>
      <c r="H27" s="16"/>
      <c r="I27" s="16"/>
      <c r="J27" s="16" t="s">
        <v>100</v>
      </c>
    </row>
    <row r="28">
      <c r="B28" s="16" t="s">
        <v>79</v>
      </c>
      <c r="C28" s="35" t="str">
        <f t="shared" si="2"/>
        <v>$</v>
      </c>
      <c r="D28" s="33">
        <f>D25/E25*E28</f>
        <v>20000</v>
      </c>
      <c r="E28" s="32">
        <v>100000.0</v>
      </c>
      <c r="H28" s="16"/>
      <c r="I28" s="16"/>
      <c r="J28" s="16" t="s">
        <v>100</v>
      </c>
    </row>
    <row r="29">
      <c r="B29" s="16" t="s">
        <v>80</v>
      </c>
      <c r="C29" s="25" t="s">
        <v>75</v>
      </c>
      <c r="D29" s="34">
        <v>0.02</v>
      </c>
      <c r="E29" s="33">
        <f>Forecast!E305/Forecast!E158*E25</f>
        <v>5000000</v>
      </c>
      <c r="H29" s="16"/>
      <c r="I29" s="16"/>
      <c r="J29" s="16" t="s">
        <v>101</v>
      </c>
    </row>
    <row r="30">
      <c r="B30" s="16" t="s">
        <v>82</v>
      </c>
      <c r="C30" s="25" t="s">
        <v>75</v>
      </c>
      <c r="D30" s="34">
        <v>1.0</v>
      </c>
      <c r="E30" s="33">
        <f>D30*E29</f>
        <v>5000000</v>
      </c>
      <c r="H30" s="16"/>
      <c r="I30" s="16"/>
      <c r="J30" s="16" t="s">
        <v>101</v>
      </c>
    </row>
    <row r="31">
      <c r="B31" s="16" t="s">
        <v>84</v>
      </c>
      <c r="C31" s="25" t="s">
        <v>75</v>
      </c>
      <c r="D31" s="34">
        <v>0.2</v>
      </c>
      <c r="H31" s="16"/>
      <c r="I31" s="16"/>
      <c r="J31" s="16" t="s">
        <v>101</v>
      </c>
    </row>
    <row r="32">
      <c r="B32" s="16"/>
      <c r="C32" s="25"/>
      <c r="D32" s="46"/>
      <c r="E32" s="46"/>
      <c r="H32" s="16"/>
      <c r="I32" s="16"/>
      <c r="J32" s="16"/>
    </row>
    <row r="33">
      <c r="B33" s="16"/>
      <c r="C33" s="25"/>
      <c r="D33" s="46"/>
      <c r="E33" s="46"/>
      <c r="H33" s="16"/>
      <c r="I33" s="16"/>
      <c r="J33" s="16"/>
    </row>
    <row r="34">
      <c r="B34" s="27" t="s">
        <v>102</v>
      </c>
      <c r="C34" s="28" t="s">
        <v>68</v>
      </c>
      <c r="D34" s="47" t="s">
        <v>103</v>
      </c>
      <c r="E34" s="47" t="s">
        <v>104</v>
      </c>
      <c r="H34" s="16"/>
      <c r="I34" s="16"/>
      <c r="J34" s="16"/>
    </row>
    <row r="35">
      <c r="B35" s="16" t="s">
        <v>105</v>
      </c>
      <c r="C35" s="25" t="s">
        <v>75</v>
      </c>
      <c r="D35" s="48">
        <v>0.6</v>
      </c>
      <c r="E35" s="49">
        <f>1-D35</f>
        <v>0.4</v>
      </c>
      <c r="H35" s="16"/>
      <c r="I35" s="16"/>
      <c r="J35" s="16" t="s">
        <v>106</v>
      </c>
    </row>
    <row r="36">
      <c r="B36" s="16" t="s">
        <v>107</v>
      </c>
      <c r="C36" s="35" t="str">
        <f>C$9</f>
        <v>$</v>
      </c>
      <c r="D36" s="50">
        <v>250000.0</v>
      </c>
      <c r="E36" s="50">
        <v>125000.0</v>
      </c>
      <c r="H36" s="16"/>
      <c r="I36" s="16"/>
      <c r="J36" s="51" t="s">
        <v>108</v>
      </c>
    </row>
    <row r="37">
      <c r="B37" s="16" t="s">
        <v>109</v>
      </c>
      <c r="C37" s="25" t="s">
        <v>87</v>
      </c>
      <c r="D37" s="50">
        <v>4.0</v>
      </c>
      <c r="E37" s="42"/>
      <c r="H37" s="16"/>
      <c r="I37" s="16"/>
      <c r="J37" s="16" t="s">
        <v>110</v>
      </c>
    </row>
    <row r="38">
      <c r="B38" s="16" t="s">
        <v>111</v>
      </c>
      <c r="C38" s="25" t="s">
        <v>87</v>
      </c>
      <c r="D38" s="50">
        <v>10.0</v>
      </c>
      <c r="E38" s="42"/>
      <c r="H38" s="42"/>
      <c r="I38" s="42"/>
      <c r="J38" s="41" t="s">
        <v>90</v>
      </c>
    </row>
    <row r="39">
      <c r="B39" s="16" t="s">
        <v>112</v>
      </c>
      <c r="C39" s="25" t="s">
        <v>87</v>
      </c>
      <c r="D39" s="50">
        <f>max(G43:G46)+D37</f>
        <v>12</v>
      </c>
      <c r="J39" s="41" t="s">
        <v>92</v>
      </c>
    </row>
    <row r="40">
      <c r="B40" s="16" t="s">
        <v>113</v>
      </c>
      <c r="C40" s="35" t="str">
        <f>C$9</f>
        <v>$</v>
      </c>
      <c r="D40" s="33">
        <f>if( sumproduct(--(Forecast!G135:Z135&lt;&gt;"committed"),--(Forecast!G9:Z9=1)) = 0 , E25-E27-E28*D39-E29+E30 , E25-E27-E28*D39-E25*Forecast!E134*(1-D30) )</f>
        <v>23650000</v>
      </c>
      <c r="J40" s="16" t="s">
        <v>114</v>
      </c>
    </row>
    <row r="41">
      <c r="B41" s="16"/>
      <c r="C41" s="25"/>
      <c r="D41" s="16"/>
      <c r="E41" s="16"/>
      <c r="F41" s="16"/>
      <c r="G41" s="16"/>
      <c r="H41" s="16"/>
      <c r="J41" s="16"/>
    </row>
    <row r="42">
      <c r="B42" s="27" t="s">
        <v>115</v>
      </c>
      <c r="C42" s="28" t="s">
        <v>68</v>
      </c>
      <c r="D42" s="27" t="s">
        <v>116</v>
      </c>
      <c r="E42" s="27" t="s">
        <v>117</v>
      </c>
      <c r="F42" s="27" t="s">
        <v>118</v>
      </c>
      <c r="G42" s="27" t="s">
        <v>119</v>
      </c>
      <c r="H42" s="27" t="s">
        <v>120</v>
      </c>
      <c r="J42" s="16" t="s">
        <v>121</v>
      </c>
    </row>
    <row r="43">
      <c r="B43" s="52" t="s">
        <v>122</v>
      </c>
      <c r="C43" s="25" t="s">
        <v>123</v>
      </c>
      <c r="D43" s="48">
        <v>0.6</v>
      </c>
      <c r="E43" s="53">
        <f t="shared" ref="E43:E46" si="3">D43*E$47</f>
        <v>34.056</v>
      </c>
      <c r="F43" s="54">
        <v>0.0</v>
      </c>
      <c r="G43" s="50">
        <v>2.0</v>
      </c>
      <c r="H43" s="49">
        <f t="shared" ref="H43:H46" si="4">iferror(F43*D43/F$47,0)</f>
        <v>0</v>
      </c>
      <c r="J43" s="16" t="s">
        <v>124</v>
      </c>
    </row>
    <row r="44">
      <c r="B44" s="52" t="s">
        <v>125</v>
      </c>
      <c r="C44" s="25" t="s">
        <v>123</v>
      </c>
      <c r="D44" s="48">
        <v>0.2</v>
      </c>
      <c r="E44" s="53">
        <f t="shared" si="3"/>
        <v>11.352</v>
      </c>
      <c r="F44" s="54">
        <v>1.5</v>
      </c>
      <c r="G44" s="50">
        <v>3.0</v>
      </c>
      <c r="H44" s="49">
        <f t="shared" si="4"/>
        <v>0.075</v>
      </c>
      <c r="J44" s="16" t="s">
        <v>126</v>
      </c>
    </row>
    <row r="45">
      <c r="B45" s="52" t="s">
        <v>127</v>
      </c>
      <c r="C45" s="25" t="s">
        <v>123</v>
      </c>
      <c r="D45" s="48">
        <v>0.1</v>
      </c>
      <c r="E45" s="53">
        <f t="shared" si="3"/>
        <v>5.676</v>
      </c>
      <c r="F45" s="54">
        <v>5.0</v>
      </c>
      <c r="G45" s="50">
        <v>5.0</v>
      </c>
      <c r="H45" s="49">
        <f t="shared" si="4"/>
        <v>0.125</v>
      </c>
      <c r="J45" s="16" t="s">
        <v>128</v>
      </c>
    </row>
    <row r="46">
      <c r="B46" s="52" t="s">
        <v>129</v>
      </c>
      <c r="C46" s="25" t="s">
        <v>123</v>
      </c>
      <c r="D46" s="49">
        <f>max(0,1-sum(D43:D45))</f>
        <v>0.1</v>
      </c>
      <c r="E46" s="53">
        <f t="shared" si="3"/>
        <v>5.676</v>
      </c>
      <c r="F46" s="54">
        <v>32.0</v>
      </c>
      <c r="G46" s="50">
        <v>8.0</v>
      </c>
      <c r="H46" s="49">
        <f t="shared" si="4"/>
        <v>0.8</v>
      </c>
      <c r="J46" s="51" t="s">
        <v>130</v>
      </c>
    </row>
    <row r="47">
      <c r="B47" s="16" t="s">
        <v>131</v>
      </c>
      <c r="C47" s="25"/>
      <c r="D47" s="55">
        <f>sum(D43:D46)</f>
        <v>1</v>
      </c>
      <c r="E47" s="56">
        <f>iferror(D40*D35/D36,0)</f>
        <v>56.76</v>
      </c>
      <c r="F47" s="57">
        <f t="shared" ref="F47:G47" si="5">sumproduct(F43:F46,$D43:$D46)</f>
        <v>4</v>
      </c>
      <c r="G47" s="57">
        <f t="shared" si="5"/>
        <v>3.1</v>
      </c>
      <c r="H47" s="58">
        <f>sum(H43:H46)</f>
        <v>1</v>
      </c>
      <c r="J47" s="16" t="s">
        <v>132</v>
      </c>
    </row>
    <row r="48">
      <c r="B48" s="24"/>
      <c r="C48" s="25"/>
    </row>
    <row r="49">
      <c r="B49" s="16"/>
      <c r="C49" s="25"/>
    </row>
    <row r="50">
      <c r="B50" s="24" t="s">
        <v>133</v>
      </c>
      <c r="C50" s="25"/>
      <c r="E50" s="42"/>
      <c r="H50" s="16"/>
      <c r="I50" s="16"/>
    </row>
    <row r="51">
      <c r="B51" s="23" t="s">
        <v>134</v>
      </c>
      <c r="C51" s="25"/>
      <c r="D51" s="33"/>
      <c r="E51" s="42"/>
      <c r="H51" s="16"/>
      <c r="I51" s="16"/>
    </row>
    <row r="52">
      <c r="B52" s="16"/>
      <c r="C52" s="25"/>
      <c r="D52" s="33"/>
      <c r="E52" s="42"/>
      <c r="H52" s="16"/>
      <c r="I52" s="16"/>
    </row>
    <row r="53">
      <c r="B53" s="16" t="s">
        <v>135</v>
      </c>
      <c r="C53" s="35" t="str">
        <f t="shared" ref="C53:C59" si="6">C$9</f>
        <v>$</v>
      </c>
      <c r="D53" s="33">
        <f>Forecast!E27</f>
        <v>100000000</v>
      </c>
      <c r="E53" s="42"/>
      <c r="H53" s="16"/>
      <c r="I53" s="16"/>
      <c r="J53" s="59" t="s">
        <v>136</v>
      </c>
    </row>
    <row r="54">
      <c r="B54" s="16" t="s">
        <v>137</v>
      </c>
      <c r="C54" s="35" t="str">
        <f t="shared" si="6"/>
        <v>$</v>
      </c>
      <c r="D54" s="33">
        <f>Forecast!E35+Forecast!E34+Forecast!E33</f>
        <v>25070000</v>
      </c>
      <c r="E54" s="42"/>
      <c r="H54" s="16"/>
      <c r="I54" s="16"/>
      <c r="J54" s="39"/>
    </row>
    <row r="55">
      <c r="B55" s="16" t="s">
        <v>138</v>
      </c>
      <c r="C55" s="35" t="str">
        <f t="shared" si="6"/>
        <v>$</v>
      </c>
      <c r="D55" s="33">
        <f>Forecast!E36</f>
        <v>23520000</v>
      </c>
      <c r="E55" s="42"/>
      <c r="H55" s="16"/>
      <c r="I55" s="16"/>
      <c r="J55" s="39"/>
    </row>
    <row r="56">
      <c r="B56" s="16" t="s">
        <v>113</v>
      </c>
      <c r="C56" s="35" t="str">
        <f t="shared" si="6"/>
        <v>$</v>
      </c>
      <c r="D56" s="33">
        <f>if( sumproduct(--(Forecast!G14:Z14&lt;&gt;"committed"),--(Forecast!G9:Z9=1)) = 0 , E9-E11-E12-E13+E14 , E9-E11-E12-D9*Forecast!E13*(1-D14) )+Forecast!C32</f>
        <v>98450000</v>
      </c>
      <c r="E56" s="42"/>
      <c r="H56" s="16"/>
      <c r="I56" s="16"/>
      <c r="J56" s="60" t="s">
        <v>139</v>
      </c>
    </row>
    <row r="57">
      <c r="B57" s="16" t="s">
        <v>140</v>
      </c>
      <c r="C57" s="35" t="str">
        <f t="shared" si="6"/>
        <v>$</v>
      </c>
      <c r="D57" s="33">
        <f>Forecast!C791*D56</f>
        <v>301965840</v>
      </c>
      <c r="E57" s="61"/>
      <c r="H57" s="16"/>
      <c r="I57" s="16"/>
    </row>
    <row r="58">
      <c r="B58" s="16" t="s">
        <v>141</v>
      </c>
      <c r="C58" s="35" t="str">
        <f t="shared" si="6"/>
        <v>$</v>
      </c>
      <c r="D58" s="33">
        <f>Forecast!E121</f>
        <v>35689168</v>
      </c>
      <c r="E58" s="42"/>
      <c r="H58" s="16"/>
      <c r="I58" s="16"/>
    </row>
    <row r="59">
      <c r="B59" s="16" t="s">
        <v>142</v>
      </c>
      <c r="C59" s="35" t="str">
        <f t="shared" si="6"/>
        <v>$</v>
      </c>
      <c r="D59" s="33">
        <f>Forecast!E41</f>
        <v>242756672</v>
      </c>
      <c r="E59" s="42"/>
      <c r="H59" s="16"/>
      <c r="I59" s="16"/>
    </row>
    <row r="60">
      <c r="B60" s="16"/>
      <c r="C60" s="25"/>
      <c r="E60" s="42"/>
      <c r="H60" s="16"/>
      <c r="I60" s="16"/>
    </row>
    <row r="61">
      <c r="B61" s="16" t="s">
        <v>143</v>
      </c>
      <c r="C61" s="25" t="s">
        <v>87</v>
      </c>
      <c r="D61" s="62">
        <f>Forecast!E87</f>
        <v>3.0672</v>
      </c>
      <c r="E61" s="42"/>
      <c r="H61" s="16"/>
      <c r="I61" s="16"/>
      <c r="J61" s="16" t="s">
        <v>144</v>
      </c>
    </row>
    <row r="62">
      <c r="B62" s="16" t="s">
        <v>145</v>
      </c>
      <c r="C62" s="25" t="s">
        <v>87</v>
      </c>
      <c r="D62" s="62">
        <f>Forecast!E91</f>
        <v>2.42756672</v>
      </c>
      <c r="E62" s="42"/>
      <c r="H62" s="16"/>
      <c r="I62" s="16"/>
      <c r="J62" s="16" t="s">
        <v>146</v>
      </c>
    </row>
    <row r="63">
      <c r="B63" s="16" t="s">
        <v>147</v>
      </c>
      <c r="C63" s="25" t="s">
        <v>75</v>
      </c>
      <c r="D63" s="61">
        <f>Forecast!E88</f>
        <v>0.1768288938</v>
      </c>
      <c r="E63" s="42"/>
      <c r="H63" s="16"/>
      <c r="I63" s="16"/>
      <c r="J63" s="16" t="s">
        <v>148</v>
      </c>
    </row>
    <row r="64">
      <c r="B64" s="16" t="s">
        <v>149</v>
      </c>
      <c r="C64" s="25" t="s">
        <v>75</v>
      </c>
      <c r="D64" s="61">
        <f>Forecast!E92</f>
        <v>0.1283446202</v>
      </c>
      <c r="E64" s="42"/>
      <c r="H64" s="16"/>
      <c r="I64" s="16"/>
      <c r="J64" s="16" t="s">
        <v>150</v>
      </c>
    </row>
    <row r="65">
      <c r="B65" s="16" t="s">
        <v>151</v>
      </c>
      <c r="C65" s="25" t="s">
        <v>87</v>
      </c>
      <c r="D65" s="42">
        <f>D56/D25</f>
        <v>19.69</v>
      </c>
      <c r="E65" s="42"/>
      <c r="H65" s="16"/>
      <c r="I65" s="16"/>
      <c r="J65" s="16" t="s">
        <v>152</v>
      </c>
    </row>
    <row r="66">
      <c r="B66" s="43"/>
      <c r="C66" s="42"/>
      <c r="D66" s="42"/>
      <c r="E66" s="42"/>
      <c r="H66" s="16"/>
      <c r="I66" s="16"/>
    </row>
    <row r="67">
      <c r="B67" s="24" t="s">
        <v>153</v>
      </c>
      <c r="C67" s="25"/>
      <c r="E67" s="42"/>
      <c r="H67" s="16"/>
      <c r="I67" s="16"/>
    </row>
    <row r="68">
      <c r="B68" s="23" t="s">
        <v>134</v>
      </c>
      <c r="C68" s="25"/>
      <c r="D68" s="33"/>
      <c r="E68" s="42"/>
      <c r="H68" s="16"/>
      <c r="I68" s="16"/>
      <c r="J68" s="16" t="s">
        <v>154</v>
      </c>
    </row>
    <row r="69">
      <c r="B69" s="16"/>
      <c r="C69" s="25"/>
      <c r="D69" s="33"/>
      <c r="E69" s="42"/>
      <c r="H69" s="16"/>
      <c r="I69" s="16"/>
    </row>
    <row r="70">
      <c r="B70" s="16" t="s">
        <v>135</v>
      </c>
      <c r="C70" s="35" t="str">
        <f t="shared" ref="C70:C76" si="7">C$9</f>
        <v>$</v>
      </c>
      <c r="D70" s="63">
        <f>D71+D73-D72</f>
        <v>25000000</v>
      </c>
      <c r="E70" s="42"/>
      <c r="H70" s="16"/>
      <c r="I70" s="16"/>
    </row>
    <row r="71">
      <c r="B71" s="16" t="s">
        <v>137</v>
      </c>
      <c r="C71" s="35" t="str">
        <f t="shared" si="7"/>
        <v>$</v>
      </c>
      <c r="D71" s="33">
        <f>E27+E29+E28*D39</f>
        <v>6350000</v>
      </c>
      <c r="E71" s="42"/>
      <c r="H71" s="16"/>
      <c r="I71" s="16"/>
    </row>
    <row r="72">
      <c r="B72" s="16" t="s">
        <v>138</v>
      </c>
      <c r="C72" s="35" t="str">
        <f t="shared" si="7"/>
        <v>$</v>
      </c>
      <c r="D72" s="33">
        <f>E30</f>
        <v>5000000</v>
      </c>
      <c r="E72" s="42"/>
      <c r="H72" s="16"/>
      <c r="I72" s="16"/>
    </row>
    <row r="73">
      <c r="B73" s="16" t="s">
        <v>113</v>
      </c>
      <c r="C73" s="35" t="str">
        <f t="shared" si="7"/>
        <v>$</v>
      </c>
      <c r="D73" s="33">
        <f>D40</f>
        <v>23650000</v>
      </c>
      <c r="E73" s="42"/>
      <c r="H73" s="16"/>
      <c r="I73" s="16"/>
    </row>
    <row r="74">
      <c r="B74" s="16" t="s">
        <v>140</v>
      </c>
      <c r="C74" s="35" t="str">
        <f t="shared" si="7"/>
        <v>$</v>
      </c>
      <c r="D74" s="33">
        <f>(D76-D70)/(1-D31)+D70+D72</f>
        <v>94600000</v>
      </c>
      <c r="E74" s="42"/>
      <c r="H74" s="16"/>
      <c r="I74" s="16"/>
    </row>
    <row r="75">
      <c r="B75" s="16" t="s">
        <v>141</v>
      </c>
      <c r="C75" s="35" t="str">
        <f t="shared" si="7"/>
        <v>$</v>
      </c>
      <c r="D75" s="33">
        <f>D74-D76-D72</f>
        <v>12920000</v>
      </c>
      <c r="E75" s="61"/>
      <c r="H75" s="16"/>
      <c r="I75" s="16"/>
    </row>
    <row r="76">
      <c r="B76" s="16" t="s">
        <v>142</v>
      </c>
      <c r="C76" s="35" t="str">
        <f t="shared" si="7"/>
        <v>$</v>
      </c>
      <c r="D76" s="33">
        <f>D79*D70</f>
        <v>76680000</v>
      </c>
      <c r="E76" s="42"/>
      <c r="H76" s="16"/>
      <c r="I76" s="16"/>
    </row>
    <row r="77">
      <c r="B77" s="16"/>
      <c r="C77" s="25"/>
      <c r="E77" s="42"/>
      <c r="H77" s="16"/>
      <c r="I77" s="16"/>
    </row>
    <row r="78">
      <c r="B78" s="16" t="s">
        <v>143</v>
      </c>
      <c r="C78" s="25" t="s">
        <v>87</v>
      </c>
      <c r="D78" s="62">
        <f>iferror(D74/D73,0)</f>
        <v>4</v>
      </c>
      <c r="E78" s="42"/>
      <c r="H78" s="16"/>
      <c r="I78" s="16"/>
    </row>
    <row r="79">
      <c r="B79" s="16" t="s">
        <v>145</v>
      </c>
      <c r="C79" s="25" t="s">
        <v>87</v>
      </c>
      <c r="D79" s="62">
        <f>Forecast!C791</f>
        <v>3.0672</v>
      </c>
      <c r="E79" s="42"/>
      <c r="H79" s="16"/>
      <c r="I79" s="16"/>
    </row>
    <row r="80">
      <c r="B80" s="16" t="s">
        <v>147</v>
      </c>
      <c r="C80" s="25" t="s">
        <v>75</v>
      </c>
      <c r="D80" s="61">
        <f>Forecast!E791</f>
        <v>0.2349770344</v>
      </c>
      <c r="E80" s="42"/>
      <c r="H80" s="16"/>
      <c r="I80" s="16"/>
    </row>
    <row r="81">
      <c r="B81" s="16" t="s">
        <v>149</v>
      </c>
      <c r="C81" s="25" t="s">
        <v>75</v>
      </c>
      <c r="D81" s="61">
        <f>D63</f>
        <v>0.1768288938</v>
      </c>
      <c r="E81" s="42"/>
      <c r="H81" s="16"/>
      <c r="I81" s="16"/>
    </row>
    <row r="82">
      <c r="C82" s="25"/>
      <c r="D82" s="42"/>
      <c r="E82" s="42"/>
      <c r="H82" s="16"/>
      <c r="I82" s="16"/>
    </row>
  </sheetData>
  <hyperlinks>
    <hyperlink display="Follow ons are assumed to be on average 1-2 years after the new investment. If more detailed required, consider the Venture Investor Model (see Model Comparison sheet)" location="null!A1" ref="J36"/>
    <hyperlink display="Ownership % at exit an assumption, which you will need to make based on your investment strategy and expectation of how many rounds of capital a company will need to raise. This is a simplified way to do what can be a complicated thing, to do this in more detail consider the Venture Investor Model (see link in Model Comparison sheet), which has a full detailed Portfolio Construction option." location="null!A1" ref="J46"/>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4.38"/>
    <col customWidth="1" min="2" max="2" width="30.38"/>
    <col customWidth="1" min="3" max="3" width="12.5"/>
    <col customWidth="1" min="4" max="4" width="10.38"/>
    <col customWidth="1" min="5" max="5" width="11.0"/>
    <col customWidth="1" min="6" max="6" width="5.13"/>
  </cols>
  <sheetData>
    <row r="1">
      <c r="A1" s="1"/>
      <c r="B1" s="64"/>
    </row>
    <row r="2">
      <c r="B2" s="2" t="s">
        <v>155</v>
      </c>
    </row>
    <row r="4">
      <c r="A4" s="16"/>
      <c r="B4" s="27" t="s">
        <v>156</v>
      </c>
      <c r="C4" s="65"/>
      <c r="D4" s="66"/>
      <c r="E4" s="66"/>
      <c r="F4" s="67"/>
      <c r="G4" s="68">
        <f>1</f>
        <v>1</v>
      </c>
      <c r="H4" s="68">
        <f t="shared" ref="H4:Z4" si="1">G4+1</f>
        <v>2</v>
      </c>
      <c r="I4" s="68">
        <f t="shared" si="1"/>
        <v>3</v>
      </c>
      <c r="J4" s="68">
        <f t="shared" si="1"/>
        <v>4</v>
      </c>
      <c r="K4" s="68">
        <f t="shared" si="1"/>
        <v>5</v>
      </c>
      <c r="L4" s="68">
        <f t="shared" si="1"/>
        <v>6</v>
      </c>
      <c r="M4" s="68">
        <f t="shared" si="1"/>
        <v>7</v>
      </c>
      <c r="N4" s="68">
        <f t="shared" si="1"/>
        <v>8</v>
      </c>
      <c r="O4" s="68">
        <f t="shared" si="1"/>
        <v>9</v>
      </c>
      <c r="P4" s="68">
        <f t="shared" si="1"/>
        <v>10</v>
      </c>
      <c r="Q4" s="68">
        <f t="shared" si="1"/>
        <v>11</v>
      </c>
      <c r="R4" s="68">
        <f t="shared" si="1"/>
        <v>12</v>
      </c>
      <c r="S4" s="68">
        <f t="shared" si="1"/>
        <v>13</v>
      </c>
      <c r="T4" s="68">
        <f t="shared" si="1"/>
        <v>14</v>
      </c>
      <c r="U4" s="68">
        <f t="shared" si="1"/>
        <v>15</v>
      </c>
      <c r="V4" s="68">
        <f t="shared" si="1"/>
        <v>16</v>
      </c>
      <c r="W4" s="68">
        <f t="shared" si="1"/>
        <v>17</v>
      </c>
      <c r="X4" s="68">
        <f t="shared" si="1"/>
        <v>18</v>
      </c>
      <c r="Y4" s="68">
        <f t="shared" si="1"/>
        <v>19</v>
      </c>
      <c r="Z4" s="68">
        <f t="shared" si="1"/>
        <v>20</v>
      </c>
    </row>
    <row r="5">
      <c r="B5" s="16" t="s">
        <v>157</v>
      </c>
      <c r="C5" s="16"/>
      <c r="F5" s="69"/>
      <c r="G5" s="70">
        <v>44926.0</v>
      </c>
      <c r="H5" s="71">
        <f t="shared" ref="H5:Z5" si="2">edate(G5,12)</f>
        <v>45291</v>
      </c>
      <c r="I5" s="71">
        <f t="shared" si="2"/>
        <v>45657</v>
      </c>
      <c r="J5" s="71">
        <f t="shared" si="2"/>
        <v>46022</v>
      </c>
      <c r="K5" s="71">
        <f t="shared" si="2"/>
        <v>46387</v>
      </c>
      <c r="L5" s="71">
        <f t="shared" si="2"/>
        <v>46752</v>
      </c>
      <c r="M5" s="71">
        <f t="shared" si="2"/>
        <v>47118</v>
      </c>
      <c r="N5" s="71">
        <f t="shared" si="2"/>
        <v>47483</v>
      </c>
      <c r="O5" s="71">
        <f t="shared" si="2"/>
        <v>47848</v>
      </c>
      <c r="P5" s="71">
        <f t="shared" si="2"/>
        <v>48213</v>
      </c>
      <c r="Q5" s="71">
        <f t="shared" si="2"/>
        <v>48579</v>
      </c>
      <c r="R5" s="71">
        <f t="shared" si="2"/>
        <v>48944</v>
      </c>
      <c r="S5" s="71">
        <f t="shared" si="2"/>
        <v>49309</v>
      </c>
      <c r="T5" s="71">
        <f t="shared" si="2"/>
        <v>49674</v>
      </c>
      <c r="U5" s="71">
        <f t="shared" si="2"/>
        <v>50040</v>
      </c>
      <c r="V5" s="71">
        <f t="shared" si="2"/>
        <v>50405</v>
      </c>
      <c r="W5" s="71">
        <f t="shared" si="2"/>
        <v>50770</v>
      </c>
      <c r="X5" s="71">
        <f t="shared" si="2"/>
        <v>51135</v>
      </c>
      <c r="Y5" s="71">
        <f t="shared" si="2"/>
        <v>51501</v>
      </c>
      <c r="Z5" s="71">
        <f t="shared" si="2"/>
        <v>51866</v>
      </c>
    </row>
    <row r="6">
      <c r="B6" s="16"/>
      <c r="C6" s="16"/>
      <c r="D6" s="16"/>
      <c r="E6" s="16"/>
      <c r="F6" s="69"/>
      <c r="G6" s="72"/>
      <c r="H6" s="72"/>
      <c r="I6" s="72"/>
      <c r="J6" s="72"/>
      <c r="K6" s="72"/>
      <c r="L6" s="72"/>
      <c r="M6" s="72"/>
      <c r="N6" s="72"/>
      <c r="O6" s="72"/>
      <c r="P6" s="72"/>
      <c r="Q6" s="72"/>
      <c r="R6" s="72"/>
      <c r="S6" s="72"/>
      <c r="T6" s="72"/>
      <c r="U6" s="72"/>
      <c r="V6" s="72"/>
      <c r="W6" s="72"/>
      <c r="X6" s="72"/>
      <c r="Y6" s="72"/>
      <c r="Z6" s="72"/>
    </row>
    <row r="7">
      <c r="B7" s="73" t="s">
        <v>158</v>
      </c>
      <c r="D7" s="16"/>
      <c r="E7" s="16"/>
      <c r="F7" s="74"/>
      <c r="G7" s="74"/>
      <c r="H7" s="74"/>
      <c r="I7" s="74"/>
      <c r="J7" s="74"/>
      <c r="K7" s="74"/>
      <c r="L7" s="74"/>
      <c r="M7" s="74"/>
      <c r="N7" s="74"/>
      <c r="O7" s="74"/>
      <c r="P7" s="74"/>
      <c r="Q7" s="74"/>
      <c r="R7" s="74"/>
      <c r="S7" s="74"/>
      <c r="T7" s="74"/>
      <c r="U7" s="74"/>
      <c r="V7" s="74"/>
      <c r="W7" s="74"/>
      <c r="X7" s="74"/>
      <c r="Y7" s="74"/>
      <c r="Z7" s="74"/>
    </row>
    <row r="8">
      <c r="B8" s="16" t="s">
        <v>159</v>
      </c>
      <c r="C8" s="16" t="s">
        <v>160</v>
      </c>
      <c r="D8" s="16" t="s">
        <v>161</v>
      </c>
      <c r="E8" s="74">
        <f t="shared" ref="E8:E10" si="3">if(D8="sum",sum(G8:Z8),if(D8="final",Z8,if(D8="initial",G8,if(D8="average",average(G8:Z8),0))))</f>
        <v>3</v>
      </c>
      <c r="F8" s="74"/>
      <c r="G8" s="74">
        <f>if(G$4&lt;='Get Started'!$D16,1,0)</f>
        <v>1</v>
      </c>
      <c r="H8" s="74">
        <f>if(H$4&lt;='Get Started'!$D16,1,0)</f>
        <v>1</v>
      </c>
      <c r="I8" s="74">
        <f>if(I$4&lt;='Get Started'!$D16,1,0)</f>
        <v>1</v>
      </c>
      <c r="J8" s="74">
        <f>if(J$4&lt;='Get Started'!$D16,1,0)</f>
        <v>0</v>
      </c>
      <c r="K8" s="74">
        <f>if(K$4&lt;='Get Started'!$D16,1,0)</f>
        <v>0</v>
      </c>
      <c r="L8" s="74">
        <f>if(L$4&lt;='Get Started'!$D16,1,0)</f>
        <v>0</v>
      </c>
      <c r="M8" s="74">
        <f>if(M$4&lt;='Get Started'!$D16,1,0)</f>
        <v>0</v>
      </c>
      <c r="N8" s="74">
        <f>if(N$4&lt;='Get Started'!$D16,1,0)</f>
        <v>0</v>
      </c>
      <c r="O8" s="74">
        <f>if(O$4&lt;='Get Started'!$D16,1,0)</f>
        <v>0</v>
      </c>
      <c r="P8" s="74">
        <f>if(P$4&lt;='Get Started'!$D16,1,0)</f>
        <v>0</v>
      </c>
      <c r="Q8" s="74">
        <f>if(Q$4&lt;='Get Started'!$D16,1,0)</f>
        <v>0</v>
      </c>
      <c r="R8" s="74">
        <f>if(R$4&lt;='Get Started'!$D16,1,0)</f>
        <v>0</v>
      </c>
      <c r="S8" s="74">
        <f>if(S$4&lt;='Get Started'!$D16,1,0)</f>
        <v>0</v>
      </c>
      <c r="T8" s="74">
        <f>if(T$4&lt;='Get Started'!$D16,1,0)</f>
        <v>0</v>
      </c>
      <c r="U8" s="74">
        <f>if(U$4&lt;='Get Started'!$D16,1,0)</f>
        <v>0</v>
      </c>
      <c r="V8" s="74">
        <f>if(V$4&lt;='Get Started'!$D16,1,0)</f>
        <v>0</v>
      </c>
      <c r="W8" s="74">
        <f>if(W$4&lt;='Get Started'!$D16,1,0)</f>
        <v>0</v>
      </c>
      <c r="X8" s="74">
        <f>if(X$4&lt;='Get Started'!$D16,1,0)</f>
        <v>0</v>
      </c>
      <c r="Y8" s="74">
        <f>if(Y$4&lt;='Get Started'!$D16,1,0)</f>
        <v>0</v>
      </c>
      <c r="Z8" s="74">
        <f>if(Z$4&lt;='Get Started'!$D16,1,0)</f>
        <v>0</v>
      </c>
    </row>
    <row r="9">
      <c r="B9" s="16" t="s">
        <v>162</v>
      </c>
      <c r="C9" s="51" t="s">
        <v>163</v>
      </c>
      <c r="D9" s="16" t="s">
        <v>161</v>
      </c>
      <c r="E9" s="74">
        <f t="shared" si="3"/>
        <v>12</v>
      </c>
      <c r="F9" s="74"/>
      <c r="G9" s="74">
        <f>if(G$4&lt;='Get Started'!$D17,1,0)</f>
        <v>1</v>
      </c>
      <c r="H9" s="74">
        <f>if(H$4&lt;='Get Started'!$D17,1,0)</f>
        <v>1</v>
      </c>
      <c r="I9" s="74">
        <f>if(I$4&lt;='Get Started'!$D17,1,0)</f>
        <v>1</v>
      </c>
      <c r="J9" s="74">
        <f>if(J$4&lt;='Get Started'!$D17,1,0)</f>
        <v>1</v>
      </c>
      <c r="K9" s="74">
        <f>if(K$4&lt;='Get Started'!$D17,1,0)</f>
        <v>1</v>
      </c>
      <c r="L9" s="74">
        <f>if(L$4&lt;='Get Started'!$D17,1,0)</f>
        <v>1</v>
      </c>
      <c r="M9" s="74">
        <f>if(M$4&lt;='Get Started'!$D17,1,0)</f>
        <v>1</v>
      </c>
      <c r="N9" s="74">
        <f>if(N$4&lt;='Get Started'!$D17,1,0)</f>
        <v>1</v>
      </c>
      <c r="O9" s="74">
        <f>if(O$4&lt;='Get Started'!$D17,1,0)</f>
        <v>1</v>
      </c>
      <c r="P9" s="74">
        <f>if(P$4&lt;='Get Started'!$D17,1,0)</f>
        <v>1</v>
      </c>
      <c r="Q9" s="74">
        <f>if(Q$4&lt;='Get Started'!$D17,1,0)</f>
        <v>1</v>
      </c>
      <c r="R9" s="74">
        <f>if(R$4&lt;='Get Started'!$D17,1,0)</f>
        <v>1</v>
      </c>
      <c r="S9" s="74">
        <f>if(S$4&lt;='Get Started'!$D17,1,0)</f>
        <v>0</v>
      </c>
      <c r="T9" s="74">
        <f>if(T$4&lt;='Get Started'!$D17,1,0)</f>
        <v>0</v>
      </c>
      <c r="U9" s="74">
        <f>if(U$4&lt;='Get Started'!$D17,1,0)</f>
        <v>0</v>
      </c>
      <c r="V9" s="74">
        <f>if(V$4&lt;='Get Started'!$D17,1,0)</f>
        <v>0</v>
      </c>
      <c r="W9" s="74">
        <f>if(W$4&lt;='Get Started'!$D17,1,0)</f>
        <v>0</v>
      </c>
      <c r="X9" s="74">
        <f>if(X$4&lt;='Get Started'!$D17,1,0)</f>
        <v>0</v>
      </c>
      <c r="Y9" s="74">
        <f>if(Y$4&lt;='Get Started'!$D17,1,0)</f>
        <v>0</v>
      </c>
      <c r="Z9" s="74">
        <f>if(Z$4&lt;='Get Started'!$D17,1,0)</f>
        <v>0</v>
      </c>
    </row>
    <row r="10">
      <c r="B10" s="16" t="s">
        <v>164</v>
      </c>
      <c r="C10" s="16"/>
      <c r="D10" s="16" t="s">
        <v>161</v>
      </c>
      <c r="E10" s="74">
        <f t="shared" si="3"/>
        <v>14</v>
      </c>
      <c r="F10" s="74"/>
      <c r="G10" s="74">
        <f>if(G$4&lt;='Get Started'!$D18,1,0)</f>
        <v>1</v>
      </c>
      <c r="H10" s="74">
        <f>if(H$4&lt;='Get Started'!$D18,1,0)</f>
        <v>1</v>
      </c>
      <c r="I10" s="74">
        <f>if(I$4&lt;='Get Started'!$D18,1,0)</f>
        <v>1</v>
      </c>
      <c r="J10" s="74">
        <f>if(J$4&lt;='Get Started'!$D18,1,0)</f>
        <v>1</v>
      </c>
      <c r="K10" s="74">
        <f>if(K$4&lt;='Get Started'!$D18,1,0)</f>
        <v>1</v>
      </c>
      <c r="L10" s="74">
        <f>if(L$4&lt;='Get Started'!$D18,1,0)</f>
        <v>1</v>
      </c>
      <c r="M10" s="74">
        <f>if(M$4&lt;='Get Started'!$D18,1,0)</f>
        <v>1</v>
      </c>
      <c r="N10" s="74">
        <f>if(N$4&lt;='Get Started'!$D18,1,0)</f>
        <v>1</v>
      </c>
      <c r="O10" s="74">
        <f>if(O$4&lt;='Get Started'!$D18,1,0)</f>
        <v>1</v>
      </c>
      <c r="P10" s="74">
        <f>if(P$4&lt;='Get Started'!$D18,1,0)</f>
        <v>1</v>
      </c>
      <c r="Q10" s="74">
        <f>if(Q$4&lt;='Get Started'!$D18,1,0)</f>
        <v>1</v>
      </c>
      <c r="R10" s="74">
        <f>if(R$4&lt;='Get Started'!$D18,1,0)</f>
        <v>1</v>
      </c>
      <c r="S10" s="74">
        <f>if(S$4&lt;='Get Started'!$D18,1,0)</f>
        <v>1</v>
      </c>
      <c r="T10" s="74">
        <f>if(T$4&lt;='Get Started'!$D18,1,0)</f>
        <v>1</v>
      </c>
      <c r="U10" s="74">
        <f>if(U$4&lt;='Get Started'!$D18,1,0)</f>
        <v>0</v>
      </c>
      <c r="V10" s="74">
        <f>if(V$4&lt;='Get Started'!$D18,1,0)</f>
        <v>0</v>
      </c>
      <c r="W10" s="74">
        <f>if(W$4&lt;='Get Started'!$D18,1,0)</f>
        <v>0</v>
      </c>
      <c r="X10" s="74">
        <f>if(X$4&lt;='Get Started'!$D18,1,0)</f>
        <v>0</v>
      </c>
      <c r="Y10" s="74">
        <f>if(Y$4&lt;='Get Started'!$D18,1,0)</f>
        <v>0</v>
      </c>
      <c r="Z10" s="74">
        <f>if(Z$4&lt;='Get Started'!$D18,1,0)</f>
        <v>0</v>
      </c>
    </row>
    <row r="11">
      <c r="B11" s="16"/>
      <c r="C11" s="16"/>
      <c r="D11" s="16"/>
      <c r="E11" s="16"/>
      <c r="F11" s="74"/>
      <c r="G11" s="74"/>
      <c r="H11" s="74"/>
      <c r="I11" s="74"/>
      <c r="J11" s="74"/>
      <c r="K11" s="74"/>
      <c r="L11" s="74"/>
      <c r="M11" s="74"/>
      <c r="N11" s="74"/>
      <c r="O11" s="74"/>
      <c r="P11" s="74"/>
      <c r="Q11" s="74"/>
      <c r="R11" s="74"/>
      <c r="S11" s="74"/>
      <c r="T11" s="74"/>
      <c r="U11" s="74"/>
      <c r="V11" s="74"/>
      <c r="W11" s="74"/>
      <c r="X11" s="74"/>
      <c r="Y11" s="74"/>
      <c r="Z11" s="74"/>
    </row>
    <row r="12">
      <c r="B12" s="73" t="s">
        <v>165</v>
      </c>
      <c r="C12" s="16"/>
      <c r="D12" s="16"/>
      <c r="E12" s="16"/>
      <c r="F12" s="74"/>
      <c r="G12" s="74"/>
      <c r="H12" s="74"/>
      <c r="I12" s="74"/>
      <c r="J12" s="74"/>
      <c r="K12" s="74"/>
      <c r="L12" s="74"/>
      <c r="M12" s="74"/>
      <c r="N12" s="74"/>
      <c r="O12" s="74"/>
      <c r="P12" s="74"/>
      <c r="Q12" s="74"/>
      <c r="R12" s="74"/>
      <c r="S12" s="74"/>
      <c r="T12" s="74"/>
      <c r="U12" s="74"/>
      <c r="V12" s="74"/>
      <c r="W12" s="74"/>
      <c r="X12" s="74"/>
      <c r="Y12" s="74"/>
      <c r="Z12" s="74"/>
    </row>
    <row r="13">
      <c r="B13" s="16" t="s">
        <v>166</v>
      </c>
      <c r="C13" s="16"/>
      <c r="D13" s="16" t="s">
        <v>161</v>
      </c>
      <c r="E13" s="45">
        <f t="shared" ref="E13:E16" si="4">if(D13="sum",sum(G13:Z13),if(D13="final",Z13,if(D13="initial",G13,if(D13="average",average(G13:Z13),0))))</f>
        <v>0.24</v>
      </c>
      <c r="F13" s="74"/>
      <c r="G13" s="34">
        <f>if(G9=1,'Get Started'!$D13,0)</f>
        <v>0.02</v>
      </c>
      <c r="H13" s="34">
        <f>if(H9=1,'Get Started'!$D13,0)</f>
        <v>0.02</v>
      </c>
      <c r="I13" s="34">
        <f>if(I9=1,'Get Started'!$D13,0)</f>
        <v>0.02</v>
      </c>
      <c r="J13" s="34">
        <f>if(J9=1,'Get Started'!$D13,0)</f>
        <v>0.02</v>
      </c>
      <c r="K13" s="34">
        <f>if(K9=1,'Get Started'!$D13,0)</f>
        <v>0.02</v>
      </c>
      <c r="L13" s="34">
        <f>if(L9=1,'Get Started'!$D13,0)</f>
        <v>0.02</v>
      </c>
      <c r="M13" s="34">
        <f>if(M9=1,'Get Started'!$D13,0)</f>
        <v>0.02</v>
      </c>
      <c r="N13" s="34">
        <f>if(N9=1,'Get Started'!$D13,0)</f>
        <v>0.02</v>
      </c>
      <c r="O13" s="34">
        <f>if(O9=1,'Get Started'!$D13,0)</f>
        <v>0.02</v>
      </c>
      <c r="P13" s="34">
        <f>if(P9=1,'Get Started'!$D13,0)</f>
        <v>0.02</v>
      </c>
      <c r="Q13" s="34">
        <f>if(Q9=1,'Get Started'!$D13,0)</f>
        <v>0.02</v>
      </c>
      <c r="R13" s="34">
        <f>if(R9=1,'Get Started'!$D13,0)</f>
        <v>0.02</v>
      </c>
      <c r="S13" s="34">
        <f>if(S9=1,'Get Started'!$D13,0)</f>
        <v>0</v>
      </c>
      <c r="T13" s="34">
        <f>if(T9=1,'Get Started'!$D13,0)</f>
        <v>0</v>
      </c>
      <c r="U13" s="34">
        <f>if(U9=1,'Get Started'!$D13,0)</f>
        <v>0</v>
      </c>
      <c r="V13" s="34">
        <f>if(V9=1,'Get Started'!$D13,0)</f>
        <v>0</v>
      </c>
      <c r="W13" s="34">
        <f>if(W9=1,'Get Started'!$D13,0)</f>
        <v>0</v>
      </c>
      <c r="X13" s="34">
        <f>if(X9=1,'Get Started'!$D13,0)</f>
        <v>0</v>
      </c>
      <c r="Y13" s="34">
        <f>if(Y9=1,'Get Started'!$D13,0)</f>
        <v>0</v>
      </c>
      <c r="Z13" s="34">
        <f>if(Z9=1,'Get Started'!$D13,0)</f>
        <v>0</v>
      </c>
    </row>
    <row r="14">
      <c r="B14" s="16" t="str">
        <f>"Management Fees based on "&amp;G14&amp;" capital. Can change per period if method for calc changes."</f>
        <v>Management Fees based on committed capital. Can change per period if method for calc changes.</v>
      </c>
      <c r="C14" s="16"/>
      <c r="D14" s="16" t="s">
        <v>161</v>
      </c>
      <c r="E14" s="74">
        <f t="shared" si="4"/>
        <v>0</v>
      </c>
      <c r="F14" s="74"/>
      <c r="G14" s="75" t="s">
        <v>167</v>
      </c>
      <c r="H14" s="75" t="str">
        <f t="shared" ref="H14:Z14" si="5">G14</f>
        <v>committed</v>
      </c>
      <c r="I14" s="75" t="str">
        <f t="shared" si="5"/>
        <v>committed</v>
      </c>
      <c r="J14" s="75" t="str">
        <f t="shared" si="5"/>
        <v>committed</v>
      </c>
      <c r="K14" s="75" t="str">
        <f t="shared" si="5"/>
        <v>committed</v>
      </c>
      <c r="L14" s="75" t="str">
        <f t="shared" si="5"/>
        <v>committed</v>
      </c>
      <c r="M14" s="75" t="str">
        <f t="shared" si="5"/>
        <v>committed</v>
      </c>
      <c r="N14" s="75" t="str">
        <f t="shared" si="5"/>
        <v>committed</v>
      </c>
      <c r="O14" s="75" t="str">
        <f t="shared" si="5"/>
        <v>committed</v>
      </c>
      <c r="P14" s="75" t="str">
        <f t="shared" si="5"/>
        <v>committed</v>
      </c>
      <c r="Q14" s="75" t="str">
        <f t="shared" si="5"/>
        <v>committed</v>
      </c>
      <c r="R14" s="75" t="str">
        <f t="shared" si="5"/>
        <v>committed</v>
      </c>
      <c r="S14" s="75" t="str">
        <f t="shared" si="5"/>
        <v>committed</v>
      </c>
      <c r="T14" s="75" t="str">
        <f t="shared" si="5"/>
        <v>committed</v>
      </c>
      <c r="U14" s="75" t="str">
        <f t="shared" si="5"/>
        <v>committed</v>
      </c>
      <c r="V14" s="75" t="str">
        <f t="shared" si="5"/>
        <v>committed</v>
      </c>
      <c r="W14" s="75" t="str">
        <f t="shared" si="5"/>
        <v>committed</v>
      </c>
      <c r="X14" s="75" t="str">
        <f t="shared" si="5"/>
        <v>committed</v>
      </c>
      <c r="Y14" s="75" t="str">
        <f t="shared" si="5"/>
        <v>committed</v>
      </c>
      <c r="Z14" s="75" t="str">
        <f t="shared" si="5"/>
        <v>committed</v>
      </c>
    </row>
    <row r="15">
      <c r="A15" s="39"/>
      <c r="B15" s="36" t="s">
        <v>168</v>
      </c>
      <c r="C15" s="76" t="b">
        <v>0</v>
      </c>
      <c r="D15" s="16" t="s">
        <v>161</v>
      </c>
      <c r="E15" s="77">
        <f t="shared" si="4"/>
        <v>0</v>
      </c>
      <c r="F15" s="78"/>
      <c r="G15" s="77">
        <f>if($C15=true,G27*'Get Started'!$D10,0)</f>
        <v>0</v>
      </c>
      <c r="H15" s="77">
        <f>if($C15=true,H27*'Get Started'!$D10,0)</f>
        <v>0</v>
      </c>
      <c r="I15" s="77">
        <f>if($C15=true,I27*'Get Started'!$D10,0)</f>
        <v>0</v>
      </c>
      <c r="J15" s="77">
        <f>if($C15=true,J27*'Get Started'!$D10,0)</f>
        <v>0</v>
      </c>
      <c r="K15" s="77">
        <f>if($C15=true,K27*'Get Started'!$D10,0)</f>
        <v>0</v>
      </c>
      <c r="L15" s="77">
        <f>if($C15=true,L27*'Get Started'!$D10,0)</f>
        <v>0</v>
      </c>
      <c r="M15" s="77">
        <f>if($C15=true,M27*'Get Started'!$D10,0)</f>
        <v>0</v>
      </c>
      <c r="N15" s="77">
        <f>if($C15=true,N27*'Get Started'!$D10,0)</f>
        <v>0</v>
      </c>
      <c r="O15" s="77">
        <f>if($C15=true,O27*'Get Started'!$D10,0)</f>
        <v>0</v>
      </c>
      <c r="P15" s="77">
        <f>if($C15=true,P27*'Get Started'!$D10,0)</f>
        <v>0</v>
      </c>
      <c r="Q15" s="77">
        <f>if($C15=true,Q27*'Get Started'!$D10,0)</f>
        <v>0</v>
      </c>
      <c r="R15" s="77">
        <f>if($C15=true,R27*'Get Started'!$D10,0)</f>
        <v>0</v>
      </c>
      <c r="S15" s="77">
        <f>if($C15=true,S27*'Get Started'!$D10,0)</f>
        <v>0</v>
      </c>
      <c r="T15" s="77">
        <f>if($C15=true,T27*'Get Started'!$D10,0)</f>
        <v>0</v>
      </c>
      <c r="U15" s="77">
        <f>if($C15=true,U27*'Get Started'!$D10,0)</f>
        <v>0</v>
      </c>
      <c r="V15" s="77">
        <f>if($C15=true,V27*'Get Started'!$D10,0)</f>
        <v>0</v>
      </c>
      <c r="W15" s="77">
        <f>if($C15=true,W27*'Get Started'!$D10,0)</f>
        <v>0</v>
      </c>
      <c r="X15" s="77">
        <f>if($C15=true,X27*'Get Started'!$D10,0)</f>
        <v>0</v>
      </c>
      <c r="Y15" s="77">
        <f>if($C15=true,Y27*'Get Started'!$D10,0)</f>
        <v>0</v>
      </c>
      <c r="Z15" s="77">
        <f>if($C15=true,Z27*'Get Started'!$D10,0)</f>
        <v>0</v>
      </c>
    </row>
    <row r="16">
      <c r="A16" s="39"/>
      <c r="B16" s="40" t="s">
        <v>169</v>
      </c>
      <c r="C16" s="76" t="b">
        <v>1</v>
      </c>
      <c r="D16" s="78" t="s">
        <v>161</v>
      </c>
      <c r="E16" s="77">
        <f t="shared" si="4"/>
        <v>2000000</v>
      </c>
      <c r="F16" s="78"/>
      <c r="G16" s="77">
        <f>if($C16=true,G27*'Get Started'!$D10,0)</f>
        <v>157023.7</v>
      </c>
      <c r="H16" s="77">
        <f>if($C16=true,H27*'Get Started'!$D10,0)</f>
        <v>324998.5333</v>
      </c>
      <c r="I16" s="77">
        <f>if($C16=true,I27*'Get Started'!$D10,0)</f>
        <v>495973.3667</v>
      </c>
      <c r="J16" s="77">
        <f>if($C16=true,J27*'Get Started'!$D10,0)</f>
        <v>514744.5</v>
      </c>
      <c r="K16" s="77">
        <f>if($C16=true,K27*'Get Started'!$D10,0)</f>
        <v>375043.95</v>
      </c>
      <c r="L16" s="77">
        <f>if($C16=true,L27*'Get Started'!$D10,0)</f>
        <v>132215.95</v>
      </c>
      <c r="M16" s="77">
        <f>if($C16=true,M27*'Get Started'!$D10,0)</f>
        <v>0</v>
      </c>
      <c r="N16" s="77">
        <f>if($C16=true,N27*'Get Started'!$D10,0)</f>
        <v>0</v>
      </c>
      <c r="O16" s="77">
        <f>if($C16=true,O27*'Get Started'!$D10,0)</f>
        <v>0</v>
      </c>
      <c r="P16" s="77">
        <f>if($C16=true,P27*'Get Started'!$D10,0)</f>
        <v>0</v>
      </c>
      <c r="Q16" s="77">
        <f>if($C16=true,Q27*'Get Started'!$D10,0)</f>
        <v>0</v>
      </c>
      <c r="R16" s="77">
        <f>if($C16=true,R27*'Get Started'!$D10,0)</f>
        <v>0</v>
      </c>
      <c r="S16" s="77">
        <f>if($C16=true,S27*'Get Started'!$D10,0)</f>
        <v>0</v>
      </c>
      <c r="T16" s="77">
        <f>if($C16=true,T27*'Get Started'!$D10,0)</f>
        <v>0</v>
      </c>
      <c r="U16" s="77">
        <f>if($C16=true,U27*'Get Started'!$D10,0)</f>
        <v>0</v>
      </c>
      <c r="V16" s="77">
        <f>if($C16=true,V27*'Get Started'!$D10,0)</f>
        <v>0</v>
      </c>
      <c r="W16" s="77">
        <f>if($C16=true,W27*'Get Started'!$D10,0)</f>
        <v>0</v>
      </c>
      <c r="X16" s="77">
        <f>if($C16=true,X27*'Get Started'!$D10,0)</f>
        <v>0</v>
      </c>
      <c r="Y16" s="77">
        <f>if($C16=true,Y27*'Get Started'!$D10,0)</f>
        <v>0</v>
      </c>
      <c r="Z16" s="77">
        <f>if($C16=true,Z27*'Get Started'!$D10,0)</f>
        <v>0</v>
      </c>
    </row>
    <row r="17">
      <c r="B17" s="16"/>
      <c r="C17" s="16"/>
      <c r="D17" s="74"/>
      <c r="E17" s="74"/>
      <c r="F17" s="74"/>
      <c r="G17" s="74"/>
      <c r="H17" s="74"/>
      <c r="I17" s="74"/>
      <c r="J17" s="74"/>
      <c r="K17" s="74"/>
      <c r="L17" s="74"/>
      <c r="M17" s="74"/>
      <c r="N17" s="74"/>
      <c r="O17" s="74"/>
      <c r="P17" s="74"/>
      <c r="Q17" s="74"/>
      <c r="R17" s="74"/>
      <c r="S17" s="74"/>
      <c r="T17" s="74"/>
      <c r="U17" s="74"/>
      <c r="V17" s="74"/>
      <c r="W17" s="74"/>
      <c r="X17" s="74"/>
      <c r="Y17" s="74"/>
      <c r="Z17" s="74"/>
    </row>
    <row r="18">
      <c r="B18" s="16" t="s">
        <v>170</v>
      </c>
      <c r="C18" s="16"/>
      <c r="D18" s="16" t="s">
        <v>171</v>
      </c>
      <c r="E18" s="74" t="str">
        <f t="shared" ref="E18:E24" si="7">if(D18="sum",sum(G18:Z18),if(D18="final",Z18,if(D18="initial",G18,if(D18="average",average(G18:Z18),0))))</f>
        <v/>
      </c>
      <c r="F18" s="74"/>
      <c r="G18" s="74" t="str">
        <f t="shared" ref="G18:Z18" si="6">F24</f>
        <v/>
      </c>
      <c r="H18" s="74">
        <f t="shared" si="6"/>
        <v>0</v>
      </c>
      <c r="I18" s="74">
        <f t="shared" si="6"/>
        <v>0</v>
      </c>
      <c r="J18" s="74">
        <f t="shared" si="6"/>
        <v>0</v>
      </c>
      <c r="K18" s="74">
        <f t="shared" si="6"/>
        <v>0</v>
      </c>
      <c r="L18" s="74">
        <f t="shared" si="6"/>
        <v>-0.000000001862645149</v>
      </c>
      <c r="M18" s="74">
        <f t="shared" si="6"/>
        <v>0</v>
      </c>
      <c r="N18" s="74">
        <f t="shared" si="6"/>
        <v>-0.0000000004656612873</v>
      </c>
      <c r="O18" s="74">
        <f t="shared" si="6"/>
        <v>0</v>
      </c>
      <c r="P18" s="74">
        <f t="shared" si="6"/>
        <v>0</v>
      </c>
      <c r="Q18" s="74">
        <f t="shared" si="6"/>
        <v>-0.000000003725290298</v>
      </c>
      <c r="R18" s="74">
        <f t="shared" si="6"/>
        <v>0.000000003725290298</v>
      </c>
      <c r="S18" s="74">
        <f t="shared" si="6"/>
        <v>0</v>
      </c>
      <c r="T18" s="74">
        <f t="shared" si="6"/>
        <v>0</v>
      </c>
      <c r="U18" s="74">
        <f t="shared" si="6"/>
        <v>0</v>
      </c>
      <c r="V18" s="74">
        <f t="shared" si="6"/>
        <v>0</v>
      </c>
      <c r="W18" s="74">
        <f t="shared" si="6"/>
        <v>0</v>
      </c>
      <c r="X18" s="74">
        <f t="shared" si="6"/>
        <v>0</v>
      </c>
      <c r="Y18" s="74">
        <f t="shared" si="6"/>
        <v>0</v>
      </c>
      <c r="Z18" s="74">
        <f t="shared" si="6"/>
        <v>0</v>
      </c>
    </row>
    <row r="19">
      <c r="B19" s="16" t="s">
        <v>172</v>
      </c>
      <c r="C19" s="16"/>
      <c r="D19" s="16" t="s">
        <v>161</v>
      </c>
      <c r="E19" s="74">
        <f t="shared" si="7"/>
        <v>100000000</v>
      </c>
      <c r="F19" s="74"/>
      <c r="G19" s="74">
        <f t="shared" ref="G19:Z19" si="8">G27</f>
        <v>7851185</v>
      </c>
      <c r="H19" s="74">
        <f t="shared" si="8"/>
        <v>16249926.67</v>
      </c>
      <c r="I19" s="74">
        <f t="shared" si="8"/>
        <v>24798668.33</v>
      </c>
      <c r="J19" s="74">
        <f t="shared" si="8"/>
        <v>25737225</v>
      </c>
      <c r="K19" s="74">
        <f t="shared" si="8"/>
        <v>18752197.5</v>
      </c>
      <c r="L19" s="74">
        <f t="shared" si="8"/>
        <v>6610797.5</v>
      </c>
      <c r="M19" s="74">
        <f t="shared" si="8"/>
        <v>0</v>
      </c>
      <c r="N19" s="74">
        <f t="shared" si="8"/>
        <v>0</v>
      </c>
      <c r="O19" s="74">
        <f t="shared" si="8"/>
        <v>0</v>
      </c>
      <c r="P19" s="74">
        <f t="shared" si="8"/>
        <v>0</v>
      </c>
      <c r="Q19" s="74">
        <f t="shared" si="8"/>
        <v>0</v>
      </c>
      <c r="R19" s="74">
        <f t="shared" si="8"/>
        <v>0</v>
      </c>
      <c r="S19" s="74">
        <f t="shared" si="8"/>
        <v>0</v>
      </c>
      <c r="T19" s="74">
        <f t="shared" si="8"/>
        <v>0</v>
      </c>
      <c r="U19" s="74">
        <f t="shared" si="8"/>
        <v>0</v>
      </c>
      <c r="V19" s="74">
        <f t="shared" si="8"/>
        <v>0</v>
      </c>
      <c r="W19" s="74">
        <f t="shared" si="8"/>
        <v>0</v>
      </c>
      <c r="X19" s="74">
        <f t="shared" si="8"/>
        <v>0</v>
      </c>
      <c r="Y19" s="74">
        <f t="shared" si="8"/>
        <v>0</v>
      </c>
      <c r="Z19" s="74">
        <f t="shared" si="8"/>
        <v>0</v>
      </c>
    </row>
    <row r="20">
      <c r="B20" s="16" t="s">
        <v>140</v>
      </c>
      <c r="C20" s="16"/>
      <c r="D20" s="16" t="s">
        <v>161</v>
      </c>
      <c r="E20" s="74">
        <f t="shared" si="7"/>
        <v>301965840</v>
      </c>
      <c r="F20" s="74"/>
      <c r="G20" s="74">
        <f t="shared" ref="G20:Z20" si="9">G37</f>
        <v>0</v>
      </c>
      <c r="H20" s="74">
        <f t="shared" si="9"/>
        <v>0</v>
      </c>
      <c r="I20" s="74">
        <f t="shared" si="9"/>
        <v>0</v>
      </c>
      <c r="J20" s="74">
        <f t="shared" si="9"/>
        <v>359342.5</v>
      </c>
      <c r="K20" s="74">
        <f t="shared" si="9"/>
        <v>359342.5</v>
      </c>
      <c r="L20" s="74">
        <f t="shared" si="9"/>
        <v>4302265</v>
      </c>
      <c r="M20" s="74">
        <f t="shared" si="9"/>
        <v>10151835.83</v>
      </c>
      <c r="N20" s="74">
        <f t="shared" si="9"/>
        <v>14032406.67</v>
      </c>
      <c r="O20" s="74">
        <f t="shared" si="9"/>
        <v>36747447</v>
      </c>
      <c r="P20" s="74">
        <f t="shared" si="9"/>
        <v>50407056.33</v>
      </c>
      <c r="Q20" s="74">
        <f t="shared" si="9"/>
        <v>66395008.17</v>
      </c>
      <c r="R20" s="74">
        <f t="shared" si="9"/>
        <v>59605568</v>
      </c>
      <c r="S20" s="74">
        <f t="shared" si="9"/>
        <v>39737045.33</v>
      </c>
      <c r="T20" s="74">
        <f t="shared" si="9"/>
        <v>19868522.67</v>
      </c>
      <c r="U20" s="74">
        <f t="shared" si="9"/>
        <v>0</v>
      </c>
      <c r="V20" s="74">
        <f t="shared" si="9"/>
        <v>0</v>
      </c>
      <c r="W20" s="74">
        <f t="shared" si="9"/>
        <v>0</v>
      </c>
      <c r="X20" s="74">
        <f t="shared" si="9"/>
        <v>0</v>
      </c>
      <c r="Y20" s="74">
        <f t="shared" si="9"/>
        <v>0</v>
      </c>
      <c r="Z20" s="74">
        <f t="shared" si="9"/>
        <v>0</v>
      </c>
    </row>
    <row r="21">
      <c r="B21" s="16" t="s">
        <v>173</v>
      </c>
      <c r="C21" s="16"/>
      <c r="D21" s="16" t="s">
        <v>161</v>
      </c>
      <c r="E21" s="74">
        <f t="shared" si="7"/>
        <v>-278445840</v>
      </c>
      <c r="F21" s="74"/>
      <c r="G21" s="74">
        <f t="shared" ref="G21:Z21" si="10">sum(G41,G40,G39)*-1</f>
        <v>0</v>
      </c>
      <c r="H21" s="74">
        <f t="shared" si="10"/>
        <v>0</v>
      </c>
      <c r="I21" s="74">
        <f t="shared" si="10"/>
        <v>0</v>
      </c>
      <c r="J21" s="74">
        <f t="shared" si="10"/>
        <v>-359342.5</v>
      </c>
      <c r="K21" s="74">
        <f t="shared" si="10"/>
        <v>-359342.5</v>
      </c>
      <c r="L21" s="74">
        <f t="shared" si="10"/>
        <v>-709606.6667</v>
      </c>
      <c r="M21" s="74">
        <f t="shared" si="10"/>
        <v>-5740521.667</v>
      </c>
      <c r="N21" s="74">
        <f t="shared" si="10"/>
        <v>-10397206.67</v>
      </c>
      <c r="O21" s="74">
        <f t="shared" si="10"/>
        <v>-32752904.5</v>
      </c>
      <c r="P21" s="74">
        <f t="shared" si="10"/>
        <v>-47200113.83</v>
      </c>
      <c r="Q21" s="74">
        <f t="shared" si="10"/>
        <v>-63975665.67</v>
      </c>
      <c r="R21" s="74">
        <f t="shared" si="10"/>
        <v>-57545568</v>
      </c>
      <c r="S21" s="74">
        <f t="shared" si="10"/>
        <v>-39637045.33</v>
      </c>
      <c r="T21" s="74">
        <f t="shared" si="10"/>
        <v>-19768522.67</v>
      </c>
      <c r="U21" s="74">
        <f t="shared" si="10"/>
        <v>0</v>
      </c>
      <c r="V21" s="74">
        <f t="shared" si="10"/>
        <v>0</v>
      </c>
      <c r="W21" s="74">
        <f t="shared" si="10"/>
        <v>0</v>
      </c>
      <c r="X21" s="74">
        <f t="shared" si="10"/>
        <v>0</v>
      </c>
      <c r="Y21" s="74">
        <f t="shared" si="10"/>
        <v>0</v>
      </c>
      <c r="Z21" s="74">
        <f t="shared" si="10"/>
        <v>0</v>
      </c>
    </row>
    <row r="22">
      <c r="B22" s="16" t="s">
        <v>174</v>
      </c>
      <c r="C22" s="16"/>
      <c r="D22" s="16" t="s">
        <v>161</v>
      </c>
      <c r="E22" s="74">
        <f t="shared" si="7"/>
        <v>-25070000</v>
      </c>
      <c r="F22" s="74"/>
      <c r="G22" s="74">
        <f t="shared" ref="G22:Z22" si="11">sum(G33,G34,G35)*-1</f>
        <v>-2210000</v>
      </c>
      <c r="H22" s="74">
        <f t="shared" si="11"/>
        <v>-2060000</v>
      </c>
      <c r="I22" s="74">
        <f t="shared" si="11"/>
        <v>-2060000</v>
      </c>
      <c r="J22" s="74">
        <f t="shared" si="11"/>
        <v>-2060000</v>
      </c>
      <c r="K22" s="74">
        <f t="shared" si="11"/>
        <v>-2060000</v>
      </c>
      <c r="L22" s="74">
        <f t="shared" si="11"/>
        <v>-2060000</v>
      </c>
      <c r="M22" s="74">
        <f t="shared" si="11"/>
        <v>-2060000</v>
      </c>
      <c r="N22" s="74">
        <f t="shared" si="11"/>
        <v>-2060000</v>
      </c>
      <c r="O22" s="74">
        <f t="shared" si="11"/>
        <v>-2060000</v>
      </c>
      <c r="P22" s="74">
        <f t="shared" si="11"/>
        <v>-2060000</v>
      </c>
      <c r="Q22" s="74">
        <f t="shared" si="11"/>
        <v>-2060000</v>
      </c>
      <c r="R22" s="74">
        <f t="shared" si="11"/>
        <v>-2060000</v>
      </c>
      <c r="S22" s="74">
        <f t="shared" si="11"/>
        <v>-100000</v>
      </c>
      <c r="T22" s="74">
        <f t="shared" si="11"/>
        <v>-100000</v>
      </c>
      <c r="U22" s="74">
        <f t="shared" si="11"/>
        <v>0</v>
      </c>
      <c r="V22" s="74">
        <f t="shared" si="11"/>
        <v>0</v>
      </c>
      <c r="W22" s="74">
        <f t="shared" si="11"/>
        <v>0</v>
      </c>
      <c r="X22" s="74">
        <f t="shared" si="11"/>
        <v>0</v>
      </c>
      <c r="Y22" s="74">
        <f t="shared" si="11"/>
        <v>0</v>
      </c>
      <c r="Z22" s="74">
        <f t="shared" si="11"/>
        <v>0</v>
      </c>
    </row>
    <row r="23">
      <c r="B23" s="16" t="s">
        <v>175</v>
      </c>
      <c r="C23" s="16"/>
      <c r="D23" s="16" t="s">
        <v>161</v>
      </c>
      <c r="E23" s="74">
        <f t="shared" si="7"/>
        <v>-98450000</v>
      </c>
      <c r="F23" s="74"/>
      <c r="G23" s="74">
        <f t="shared" ref="G23:Z23" si="12">G32*-1</f>
        <v>-5641185</v>
      </c>
      <c r="H23" s="74">
        <f t="shared" si="12"/>
        <v>-14189926.67</v>
      </c>
      <c r="I23" s="74">
        <f t="shared" si="12"/>
        <v>-22738668.33</v>
      </c>
      <c r="J23" s="74">
        <f t="shared" si="12"/>
        <v>-23677225</v>
      </c>
      <c r="K23" s="74">
        <f t="shared" si="12"/>
        <v>-16692197.5</v>
      </c>
      <c r="L23" s="74">
        <f t="shared" si="12"/>
        <v>-8143455.833</v>
      </c>
      <c r="M23" s="74">
        <f t="shared" si="12"/>
        <v>-2351314.167</v>
      </c>
      <c r="N23" s="74">
        <f t="shared" si="12"/>
        <v>-1575200</v>
      </c>
      <c r="O23" s="74">
        <f t="shared" si="12"/>
        <v>-1934542.5</v>
      </c>
      <c r="P23" s="74">
        <f t="shared" si="12"/>
        <v>-1146942.5</v>
      </c>
      <c r="Q23" s="74">
        <f t="shared" si="12"/>
        <v>-359342.5</v>
      </c>
      <c r="R23" s="74">
        <f t="shared" si="12"/>
        <v>0</v>
      </c>
      <c r="S23" s="74">
        <f t="shared" si="12"/>
        <v>0</v>
      </c>
      <c r="T23" s="74">
        <f t="shared" si="12"/>
        <v>0</v>
      </c>
      <c r="U23" s="74">
        <f t="shared" si="12"/>
        <v>0</v>
      </c>
      <c r="V23" s="74">
        <f t="shared" si="12"/>
        <v>0</v>
      </c>
      <c r="W23" s="74">
        <f t="shared" si="12"/>
        <v>0</v>
      </c>
      <c r="X23" s="74">
        <f t="shared" si="12"/>
        <v>0</v>
      </c>
      <c r="Y23" s="74">
        <f t="shared" si="12"/>
        <v>0</v>
      </c>
      <c r="Z23" s="74">
        <f t="shared" si="12"/>
        <v>0</v>
      </c>
    </row>
    <row r="24">
      <c r="B24" s="16" t="s">
        <v>176</v>
      </c>
      <c r="C24" s="16"/>
      <c r="D24" s="16" t="s">
        <v>177</v>
      </c>
      <c r="E24" s="74">
        <f t="shared" si="7"/>
        <v>0</v>
      </c>
      <c r="F24" s="74"/>
      <c r="G24" s="79">
        <f t="shared" ref="G24:Z24" si="13">sum(G18:G23)</f>
        <v>0</v>
      </c>
      <c r="H24" s="79">
        <f t="shared" si="13"/>
        <v>0</v>
      </c>
      <c r="I24" s="79">
        <f t="shared" si="13"/>
        <v>0</v>
      </c>
      <c r="J24" s="79">
        <f t="shared" si="13"/>
        <v>0</v>
      </c>
      <c r="K24" s="79">
        <f t="shared" si="13"/>
        <v>-0.000000001862645149</v>
      </c>
      <c r="L24" s="79">
        <f t="shared" si="13"/>
        <v>0</v>
      </c>
      <c r="M24" s="79">
        <f t="shared" si="13"/>
        <v>-0.0000000004656612873</v>
      </c>
      <c r="N24" s="79">
        <f t="shared" si="13"/>
        <v>0</v>
      </c>
      <c r="O24" s="79">
        <f t="shared" si="13"/>
        <v>0</v>
      </c>
      <c r="P24" s="79">
        <f t="shared" si="13"/>
        <v>-0.000000003725290298</v>
      </c>
      <c r="Q24" s="79">
        <f t="shared" si="13"/>
        <v>0.000000003725290298</v>
      </c>
      <c r="R24" s="79">
        <f t="shared" si="13"/>
        <v>0</v>
      </c>
      <c r="S24" s="79">
        <f t="shared" si="13"/>
        <v>0</v>
      </c>
      <c r="T24" s="79">
        <f t="shared" si="13"/>
        <v>0</v>
      </c>
      <c r="U24" s="79">
        <f t="shared" si="13"/>
        <v>0</v>
      </c>
      <c r="V24" s="79">
        <f t="shared" si="13"/>
        <v>0</v>
      </c>
      <c r="W24" s="79">
        <f t="shared" si="13"/>
        <v>0</v>
      </c>
      <c r="X24" s="79">
        <f t="shared" si="13"/>
        <v>0</v>
      </c>
      <c r="Y24" s="79">
        <f t="shared" si="13"/>
        <v>0</v>
      </c>
      <c r="Z24" s="79">
        <f t="shared" si="13"/>
        <v>0</v>
      </c>
    </row>
    <row r="25">
      <c r="B25" s="16"/>
      <c r="C25" s="16"/>
      <c r="D25" s="16"/>
      <c r="E25" s="16"/>
      <c r="F25" s="74"/>
      <c r="G25" s="74"/>
      <c r="H25" s="74"/>
      <c r="I25" s="74"/>
      <c r="J25" s="74"/>
      <c r="K25" s="74"/>
      <c r="L25" s="74"/>
      <c r="M25" s="74"/>
      <c r="N25" s="74"/>
      <c r="O25" s="74"/>
      <c r="P25" s="74"/>
      <c r="Q25" s="74"/>
      <c r="R25" s="74"/>
      <c r="S25" s="74"/>
      <c r="T25" s="74"/>
      <c r="U25" s="74"/>
      <c r="V25" s="74"/>
      <c r="W25" s="74"/>
      <c r="X25" s="74"/>
      <c r="Y25" s="74"/>
      <c r="Z25" s="74"/>
    </row>
    <row r="26">
      <c r="B26" s="16" t="s">
        <v>178</v>
      </c>
      <c r="C26" s="16"/>
      <c r="D26" s="16" t="s">
        <v>161</v>
      </c>
      <c r="E26" s="74">
        <f t="shared" ref="E26:E77" si="14">if(D26="sum",sum(G26:Z26),if(D26="final",Z26,if(D26="initial",G26,if(D26="average",average(G26:Z26),0))))</f>
        <v>100000000</v>
      </c>
      <c r="F26" s="74"/>
      <c r="G26" s="74">
        <f>if(G4=1,'Get Started'!$D9,0)</f>
        <v>100000000</v>
      </c>
      <c r="H26" s="74">
        <f>if(H4=1,'Get Started'!$D9,0)</f>
        <v>0</v>
      </c>
      <c r="I26" s="74">
        <f>if(I4=1,'Get Started'!$D9,0)</f>
        <v>0</v>
      </c>
      <c r="J26" s="74">
        <f>if(J4=1,'Get Started'!$D9,0)</f>
        <v>0</v>
      </c>
      <c r="K26" s="74">
        <f>if(K4=1,'Get Started'!$D9,0)</f>
        <v>0</v>
      </c>
      <c r="L26" s="74">
        <f>if(L4=1,'Get Started'!$D9,0)</f>
        <v>0</v>
      </c>
      <c r="M26" s="74">
        <f>if(M4=1,'Get Started'!$D9,0)</f>
        <v>0</v>
      </c>
      <c r="N26" s="74">
        <f>if(N4=1,'Get Started'!$D9,0)</f>
        <v>0</v>
      </c>
      <c r="O26" s="74">
        <f>if(O4=1,'Get Started'!$D9,0)</f>
        <v>0</v>
      </c>
      <c r="P26" s="74">
        <f>if(P4=1,'Get Started'!$D9,0)</f>
        <v>0</v>
      </c>
      <c r="Q26" s="74">
        <f>if(Q4=1,'Get Started'!$D9,0)</f>
        <v>0</v>
      </c>
      <c r="R26" s="74">
        <f>if(R4=1,'Get Started'!$D9,0)</f>
        <v>0</v>
      </c>
      <c r="S26" s="74">
        <f>if(S4=1,'Get Started'!$D9,0)</f>
        <v>0</v>
      </c>
      <c r="T26" s="74">
        <f>if(T4=1,'Get Started'!$D9,0)</f>
        <v>0</v>
      </c>
      <c r="U26" s="74">
        <f>if(U4=1,'Get Started'!$D9,0)</f>
        <v>0</v>
      </c>
      <c r="V26" s="74">
        <f>if(V4=1,'Get Started'!$D9,0)</f>
        <v>0</v>
      </c>
      <c r="W26" s="74">
        <f>if(W4=1,'Get Started'!$D9,0)</f>
        <v>0</v>
      </c>
      <c r="X26" s="74">
        <f>if(X4=1,'Get Started'!$D9,0)</f>
        <v>0</v>
      </c>
      <c r="Y26" s="74">
        <f>if(Y4=1,'Get Started'!$D9,0)</f>
        <v>0</v>
      </c>
      <c r="Z26" s="74">
        <f>if(Z4=1,'Get Started'!$D9,0)</f>
        <v>0</v>
      </c>
    </row>
    <row r="27">
      <c r="B27" s="16" t="s">
        <v>172</v>
      </c>
      <c r="C27" s="16"/>
      <c r="D27" s="16" t="s">
        <v>161</v>
      </c>
      <c r="E27" s="74">
        <f t="shared" si="14"/>
        <v>100000000</v>
      </c>
      <c r="F27" s="74"/>
      <c r="G27" s="74">
        <f t="shared" ref="G27:Z27" si="15">min($E26-F53, max(0,G32+G33+G34+G35))</f>
        <v>7851185</v>
      </c>
      <c r="H27" s="74">
        <f t="shared" si="15"/>
        <v>16249926.67</v>
      </c>
      <c r="I27" s="74">
        <f t="shared" si="15"/>
        <v>24798668.33</v>
      </c>
      <c r="J27" s="74">
        <f t="shared" si="15"/>
        <v>25737225</v>
      </c>
      <c r="K27" s="74">
        <f t="shared" si="15"/>
        <v>18752197.5</v>
      </c>
      <c r="L27" s="74">
        <f t="shared" si="15"/>
        <v>6610797.5</v>
      </c>
      <c r="M27" s="74">
        <f t="shared" si="15"/>
        <v>0</v>
      </c>
      <c r="N27" s="74">
        <f t="shared" si="15"/>
        <v>0</v>
      </c>
      <c r="O27" s="74">
        <f t="shared" si="15"/>
        <v>0</v>
      </c>
      <c r="P27" s="74">
        <f t="shared" si="15"/>
        <v>0</v>
      </c>
      <c r="Q27" s="74">
        <f t="shared" si="15"/>
        <v>0</v>
      </c>
      <c r="R27" s="74">
        <f t="shared" si="15"/>
        <v>0</v>
      </c>
      <c r="S27" s="74">
        <f t="shared" si="15"/>
        <v>0</v>
      </c>
      <c r="T27" s="74">
        <f t="shared" si="15"/>
        <v>0</v>
      </c>
      <c r="U27" s="74">
        <f t="shared" si="15"/>
        <v>0</v>
      </c>
      <c r="V27" s="74">
        <f t="shared" si="15"/>
        <v>0</v>
      </c>
      <c r="W27" s="74">
        <f t="shared" si="15"/>
        <v>0</v>
      </c>
      <c r="X27" s="74">
        <f t="shared" si="15"/>
        <v>0</v>
      </c>
      <c r="Y27" s="74">
        <f t="shared" si="15"/>
        <v>0</v>
      </c>
      <c r="Z27" s="74">
        <f t="shared" si="15"/>
        <v>0</v>
      </c>
    </row>
    <row r="28">
      <c r="B28" s="16" t="s">
        <v>179</v>
      </c>
      <c r="C28" s="16"/>
      <c r="D28" s="16" t="s">
        <v>161</v>
      </c>
      <c r="E28" s="74">
        <f t="shared" si="14"/>
        <v>98450000</v>
      </c>
      <c r="F28" s="74"/>
      <c r="G28" s="74">
        <f t="shared" ref="G28:Z28" si="16">G158</f>
        <v>5641185</v>
      </c>
      <c r="H28" s="74">
        <f t="shared" si="16"/>
        <v>14189926.67</v>
      </c>
      <c r="I28" s="74">
        <f t="shared" si="16"/>
        <v>22738668.33</v>
      </c>
      <c r="J28" s="74">
        <f t="shared" si="16"/>
        <v>23677225</v>
      </c>
      <c r="K28" s="74">
        <f t="shared" si="16"/>
        <v>16692197.5</v>
      </c>
      <c r="L28" s="74">
        <f t="shared" si="16"/>
        <v>8143455.833</v>
      </c>
      <c r="M28" s="74">
        <f t="shared" si="16"/>
        <v>2351314.167</v>
      </c>
      <c r="N28" s="74">
        <f t="shared" si="16"/>
        <v>1575200</v>
      </c>
      <c r="O28" s="74">
        <f t="shared" si="16"/>
        <v>1934542.5</v>
      </c>
      <c r="P28" s="74">
        <f t="shared" si="16"/>
        <v>1146942.5</v>
      </c>
      <c r="Q28" s="74">
        <f t="shared" si="16"/>
        <v>359342.5</v>
      </c>
      <c r="R28" s="74">
        <f t="shared" si="16"/>
        <v>0</v>
      </c>
      <c r="S28" s="74">
        <f t="shared" si="16"/>
        <v>0</v>
      </c>
      <c r="T28" s="74">
        <f t="shared" si="16"/>
        <v>0</v>
      </c>
      <c r="U28" s="74">
        <f t="shared" si="16"/>
        <v>0</v>
      </c>
      <c r="V28" s="74">
        <f t="shared" si="16"/>
        <v>0</v>
      </c>
      <c r="W28" s="74">
        <f t="shared" si="16"/>
        <v>0</v>
      </c>
      <c r="X28" s="74">
        <f t="shared" si="16"/>
        <v>0</v>
      </c>
      <c r="Y28" s="74">
        <f t="shared" si="16"/>
        <v>0</v>
      </c>
      <c r="Z28" s="74">
        <f t="shared" si="16"/>
        <v>0</v>
      </c>
    </row>
    <row r="29">
      <c r="A29" s="39"/>
      <c r="B29" s="40" t="s">
        <v>180</v>
      </c>
      <c r="C29" s="40"/>
      <c r="D29" s="40" t="s">
        <v>161</v>
      </c>
      <c r="E29" s="77">
        <f t="shared" si="14"/>
        <v>0</v>
      </c>
      <c r="F29" s="78"/>
      <c r="G29" s="77">
        <v>0.0</v>
      </c>
      <c r="H29" s="77">
        <v>0.0</v>
      </c>
      <c r="I29" s="77">
        <v>0.0</v>
      </c>
      <c r="J29" s="77">
        <v>0.0</v>
      </c>
      <c r="K29" s="77">
        <v>0.0</v>
      </c>
      <c r="L29" s="77">
        <v>0.0</v>
      </c>
      <c r="M29" s="77">
        <v>0.0</v>
      </c>
      <c r="N29" s="77">
        <v>0.0</v>
      </c>
      <c r="O29" s="77">
        <v>0.0</v>
      </c>
      <c r="P29" s="77">
        <v>0.0</v>
      </c>
      <c r="Q29" s="77">
        <v>0.0</v>
      </c>
      <c r="R29" s="77">
        <v>0.0</v>
      </c>
      <c r="S29" s="77">
        <v>0.0</v>
      </c>
      <c r="T29" s="77">
        <v>0.0</v>
      </c>
      <c r="U29" s="77">
        <v>0.0</v>
      </c>
      <c r="V29" s="77">
        <v>0.0</v>
      </c>
      <c r="W29" s="77">
        <v>0.0</v>
      </c>
      <c r="X29" s="77">
        <v>0.0</v>
      </c>
      <c r="Y29" s="77">
        <v>0.0</v>
      </c>
      <c r="Z29" s="77">
        <v>0.0</v>
      </c>
    </row>
    <row r="30">
      <c r="B30" s="16" t="s">
        <v>181</v>
      </c>
      <c r="C30" s="16"/>
      <c r="D30" s="16" t="s">
        <v>161</v>
      </c>
      <c r="E30" s="74">
        <f t="shared" si="14"/>
        <v>0</v>
      </c>
      <c r="F30" s="74"/>
      <c r="G30" s="74">
        <v>0.0</v>
      </c>
      <c r="H30" s="74">
        <v>0.0</v>
      </c>
      <c r="I30" s="74">
        <v>0.0</v>
      </c>
      <c r="J30" s="74">
        <v>0.0</v>
      </c>
      <c r="K30" s="74">
        <v>0.0</v>
      </c>
      <c r="L30" s="74">
        <v>0.0</v>
      </c>
      <c r="M30" s="74">
        <v>0.0</v>
      </c>
      <c r="N30" s="74">
        <v>0.0</v>
      </c>
      <c r="O30" s="74">
        <v>0.0</v>
      </c>
      <c r="P30" s="74">
        <v>0.0</v>
      </c>
      <c r="Q30" s="74">
        <v>0.0</v>
      </c>
      <c r="R30" s="74">
        <v>0.0</v>
      </c>
      <c r="S30" s="74">
        <v>0.0</v>
      </c>
      <c r="T30" s="74">
        <v>0.0</v>
      </c>
      <c r="U30" s="74">
        <v>0.0</v>
      </c>
      <c r="V30" s="74">
        <v>0.0</v>
      </c>
      <c r="W30" s="74">
        <v>0.0</v>
      </c>
      <c r="X30" s="74">
        <v>0.0</v>
      </c>
      <c r="Y30" s="74">
        <v>0.0</v>
      </c>
      <c r="Z30" s="74">
        <v>0.0</v>
      </c>
    </row>
    <row r="31">
      <c r="B31" s="16" t="s">
        <v>182</v>
      </c>
      <c r="C31" s="16"/>
      <c r="D31" s="16" t="s">
        <v>161</v>
      </c>
      <c r="E31" s="74">
        <f t="shared" si="14"/>
        <v>0</v>
      </c>
      <c r="F31" s="74"/>
      <c r="G31" s="74">
        <v>0.0</v>
      </c>
      <c r="H31" s="74">
        <v>0.0</v>
      </c>
      <c r="I31" s="74">
        <v>0.0</v>
      </c>
      <c r="J31" s="74">
        <v>0.0</v>
      </c>
      <c r="K31" s="74">
        <v>0.0</v>
      </c>
      <c r="L31" s="74">
        <v>0.0</v>
      </c>
      <c r="M31" s="74">
        <v>0.0</v>
      </c>
      <c r="N31" s="74">
        <v>0.0</v>
      </c>
      <c r="O31" s="74">
        <v>0.0</v>
      </c>
      <c r="P31" s="74">
        <v>0.0</v>
      </c>
      <c r="Q31" s="74">
        <v>0.0</v>
      </c>
      <c r="R31" s="74">
        <v>0.0</v>
      </c>
      <c r="S31" s="74">
        <v>0.0</v>
      </c>
      <c r="T31" s="74">
        <v>0.0</v>
      </c>
      <c r="U31" s="74">
        <v>0.0</v>
      </c>
      <c r="V31" s="74">
        <v>0.0</v>
      </c>
      <c r="W31" s="74">
        <v>0.0</v>
      </c>
      <c r="X31" s="74">
        <v>0.0</v>
      </c>
      <c r="Y31" s="74">
        <v>0.0</v>
      </c>
      <c r="Z31" s="74">
        <v>0.0</v>
      </c>
    </row>
    <row r="32">
      <c r="A32" s="39"/>
      <c r="B32" s="40" t="s">
        <v>183</v>
      </c>
      <c r="C32" s="32">
        <v>0.0</v>
      </c>
      <c r="D32" s="40" t="s">
        <v>161</v>
      </c>
      <c r="E32" s="77">
        <f t="shared" si="14"/>
        <v>98450000</v>
      </c>
      <c r="F32" s="78"/>
      <c r="G32" s="77">
        <f t="shared" ref="G32:Z32" si="17">sum(G28,G30)</f>
        <v>5641185</v>
      </c>
      <c r="H32" s="77">
        <f t="shared" si="17"/>
        <v>14189926.67</v>
      </c>
      <c r="I32" s="77">
        <f t="shared" si="17"/>
        <v>22738668.33</v>
      </c>
      <c r="J32" s="77">
        <f t="shared" si="17"/>
        <v>23677225</v>
      </c>
      <c r="K32" s="77">
        <f t="shared" si="17"/>
        <v>16692197.5</v>
      </c>
      <c r="L32" s="77">
        <f t="shared" si="17"/>
        <v>8143455.833</v>
      </c>
      <c r="M32" s="77">
        <f t="shared" si="17"/>
        <v>2351314.167</v>
      </c>
      <c r="N32" s="77">
        <f t="shared" si="17"/>
        <v>1575200</v>
      </c>
      <c r="O32" s="77">
        <f t="shared" si="17"/>
        <v>1934542.5</v>
      </c>
      <c r="P32" s="77">
        <f t="shared" si="17"/>
        <v>1146942.5</v>
      </c>
      <c r="Q32" s="77">
        <f t="shared" si="17"/>
        <v>359342.5</v>
      </c>
      <c r="R32" s="77">
        <f t="shared" si="17"/>
        <v>0</v>
      </c>
      <c r="S32" s="77">
        <f t="shared" si="17"/>
        <v>0</v>
      </c>
      <c r="T32" s="77">
        <f t="shared" si="17"/>
        <v>0</v>
      </c>
      <c r="U32" s="77">
        <f t="shared" si="17"/>
        <v>0</v>
      </c>
      <c r="V32" s="77">
        <f t="shared" si="17"/>
        <v>0</v>
      </c>
      <c r="W32" s="77">
        <f t="shared" si="17"/>
        <v>0</v>
      </c>
      <c r="X32" s="77">
        <f t="shared" si="17"/>
        <v>0</v>
      </c>
      <c r="Y32" s="77">
        <f t="shared" si="17"/>
        <v>0</v>
      </c>
      <c r="Z32" s="77">
        <f t="shared" si="17"/>
        <v>0</v>
      </c>
    </row>
    <row r="33">
      <c r="B33" s="16" t="s">
        <v>184</v>
      </c>
      <c r="C33" s="16"/>
      <c r="D33" s="16" t="s">
        <v>161</v>
      </c>
      <c r="E33" s="74">
        <f t="shared" si="14"/>
        <v>150000</v>
      </c>
      <c r="F33" s="74"/>
      <c r="G33" s="74">
        <f>if(G4=1,'Get Started'!$D11,0)</f>
        <v>150000</v>
      </c>
      <c r="H33" s="74">
        <f>if(H4=1,'Get Started'!$D11,0)</f>
        <v>0</v>
      </c>
      <c r="I33" s="74">
        <f>if(I4=1,'Get Started'!$D11,0)</f>
        <v>0</v>
      </c>
      <c r="J33" s="74">
        <f>if(J4=1,'Get Started'!$D11,0)</f>
        <v>0</v>
      </c>
      <c r="K33" s="74">
        <f>if(K4=1,'Get Started'!$D11,0)</f>
        <v>0</v>
      </c>
      <c r="L33" s="74">
        <f>if(L4=1,'Get Started'!$D11,0)</f>
        <v>0</v>
      </c>
      <c r="M33" s="74">
        <f>if(M4=1,'Get Started'!$D11,0)</f>
        <v>0</v>
      </c>
      <c r="N33" s="74">
        <f>if(N4=1,'Get Started'!$D11,0)</f>
        <v>0</v>
      </c>
      <c r="O33" s="74">
        <f>if(O4=1,'Get Started'!$D11,0)</f>
        <v>0</v>
      </c>
      <c r="P33" s="74">
        <f>if(P4=1,'Get Started'!$D11,0)</f>
        <v>0</v>
      </c>
      <c r="Q33" s="74">
        <f>if(Q4=1,'Get Started'!$D11,0)</f>
        <v>0</v>
      </c>
      <c r="R33" s="74">
        <f>if(R4=1,'Get Started'!$D11,0)</f>
        <v>0</v>
      </c>
      <c r="S33" s="74">
        <f>if(S4=1,'Get Started'!$D11,0)</f>
        <v>0</v>
      </c>
      <c r="T33" s="74">
        <f>if(T4=1,'Get Started'!$D11,0)</f>
        <v>0</v>
      </c>
      <c r="U33" s="74">
        <f>if(U4=1,'Get Started'!$D11,0)</f>
        <v>0</v>
      </c>
      <c r="V33" s="74">
        <f>if(V4=1,'Get Started'!$D11,0)</f>
        <v>0</v>
      </c>
      <c r="W33" s="74">
        <f>if(W4=1,'Get Started'!$D11,0)</f>
        <v>0</v>
      </c>
      <c r="X33" s="74">
        <f>if(X4=1,'Get Started'!$D11,0)</f>
        <v>0</v>
      </c>
      <c r="Y33" s="74">
        <f>if(Y4=1,'Get Started'!$D11,0)</f>
        <v>0</v>
      </c>
      <c r="Z33" s="74">
        <f>if(Z4=1,'Get Started'!$D11,0)</f>
        <v>0</v>
      </c>
    </row>
    <row r="34">
      <c r="B34" s="16" t="s">
        <v>185</v>
      </c>
      <c r="C34" s="16"/>
      <c r="D34" s="16" t="s">
        <v>161</v>
      </c>
      <c r="E34" s="74">
        <f t="shared" si="14"/>
        <v>1400000</v>
      </c>
      <c r="F34" s="74"/>
      <c r="G34" s="74">
        <f>'Get Started'!$D12*G10</f>
        <v>100000</v>
      </c>
      <c r="H34" s="74">
        <f>'Get Started'!$D12*H10</f>
        <v>100000</v>
      </c>
      <c r="I34" s="74">
        <f>'Get Started'!$D12*I10</f>
        <v>100000</v>
      </c>
      <c r="J34" s="74">
        <f>'Get Started'!$D12*J10</f>
        <v>100000</v>
      </c>
      <c r="K34" s="74">
        <f>'Get Started'!$D12*K10</f>
        <v>100000</v>
      </c>
      <c r="L34" s="74">
        <f>'Get Started'!$D12*L10</f>
        <v>100000</v>
      </c>
      <c r="M34" s="74">
        <f>'Get Started'!$D12*M10</f>
        <v>100000</v>
      </c>
      <c r="N34" s="74">
        <f>'Get Started'!$D12*N10</f>
        <v>100000</v>
      </c>
      <c r="O34" s="74">
        <f>'Get Started'!$D12*O10</f>
        <v>100000</v>
      </c>
      <c r="P34" s="74">
        <f>'Get Started'!$D12*P10</f>
        <v>100000</v>
      </c>
      <c r="Q34" s="74">
        <f>'Get Started'!$D12*Q10</f>
        <v>100000</v>
      </c>
      <c r="R34" s="74">
        <f>'Get Started'!$D12*R10</f>
        <v>100000</v>
      </c>
      <c r="S34" s="74">
        <f>'Get Started'!$D12*S10</f>
        <v>100000</v>
      </c>
      <c r="T34" s="74">
        <f>'Get Started'!$D12*T10</f>
        <v>100000</v>
      </c>
      <c r="U34" s="74">
        <f>'Get Started'!$D12*U10</f>
        <v>0</v>
      </c>
      <c r="V34" s="74">
        <f>'Get Started'!$D12*V10</f>
        <v>0</v>
      </c>
      <c r="W34" s="74">
        <f>'Get Started'!$D12*W10</f>
        <v>0</v>
      </c>
      <c r="X34" s="74">
        <f>'Get Started'!$D12*X10</f>
        <v>0</v>
      </c>
      <c r="Y34" s="74">
        <f>'Get Started'!$D12*Y10</f>
        <v>0</v>
      </c>
      <c r="Z34" s="74">
        <f>'Get Started'!$D12*Z10</f>
        <v>0</v>
      </c>
    </row>
    <row r="35">
      <c r="A35" s="39"/>
      <c r="B35" s="40" t="s">
        <v>166</v>
      </c>
      <c r="C35" s="40"/>
      <c r="D35" s="40" t="s">
        <v>161</v>
      </c>
      <c r="E35" s="77">
        <f t="shared" si="14"/>
        <v>23520000</v>
      </c>
      <c r="F35" s="78"/>
      <c r="G35" s="77">
        <f>iferror(if(G14="committed",G73*if($C16=true,1-'Get Started'!$D10,1)*G13+if(and(G4&lt;&gt;1,G47*if($C16=true,1-'Get Started'!$D10,1)&lt;&gt;0,sum($G47:G47)*if($C16=true,1-'Get Started'!$D10,1)&lt;&gt;E47*if($C16=true,1-'Get Started'!$D10,1)),G47*if($C16=true,1-'Get Started'!$D10,1)*(G4-1)*G13,0),if(G14="called",G13*(G53+F53)/2*if($C16=true,1-'Get Started'!$D10,1),G13*(G75+F75)/2*if($C16=true,1-'Get Started'!$D10,1))),0)</f>
        <v>1960000</v>
      </c>
      <c r="H35" s="77">
        <f>iferror(if(H14="committed",H73*if($C16=true,1-'Get Started'!$D10,1)*H13+if(and(H4&lt;&gt;1,H47*if($C16=true,1-'Get Started'!$D10,1)&lt;&gt;0,sum($G47:H47)*if($C16=true,1-'Get Started'!$D10,1)&lt;&gt;F47*if($C16=true,1-'Get Started'!$D10,1)),H47*if($C16=true,1-'Get Started'!$D10,1)*(H4-1)*H13,0),if(H14="called",H13*(H53+G53)/2*if($C16=true,1-'Get Started'!$D10,1),H13*(H75+G75)/2*if($C16=true,1-'Get Started'!$D10,1))),0)</f>
        <v>1960000</v>
      </c>
      <c r="I35" s="77">
        <f>iferror(if(I14="committed",I73*if($C16=true,1-'Get Started'!$D10,1)*I13+if(and(I4&lt;&gt;1,I47*if($C16=true,1-'Get Started'!$D10,1)&lt;&gt;0,sum($G47:I47)*if($C16=true,1-'Get Started'!$D10,1)&lt;&gt;G47*if($C16=true,1-'Get Started'!$D10,1)),I47*if($C16=true,1-'Get Started'!$D10,1)*(I4-1)*I13,0),if(I14="called",I13*(I53+H53)/2*if($C16=true,1-'Get Started'!$D10,1),I13*(I75+H75)/2*if($C16=true,1-'Get Started'!$D10,1))),0)</f>
        <v>1960000</v>
      </c>
      <c r="J35" s="77">
        <f>iferror(if(J14="committed",J73*if($C16=true,1-'Get Started'!$D10,1)*J13+if(and(J4&lt;&gt;1,J47*if($C16=true,1-'Get Started'!$D10,1)&lt;&gt;0,sum($G47:J47)*if($C16=true,1-'Get Started'!$D10,1)&lt;&gt;H47*if($C16=true,1-'Get Started'!$D10,1)),J47*if($C16=true,1-'Get Started'!$D10,1)*(J4-1)*J13,0),if(J14="called",J13*(J53+I53)/2*if($C16=true,1-'Get Started'!$D10,1),J13*(J75+I75)/2*if($C16=true,1-'Get Started'!$D10,1))),0)</f>
        <v>1960000</v>
      </c>
      <c r="K35" s="77">
        <f>iferror(if(K14="committed",K73*if($C16=true,1-'Get Started'!$D10,1)*K13+if(and(K4&lt;&gt;1,K47*if($C16=true,1-'Get Started'!$D10,1)&lt;&gt;0,sum($G47:K47)*if($C16=true,1-'Get Started'!$D10,1)&lt;&gt;I47*if($C16=true,1-'Get Started'!$D10,1)),K47*if($C16=true,1-'Get Started'!$D10,1)*(K4-1)*K13,0),if(K14="called",K13*(K53+J53)/2*if($C16=true,1-'Get Started'!$D10,1),K13*(K75+J75)/2*if($C16=true,1-'Get Started'!$D10,1))),0)</f>
        <v>1960000</v>
      </c>
      <c r="L35" s="77">
        <f>iferror(if(L14="committed",L73*if($C16=true,1-'Get Started'!$D10,1)*L13+if(and(L4&lt;&gt;1,L47*if($C16=true,1-'Get Started'!$D10,1)&lt;&gt;0,sum($G47:L47)*if($C16=true,1-'Get Started'!$D10,1)&lt;&gt;J47*if($C16=true,1-'Get Started'!$D10,1)),L47*if($C16=true,1-'Get Started'!$D10,1)*(L4-1)*L13,0),if(L14="called",L13*(L53+K53)/2*if($C16=true,1-'Get Started'!$D10,1),L13*(L75+K75)/2*if($C16=true,1-'Get Started'!$D10,1))),0)</f>
        <v>1960000</v>
      </c>
      <c r="M35" s="77">
        <f>iferror(if(M14="committed",M73*if($C16=true,1-'Get Started'!$D10,1)*M13+if(and(M4&lt;&gt;1,M47*if($C16=true,1-'Get Started'!$D10,1)&lt;&gt;0,sum($G47:M47)*if($C16=true,1-'Get Started'!$D10,1)&lt;&gt;K47*if($C16=true,1-'Get Started'!$D10,1)),M47*if($C16=true,1-'Get Started'!$D10,1)*(M4-1)*M13,0),if(M14="called",M13*(M53+L53)/2*if($C16=true,1-'Get Started'!$D10,1),M13*(M75+L75)/2*if($C16=true,1-'Get Started'!$D10,1))),0)</f>
        <v>1960000</v>
      </c>
      <c r="N35" s="77">
        <f>iferror(if(N14="committed",N73*if($C16=true,1-'Get Started'!$D10,1)*N13+if(and(N4&lt;&gt;1,N47*if($C16=true,1-'Get Started'!$D10,1)&lt;&gt;0,sum($G47:N47)*if($C16=true,1-'Get Started'!$D10,1)&lt;&gt;L47*if($C16=true,1-'Get Started'!$D10,1)),N47*if($C16=true,1-'Get Started'!$D10,1)*(N4-1)*N13,0),if(N14="called",N13*(N53+M53)/2*if($C16=true,1-'Get Started'!$D10,1),N13*(N75+M75)/2*if($C16=true,1-'Get Started'!$D10,1))),0)</f>
        <v>1960000</v>
      </c>
      <c r="O35" s="77">
        <f>iferror(if(O14="committed",O73*if($C16=true,1-'Get Started'!$D10,1)*O13+if(and(O4&lt;&gt;1,O47*if($C16=true,1-'Get Started'!$D10,1)&lt;&gt;0,sum($G47:O47)*if($C16=true,1-'Get Started'!$D10,1)&lt;&gt;M47*if($C16=true,1-'Get Started'!$D10,1)),O47*if($C16=true,1-'Get Started'!$D10,1)*(O4-1)*O13,0),if(O14="called",O13*(O53+N53)/2*if($C16=true,1-'Get Started'!$D10,1),O13*(O75+N75)/2*if($C16=true,1-'Get Started'!$D10,1))),0)</f>
        <v>1960000</v>
      </c>
      <c r="P35" s="77">
        <f>iferror(if(P14="committed",P73*if($C16=true,1-'Get Started'!$D10,1)*P13+if(and(P4&lt;&gt;1,P47*if($C16=true,1-'Get Started'!$D10,1)&lt;&gt;0,sum($G47:P47)*if($C16=true,1-'Get Started'!$D10,1)&lt;&gt;N47*if($C16=true,1-'Get Started'!$D10,1)),P47*if($C16=true,1-'Get Started'!$D10,1)*(P4-1)*P13,0),if(P14="called",P13*(P53+O53)/2*if($C16=true,1-'Get Started'!$D10,1),P13*(P75+O75)/2*if($C16=true,1-'Get Started'!$D10,1))),0)</f>
        <v>1960000</v>
      </c>
      <c r="Q35" s="77">
        <f>iferror(if(Q14="committed",Q73*if($C16=true,1-'Get Started'!$D10,1)*Q13+if(and(Q4&lt;&gt;1,Q47*if($C16=true,1-'Get Started'!$D10,1)&lt;&gt;0,sum($G47:Q47)*if($C16=true,1-'Get Started'!$D10,1)&lt;&gt;O47*if($C16=true,1-'Get Started'!$D10,1)),Q47*if($C16=true,1-'Get Started'!$D10,1)*(Q4-1)*Q13,0),if(Q14="called",Q13*(Q53+P53)/2*if($C16=true,1-'Get Started'!$D10,1),Q13*(Q75+P75)/2*if($C16=true,1-'Get Started'!$D10,1))),0)</f>
        <v>1960000</v>
      </c>
      <c r="R35" s="77">
        <f>iferror(if(R14="committed",R73*if($C16=true,1-'Get Started'!$D10,1)*R13+if(and(R4&lt;&gt;1,R47*if($C16=true,1-'Get Started'!$D10,1)&lt;&gt;0,sum($G47:R47)*if($C16=true,1-'Get Started'!$D10,1)&lt;&gt;P47*if($C16=true,1-'Get Started'!$D10,1)),R47*if($C16=true,1-'Get Started'!$D10,1)*(R4-1)*R13,0),if(R14="called",R13*(R53+Q53)/2*if($C16=true,1-'Get Started'!$D10,1),R13*(R75+Q75)/2*if($C16=true,1-'Get Started'!$D10,1))),0)</f>
        <v>1960000</v>
      </c>
      <c r="S35" s="77">
        <f>iferror(if(S14="committed",S73*if($C16=true,1-'Get Started'!$D10,1)*S13+if(and(S4&lt;&gt;1,S47*if($C16=true,1-'Get Started'!$D10,1)&lt;&gt;0,sum($G47:S47)*if($C16=true,1-'Get Started'!$D10,1)&lt;&gt;Q47*if($C16=true,1-'Get Started'!$D10,1)),S47*if($C16=true,1-'Get Started'!$D10,1)*(S4-1)*S13,0),if(S14="called",S13*(S53+R53)/2*if($C16=true,1-'Get Started'!$D10,1),S13*(S75+R75)/2*if($C16=true,1-'Get Started'!$D10,1))),0)</f>
        <v>0</v>
      </c>
      <c r="T35" s="77">
        <f>iferror(if(T14="committed",T73*if($C16=true,1-'Get Started'!$D10,1)*T13+if(and(T4&lt;&gt;1,T47*if($C16=true,1-'Get Started'!$D10,1)&lt;&gt;0,sum($G47:T47)*if($C16=true,1-'Get Started'!$D10,1)&lt;&gt;R47*if($C16=true,1-'Get Started'!$D10,1)),T47*if($C16=true,1-'Get Started'!$D10,1)*(T4-1)*T13,0),if(T14="called",T13*(T53+S53)/2*if($C16=true,1-'Get Started'!$D10,1),T13*(T75+S75)/2*if($C16=true,1-'Get Started'!$D10,1))),0)</f>
        <v>0</v>
      </c>
      <c r="U35" s="77">
        <f>iferror(if(U14="committed",U73*if($C16=true,1-'Get Started'!$D10,1)*U13+if(and(U4&lt;&gt;1,U47*if($C16=true,1-'Get Started'!$D10,1)&lt;&gt;0,sum($G47:U47)*if($C16=true,1-'Get Started'!$D10,1)&lt;&gt;S47*if($C16=true,1-'Get Started'!$D10,1)),U47*if($C16=true,1-'Get Started'!$D10,1)*(U4-1)*U13,0),if(U14="called",U13*(U53+T53)/2*if($C16=true,1-'Get Started'!$D10,1),U13*(U75+T75)/2*if($C16=true,1-'Get Started'!$D10,1))),0)</f>
        <v>0</v>
      </c>
      <c r="V35" s="77">
        <f>iferror(if(V14="committed",V73*if($C16=true,1-'Get Started'!$D10,1)*V13+if(and(V4&lt;&gt;1,V47*if($C16=true,1-'Get Started'!$D10,1)&lt;&gt;0,sum($G47:V47)*if($C16=true,1-'Get Started'!$D10,1)&lt;&gt;T47*if($C16=true,1-'Get Started'!$D10,1)),V47*if($C16=true,1-'Get Started'!$D10,1)*(V4-1)*V13,0),if(V14="called",V13*(V53+U53)/2*if($C16=true,1-'Get Started'!$D10,1),V13*(V75+U75)/2*if($C16=true,1-'Get Started'!$D10,1))),0)</f>
        <v>0</v>
      </c>
      <c r="W35" s="77">
        <f>iferror(if(W14="committed",W73*if($C16=true,1-'Get Started'!$D10,1)*W13+if(and(W4&lt;&gt;1,W47*if($C16=true,1-'Get Started'!$D10,1)&lt;&gt;0,sum($G47:W47)*if($C16=true,1-'Get Started'!$D10,1)&lt;&gt;U47*if($C16=true,1-'Get Started'!$D10,1)),W47*if($C16=true,1-'Get Started'!$D10,1)*(W4-1)*W13,0),if(W14="called",W13*(W53+V53)/2*if($C16=true,1-'Get Started'!$D10,1),W13*(W75+V75)/2*if($C16=true,1-'Get Started'!$D10,1))),0)</f>
        <v>0</v>
      </c>
      <c r="X35" s="77">
        <f>iferror(if(X14="committed",X73*if($C16=true,1-'Get Started'!$D10,1)*X13+if(and(X4&lt;&gt;1,X47*if($C16=true,1-'Get Started'!$D10,1)&lt;&gt;0,sum($G47:X47)*if($C16=true,1-'Get Started'!$D10,1)&lt;&gt;V47*if($C16=true,1-'Get Started'!$D10,1)),X47*if($C16=true,1-'Get Started'!$D10,1)*(X4-1)*X13,0),if(X14="called",X13*(X53+W53)/2*if($C16=true,1-'Get Started'!$D10,1),X13*(X75+W75)/2*if($C16=true,1-'Get Started'!$D10,1))),0)</f>
        <v>0</v>
      </c>
      <c r="Y35" s="77">
        <f>iferror(if(Y14="committed",Y73*if($C16=true,1-'Get Started'!$D10,1)*Y13+if(and(Y4&lt;&gt;1,Y47*if($C16=true,1-'Get Started'!$D10,1)&lt;&gt;0,sum($G47:Y47)*if($C16=true,1-'Get Started'!$D10,1)&lt;&gt;W47*if($C16=true,1-'Get Started'!$D10,1)),Y47*if($C16=true,1-'Get Started'!$D10,1)*(Y4-1)*Y13,0),if(Y14="called",Y13*(Y53+X53)/2*if($C16=true,1-'Get Started'!$D10,1),Y13*(Y75+X75)/2*if($C16=true,1-'Get Started'!$D10,1))),0)</f>
        <v>0</v>
      </c>
      <c r="Z35" s="77">
        <f>iferror(if(Z14="committed",Z73*if($C16=true,1-'Get Started'!$D10,1)*Z13+if(and(Z4&lt;&gt;1,Z47*if($C16=true,1-'Get Started'!$D10,1)&lt;&gt;0,sum($G47:Z47)*if($C16=true,1-'Get Started'!$D10,1)&lt;&gt;X47*if($C16=true,1-'Get Started'!$D10,1)),Z47*if($C16=true,1-'Get Started'!$D10,1)*(Z4-1)*Z13,0),if(Z14="called",Z13*(Z53+Y53)/2*if($C16=true,1-'Get Started'!$D10,1),Z13*(Z75+Y75)/2*if($C16=true,1-'Get Started'!$D10,1))),0)</f>
        <v>0</v>
      </c>
    </row>
    <row r="36">
      <c r="B36" s="16" t="s">
        <v>82</v>
      </c>
      <c r="C36" s="16"/>
      <c r="D36" s="16" t="s">
        <v>161</v>
      </c>
      <c r="E36" s="74">
        <f t="shared" si="14"/>
        <v>23520000</v>
      </c>
      <c r="F36" s="74"/>
      <c r="G36" s="74">
        <f>MIN(sum(G33,G34,G35,G28,G30),min(G37,$E61*'Get Started'!$D14-F62,F61*'Get Started'!$D14))</f>
        <v>0</v>
      </c>
      <c r="H36" s="74">
        <f>MIN(sum(H33,H34,H35,H28,H30),min(H37,$E61*'Get Started'!$D14-G62,G61*'Get Started'!$D14))</f>
        <v>0</v>
      </c>
      <c r="I36" s="74">
        <f>MIN(sum(I33,I34,I35,I28,I30),min(I37,$E61*'Get Started'!$D14-H62,H61*'Get Started'!$D14))</f>
        <v>0</v>
      </c>
      <c r="J36" s="74">
        <f>MIN(sum(J33,J34,J35,J28,J30),min(J37,$E61*'Get Started'!$D14-I62,I61*'Get Started'!$D14))</f>
        <v>359342.5</v>
      </c>
      <c r="K36" s="74">
        <f>MIN(sum(K33,K34,K35,K28,K30),min(K37,$E61*'Get Started'!$D14-J62,J61*'Get Started'!$D14))</f>
        <v>359342.5</v>
      </c>
      <c r="L36" s="74">
        <f>MIN(sum(L33,L34,L35,L28,L30),min(L37,$E61*'Get Started'!$D14-K62,K61*'Get Started'!$D14))</f>
        <v>4302265</v>
      </c>
      <c r="M36" s="74">
        <f>MIN(sum(M33,M34,M35,M28,M30),min(M37,$E61*'Get Started'!$D14-L62,L61*'Get Started'!$D14))</f>
        <v>4411314.167</v>
      </c>
      <c r="N36" s="74">
        <f>MIN(sum(N33,N34,N35,N28,N30),min(N37,$E61*'Get Started'!$D14-M62,M61*'Get Started'!$D14))</f>
        <v>3635200</v>
      </c>
      <c r="O36" s="74">
        <f>MIN(sum(O33,O34,O35,O28,O30),min(O37,$E61*'Get Started'!$D14-N62,N61*'Get Started'!$D14))</f>
        <v>3994542.5</v>
      </c>
      <c r="P36" s="74">
        <f>MIN(sum(P33,P34,P35,P28,P30),min(P37,$E61*'Get Started'!$D14-O62,O61*'Get Started'!$D14))</f>
        <v>3206942.5</v>
      </c>
      <c r="Q36" s="74">
        <f>MIN(sum(Q33,Q34,Q35,Q28,Q30),min(Q37,$E61*'Get Started'!$D14-P62,P61*'Get Started'!$D14))</f>
        <v>2419342.5</v>
      </c>
      <c r="R36" s="74">
        <f>MIN(sum(R33,R34,R35,R28,R30),min(R37,$E61*'Get Started'!$D14-Q62,Q61*'Get Started'!$D14))</f>
        <v>831708.3333</v>
      </c>
      <c r="S36" s="74">
        <f>MIN(sum(S33,S34,S35,S28,S30),min(S37,$E61*'Get Started'!$D14-R62,R61*'Get Started'!$D14))</f>
        <v>0</v>
      </c>
      <c r="T36" s="74">
        <f>MIN(sum(T33,T34,T35,T28,T30),min(T37,$E61*'Get Started'!$D14-S62,S61*'Get Started'!$D14))</f>
        <v>0</v>
      </c>
      <c r="U36" s="74">
        <f>MIN(sum(U33,U34,U35,U28,U30),min(U37,$E61*'Get Started'!$D14-T62,T61*'Get Started'!$D14))</f>
        <v>0</v>
      </c>
      <c r="V36" s="74">
        <f>MIN(sum(V33,V34,V35,V28,V30),min(V37,$E61*'Get Started'!$D14-U62,U61*'Get Started'!$D14))</f>
        <v>0</v>
      </c>
      <c r="W36" s="74">
        <f>MIN(sum(W33,W34,W35,W28,W30),min(W37,$E61*'Get Started'!$D14-V62,V61*'Get Started'!$D14))</f>
        <v>0</v>
      </c>
      <c r="X36" s="74">
        <f>MIN(sum(X33,X34,X35,X28,X30),min(X37,$E61*'Get Started'!$D14-W62,W61*'Get Started'!$D14))</f>
        <v>0</v>
      </c>
      <c r="Y36" s="74">
        <f>MIN(sum(Y33,Y34,Y35,Y28,Y30),min(Y37,$E61*'Get Started'!$D14-X62,X61*'Get Started'!$D14))</f>
        <v>0</v>
      </c>
      <c r="Z36" s="74">
        <f>MIN(sum(Z33,Z34,Z35,Z28,Z30),min(Z37,$E61*'Get Started'!$D14-Y62,Y61*'Get Started'!$D14))</f>
        <v>0</v>
      </c>
    </row>
    <row r="37">
      <c r="B37" s="80" t="s">
        <v>140</v>
      </c>
      <c r="C37" s="16"/>
      <c r="D37" s="16" t="s">
        <v>161</v>
      </c>
      <c r="E37" s="74">
        <f t="shared" si="14"/>
        <v>301965840</v>
      </c>
      <c r="F37" s="74"/>
      <c r="G37" s="74">
        <f t="shared" ref="G37:Z37" si="18">G539</f>
        <v>0</v>
      </c>
      <c r="H37" s="74">
        <f t="shared" si="18"/>
        <v>0</v>
      </c>
      <c r="I37" s="74">
        <f t="shared" si="18"/>
        <v>0</v>
      </c>
      <c r="J37" s="74">
        <f t="shared" si="18"/>
        <v>359342.5</v>
      </c>
      <c r="K37" s="74">
        <f t="shared" si="18"/>
        <v>359342.5</v>
      </c>
      <c r="L37" s="74">
        <f t="shared" si="18"/>
        <v>4302265</v>
      </c>
      <c r="M37" s="74">
        <f t="shared" si="18"/>
        <v>10151835.83</v>
      </c>
      <c r="N37" s="74">
        <f t="shared" si="18"/>
        <v>14032406.67</v>
      </c>
      <c r="O37" s="74">
        <f t="shared" si="18"/>
        <v>36747447</v>
      </c>
      <c r="P37" s="74">
        <f t="shared" si="18"/>
        <v>50407056.33</v>
      </c>
      <c r="Q37" s="74">
        <f t="shared" si="18"/>
        <v>66395008.17</v>
      </c>
      <c r="R37" s="74">
        <f t="shared" si="18"/>
        <v>59605568</v>
      </c>
      <c r="S37" s="74">
        <f t="shared" si="18"/>
        <v>39737045.33</v>
      </c>
      <c r="T37" s="74">
        <f t="shared" si="18"/>
        <v>19868522.67</v>
      </c>
      <c r="U37" s="74">
        <f t="shared" si="18"/>
        <v>0</v>
      </c>
      <c r="V37" s="74">
        <f t="shared" si="18"/>
        <v>0</v>
      </c>
      <c r="W37" s="74">
        <f t="shared" si="18"/>
        <v>0</v>
      </c>
      <c r="X37" s="74">
        <f t="shared" si="18"/>
        <v>0</v>
      </c>
      <c r="Y37" s="74">
        <f t="shared" si="18"/>
        <v>0</v>
      </c>
      <c r="Z37" s="74">
        <f t="shared" si="18"/>
        <v>0</v>
      </c>
    </row>
    <row r="38">
      <c r="B38" s="81" t="s">
        <v>186</v>
      </c>
      <c r="C38" s="16"/>
      <c r="D38" s="16" t="s">
        <v>161</v>
      </c>
      <c r="E38" s="74">
        <f t="shared" si="14"/>
        <v>0</v>
      </c>
      <c r="F38" s="74"/>
      <c r="G38" s="74">
        <v>0.0</v>
      </c>
      <c r="H38" s="74">
        <v>0.0</v>
      </c>
      <c r="I38" s="74">
        <v>0.0</v>
      </c>
      <c r="J38" s="74">
        <v>0.0</v>
      </c>
      <c r="K38" s="74">
        <v>0.0</v>
      </c>
      <c r="L38" s="74">
        <v>0.0</v>
      </c>
      <c r="M38" s="74">
        <v>0.0</v>
      </c>
      <c r="N38" s="74">
        <v>0.0</v>
      </c>
      <c r="O38" s="74">
        <v>0.0</v>
      </c>
      <c r="P38" s="74">
        <v>0.0</v>
      </c>
      <c r="Q38" s="74">
        <v>0.0</v>
      </c>
      <c r="R38" s="74">
        <v>0.0</v>
      </c>
      <c r="S38" s="74">
        <v>0.0</v>
      </c>
      <c r="T38" s="74">
        <v>0.0</v>
      </c>
      <c r="U38" s="74">
        <v>0.0</v>
      </c>
      <c r="V38" s="74">
        <v>0.0</v>
      </c>
      <c r="W38" s="74">
        <v>0.0</v>
      </c>
      <c r="X38" s="74">
        <v>0.0</v>
      </c>
      <c r="Y38" s="74">
        <v>0.0</v>
      </c>
      <c r="Z38" s="74">
        <v>0.0</v>
      </c>
    </row>
    <row r="39">
      <c r="B39" s="81" t="s">
        <v>187</v>
      </c>
      <c r="C39" s="16"/>
      <c r="D39" s="16" t="s">
        <v>161</v>
      </c>
      <c r="E39" s="74">
        <f t="shared" si="14"/>
        <v>0</v>
      </c>
      <c r="F39" s="74"/>
      <c r="G39" s="74">
        <v>0.0</v>
      </c>
      <c r="H39" s="74">
        <v>0.0</v>
      </c>
      <c r="I39" s="74">
        <v>0.0</v>
      </c>
      <c r="J39" s="74">
        <v>0.0</v>
      </c>
      <c r="K39" s="74">
        <v>0.0</v>
      </c>
      <c r="L39" s="74">
        <v>0.0</v>
      </c>
      <c r="M39" s="74">
        <v>0.0</v>
      </c>
      <c r="N39" s="74">
        <v>0.0</v>
      </c>
      <c r="O39" s="74">
        <v>0.0</v>
      </c>
      <c r="P39" s="74">
        <v>0.0</v>
      </c>
      <c r="Q39" s="74">
        <v>0.0</v>
      </c>
      <c r="R39" s="74">
        <v>0.0</v>
      </c>
      <c r="S39" s="74">
        <v>0.0</v>
      </c>
      <c r="T39" s="74">
        <v>0.0</v>
      </c>
      <c r="U39" s="74">
        <v>0.0</v>
      </c>
      <c r="V39" s="74">
        <v>0.0</v>
      </c>
      <c r="W39" s="74">
        <v>0.0</v>
      </c>
      <c r="X39" s="74">
        <v>0.0</v>
      </c>
      <c r="Y39" s="74">
        <v>0.0</v>
      </c>
      <c r="Z39" s="74">
        <v>0.0</v>
      </c>
    </row>
    <row r="40">
      <c r="B40" s="81" t="s">
        <v>141</v>
      </c>
      <c r="C40" s="16"/>
      <c r="D40" s="16" t="s">
        <v>161</v>
      </c>
      <c r="E40" s="74">
        <f t="shared" si="14"/>
        <v>35689168</v>
      </c>
      <c r="F40" s="74"/>
      <c r="G40" s="74">
        <f t="shared" ref="G40:Z40" si="19">G121</f>
        <v>0</v>
      </c>
      <c r="H40" s="74">
        <f t="shared" si="19"/>
        <v>0</v>
      </c>
      <c r="I40" s="74">
        <f t="shared" si="19"/>
        <v>0</v>
      </c>
      <c r="J40" s="74">
        <f t="shared" si="19"/>
        <v>0</v>
      </c>
      <c r="K40" s="74">
        <f t="shared" si="19"/>
        <v>0</v>
      </c>
      <c r="L40" s="74">
        <f t="shared" si="19"/>
        <v>0</v>
      </c>
      <c r="M40" s="74">
        <f t="shared" si="19"/>
        <v>0</v>
      </c>
      <c r="N40" s="74">
        <f t="shared" si="19"/>
        <v>0</v>
      </c>
      <c r="O40" s="74">
        <f t="shared" si="19"/>
        <v>0</v>
      </c>
      <c r="P40" s="74">
        <f t="shared" si="19"/>
        <v>0</v>
      </c>
      <c r="Q40" s="74">
        <f t="shared" si="19"/>
        <v>12298940.8</v>
      </c>
      <c r="R40" s="74">
        <f t="shared" si="19"/>
        <v>11509113.6</v>
      </c>
      <c r="S40" s="74">
        <f t="shared" si="19"/>
        <v>7927409.067</v>
      </c>
      <c r="T40" s="74">
        <f t="shared" si="19"/>
        <v>3953704.533</v>
      </c>
      <c r="U40" s="74">
        <f t="shared" si="19"/>
        <v>0</v>
      </c>
      <c r="V40" s="74">
        <f t="shared" si="19"/>
        <v>0</v>
      </c>
      <c r="W40" s="74">
        <f t="shared" si="19"/>
        <v>0</v>
      </c>
      <c r="X40" s="74">
        <f t="shared" si="19"/>
        <v>0</v>
      </c>
      <c r="Y40" s="74">
        <f t="shared" si="19"/>
        <v>0</v>
      </c>
      <c r="Z40" s="74">
        <f t="shared" si="19"/>
        <v>0</v>
      </c>
    </row>
    <row r="41">
      <c r="B41" s="80" t="s">
        <v>142</v>
      </c>
      <c r="C41" s="16"/>
      <c r="D41" s="16" t="s">
        <v>161</v>
      </c>
      <c r="E41" s="74">
        <f t="shared" si="14"/>
        <v>242756672</v>
      </c>
      <c r="F41" s="74"/>
      <c r="G41" s="74">
        <f t="shared" ref="G41:Z41" si="20">G117+G120-G121</f>
        <v>0</v>
      </c>
      <c r="H41" s="74">
        <f t="shared" si="20"/>
        <v>0</v>
      </c>
      <c r="I41" s="74">
        <f t="shared" si="20"/>
        <v>0</v>
      </c>
      <c r="J41" s="74">
        <f t="shared" si="20"/>
        <v>359342.5</v>
      </c>
      <c r="K41" s="74">
        <f t="shared" si="20"/>
        <v>359342.5</v>
      </c>
      <c r="L41" s="74">
        <f t="shared" si="20"/>
        <v>709606.6667</v>
      </c>
      <c r="M41" s="74">
        <f t="shared" si="20"/>
        <v>5740521.667</v>
      </c>
      <c r="N41" s="74">
        <f t="shared" si="20"/>
        <v>10397206.67</v>
      </c>
      <c r="O41" s="74">
        <f t="shared" si="20"/>
        <v>32752904.5</v>
      </c>
      <c r="P41" s="74">
        <f t="shared" si="20"/>
        <v>47200113.83</v>
      </c>
      <c r="Q41" s="74">
        <f t="shared" si="20"/>
        <v>51676724.87</v>
      </c>
      <c r="R41" s="74">
        <f t="shared" si="20"/>
        <v>46036454.4</v>
      </c>
      <c r="S41" s="74">
        <f t="shared" si="20"/>
        <v>31709636.27</v>
      </c>
      <c r="T41" s="74">
        <f t="shared" si="20"/>
        <v>15814818.13</v>
      </c>
      <c r="U41" s="74">
        <f t="shared" si="20"/>
        <v>0</v>
      </c>
      <c r="V41" s="74">
        <f t="shared" si="20"/>
        <v>0</v>
      </c>
      <c r="W41" s="74">
        <f t="shared" si="20"/>
        <v>0</v>
      </c>
      <c r="X41" s="74">
        <f t="shared" si="20"/>
        <v>0</v>
      </c>
      <c r="Y41" s="74">
        <f t="shared" si="20"/>
        <v>0</v>
      </c>
      <c r="Z41" s="74">
        <f t="shared" si="20"/>
        <v>0</v>
      </c>
    </row>
    <row r="42">
      <c r="B42" s="80" t="s">
        <v>188</v>
      </c>
      <c r="C42" s="16"/>
      <c r="D42" s="16" t="s">
        <v>161</v>
      </c>
      <c r="E42" s="74">
        <f t="shared" si="14"/>
        <v>0</v>
      </c>
      <c r="F42" s="74"/>
      <c r="G42" s="74">
        <v>0.0</v>
      </c>
      <c r="H42" s="74">
        <v>0.0</v>
      </c>
      <c r="I42" s="74">
        <v>0.0</v>
      </c>
      <c r="J42" s="74">
        <v>0.0</v>
      </c>
      <c r="K42" s="74">
        <v>0.0</v>
      </c>
      <c r="L42" s="74">
        <v>0.0</v>
      </c>
      <c r="M42" s="74">
        <v>0.0</v>
      </c>
      <c r="N42" s="74">
        <v>0.0</v>
      </c>
      <c r="O42" s="74">
        <v>0.0</v>
      </c>
      <c r="P42" s="74">
        <v>0.0</v>
      </c>
      <c r="Q42" s="74">
        <v>0.0</v>
      </c>
      <c r="R42" s="74">
        <v>0.0</v>
      </c>
      <c r="S42" s="74">
        <v>0.0</v>
      </c>
      <c r="T42" s="74">
        <v>0.0</v>
      </c>
      <c r="U42" s="74">
        <v>0.0</v>
      </c>
      <c r="V42" s="74">
        <v>0.0</v>
      </c>
      <c r="W42" s="74">
        <v>0.0</v>
      </c>
      <c r="X42" s="74">
        <v>0.0</v>
      </c>
      <c r="Y42" s="74">
        <v>0.0</v>
      </c>
      <c r="Z42" s="74">
        <v>0.0</v>
      </c>
    </row>
    <row r="43">
      <c r="B43" s="40" t="s">
        <v>189</v>
      </c>
      <c r="C43" s="40" t="s">
        <v>190</v>
      </c>
      <c r="D43" s="40" t="s">
        <v>161</v>
      </c>
      <c r="E43" s="77">
        <f t="shared" si="14"/>
        <v>0</v>
      </c>
      <c r="F43" s="74"/>
      <c r="G43" s="74">
        <v>0.0</v>
      </c>
      <c r="H43" s="74">
        <v>0.0</v>
      </c>
      <c r="I43" s="74">
        <v>0.0</v>
      </c>
      <c r="J43" s="74">
        <v>0.0</v>
      </c>
      <c r="K43" s="74">
        <v>0.0</v>
      </c>
      <c r="L43" s="74">
        <v>0.0</v>
      </c>
      <c r="M43" s="74">
        <v>0.0</v>
      </c>
      <c r="N43" s="74">
        <v>0.0</v>
      </c>
      <c r="O43" s="74">
        <v>0.0</v>
      </c>
      <c r="P43" s="74">
        <v>0.0</v>
      </c>
      <c r="Q43" s="74">
        <v>0.0</v>
      </c>
      <c r="R43" s="74">
        <v>0.0</v>
      </c>
      <c r="S43" s="74">
        <v>0.0</v>
      </c>
      <c r="T43" s="74">
        <v>0.0</v>
      </c>
      <c r="U43" s="74">
        <v>0.0</v>
      </c>
      <c r="V43" s="74">
        <v>0.0</v>
      </c>
      <c r="W43" s="74">
        <v>0.0</v>
      </c>
      <c r="X43" s="74">
        <v>0.0</v>
      </c>
      <c r="Y43" s="74">
        <v>0.0</v>
      </c>
      <c r="Z43" s="74">
        <v>0.0</v>
      </c>
    </row>
    <row r="44">
      <c r="B44" s="80" t="s">
        <v>191</v>
      </c>
      <c r="C44" s="16" t="s">
        <v>192</v>
      </c>
      <c r="D44" s="16" t="s">
        <v>161</v>
      </c>
      <c r="E44" s="74">
        <f t="shared" si="14"/>
        <v>-0.000000008381903172</v>
      </c>
      <c r="F44" s="74"/>
      <c r="G44" s="74">
        <f t="shared" ref="G44:Z44" si="21">G32+abs(G42)*-1+G37/$C791*-1</f>
        <v>5641185</v>
      </c>
      <c r="H44" s="74">
        <f t="shared" si="21"/>
        <v>14189926.67</v>
      </c>
      <c r="I44" s="74">
        <f t="shared" si="21"/>
        <v>22738668.33</v>
      </c>
      <c r="J44" s="74">
        <f t="shared" si="21"/>
        <v>23560068.47</v>
      </c>
      <c r="K44" s="74">
        <f t="shared" si="21"/>
        <v>16575040.97</v>
      </c>
      <c r="L44" s="74">
        <f t="shared" si="21"/>
        <v>6740787.276</v>
      </c>
      <c r="M44" s="74">
        <f t="shared" si="21"/>
        <v>-958491.465</v>
      </c>
      <c r="N44" s="74">
        <f t="shared" si="21"/>
        <v>-2999789.132</v>
      </c>
      <c r="O44" s="74">
        <f t="shared" si="21"/>
        <v>-10046237.04</v>
      </c>
      <c r="P44" s="74">
        <f t="shared" si="21"/>
        <v>-15287282.96</v>
      </c>
      <c r="Q44" s="74">
        <f t="shared" si="21"/>
        <v>-21287438.98</v>
      </c>
      <c r="R44" s="74">
        <f t="shared" si="21"/>
        <v>-19433218.57</v>
      </c>
      <c r="S44" s="74">
        <f t="shared" si="21"/>
        <v>-12955479.05</v>
      </c>
      <c r="T44" s="74">
        <f t="shared" si="21"/>
        <v>-6477739.524</v>
      </c>
      <c r="U44" s="74">
        <f t="shared" si="21"/>
        <v>0</v>
      </c>
      <c r="V44" s="74">
        <f t="shared" si="21"/>
        <v>0</v>
      </c>
      <c r="W44" s="74">
        <f t="shared" si="21"/>
        <v>0</v>
      </c>
      <c r="X44" s="74">
        <f t="shared" si="21"/>
        <v>0</v>
      </c>
      <c r="Y44" s="74">
        <f t="shared" si="21"/>
        <v>0</v>
      </c>
      <c r="Z44" s="74">
        <f t="shared" si="21"/>
        <v>0</v>
      </c>
    </row>
    <row r="45">
      <c r="B45" s="80" t="s">
        <v>193</v>
      </c>
      <c r="C45" s="16" t="s">
        <v>194</v>
      </c>
      <c r="D45" s="16" t="s">
        <v>161</v>
      </c>
      <c r="E45" s="74">
        <f t="shared" si="14"/>
        <v>0</v>
      </c>
      <c r="F45" s="74"/>
      <c r="G45" s="74">
        <f>-G263-G284-G305+G326+if(G67=$E67,sum(F45:$G45)*-1+G32,if(G4&lt;&gt;1,G44*'Get Started'!$D63,0))</f>
        <v>-984500</v>
      </c>
      <c r="H45" s="74">
        <f>-H263-H284-H305+H326+if(H67=$E67,sum(G45:$G45)*-1+H32,if(H4&lt;&gt;1,H44*'Get Started'!$D63,0))</f>
        <v>737089.0349</v>
      </c>
      <c r="I45" s="74">
        <f>-I263-I284-I305+I326+if(I67=$E67,sum($G45:H45)*-1+I32,if(I4&lt;&gt;1,I44*'Get Started'!$D63,0))</f>
        <v>1461153.567</v>
      </c>
      <c r="J45" s="74">
        <f>-J263-J284-J305+J326+if(J67=$E67,sum($G45:I45)*-1+J32,if(J4&lt;&gt;1,J44*'Get Started'!$D63,0))</f>
        <v>3772300.845</v>
      </c>
      <c r="K45" s="74">
        <f>-K263-K284-K305+K326+if(K67=$E67,sum($G45:J45)*-1+K32,if(K4&lt;&gt;1,K44*'Get Started'!$D63,0))</f>
        <v>4865488.659</v>
      </c>
      <c r="L45" s="74">
        <f>-L263-L284-L305+L326+if(L67=$E67,sum($G45:K45)*-1+L32,if(L4&lt;&gt;1,L44*'Get Started'!$D63,0))</f>
        <v>5392499.29</v>
      </c>
      <c r="M45" s="74">
        <f>-M263-M284-M305+M326+if(M67=$E67,sum($G45:L45)*-1+M32,if(M4&lt;&gt;1,M44*'Get Started'!$D63,0))</f>
        <v>2062044.348</v>
      </c>
      <c r="N45" s="74">
        <f>-N263-N284-N305+N326+if(N67=$E67,sum($G45:M45)*-1+N32,if(N4&lt;&gt;1,N44*'Get Started'!$D63,0))</f>
        <v>-627258.5604</v>
      </c>
      <c r="O45" s="74">
        <f>-O263-O284-O305+O326+if(O67=$E67,sum($G45:N45)*-1+O32,if(O4&lt;&gt;1,O44*'Get Started'!$D63,0))</f>
        <v>-4139264.982</v>
      </c>
      <c r="P45" s="74">
        <f>-P263-P284-P305+P326+if(P67=$E67,sum($G45:O45)*-1+P32,if(P4&lt;&gt;1,P44*'Get Started'!$D63,0))</f>
        <v>-5066033.334</v>
      </c>
      <c r="Q45" s="74">
        <f>-Q263-Q284-Q305+Q326+if(Q67=$E67,sum($G45:P45)*-1+Q32,if(Q4&lt;&gt;1,Q44*'Get Started'!$D63,0))</f>
        <v>-5470700.953</v>
      </c>
      <c r="R45" s="74">
        <f>-R263-R284-R305+R326+if(R67=$E67,sum($G45:Q45)*-1+R32,if(R4&lt;&gt;1,R44*'Get Started'!$D63,0))</f>
        <v>-4486487.875</v>
      </c>
      <c r="S45" s="74">
        <f>-S263-S284-S305+S326+if(S67=$E67,sum($G45:R45)*-1+S32,if(S4&lt;&gt;1,S44*'Get Started'!$D63,0))</f>
        <v>-2553436.361</v>
      </c>
      <c r="T45" s="74">
        <f>-T263-T284-T305+T326+if(T67=$E67,sum($G45:S45)*-1+T32,if(T4&lt;&gt;1,T44*'Get Started'!$D63,0))</f>
        <v>4905839.656</v>
      </c>
      <c r="U45" s="74">
        <f>-U263-U284-U305+U326+if(U67=$E67,sum($G45:T45)*-1+U32,if(U4&lt;&gt;1,U44*'Get Started'!$D63,0))</f>
        <v>131266.6667</v>
      </c>
      <c r="V45" s="74">
        <f>-V263-V284-V305+V326+if(V67=$E67,sum($G45:U45)*-1+V32,if(V4&lt;&gt;1,V44*'Get Started'!$D63,0))</f>
        <v>0</v>
      </c>
      <c r="W45" s="74">
        <f>-W263-W284-W305+W326+if(W67=$E67,sum($G45:V45)*-1+W32,if(W4&lt;&gt;1,W44*'Get Started'!$D63,0))</f>
        <v>0</v>
      </c>
      <c r="X45" s="74">
        <f>-X263-X284-X305+X326+if(X67=$E67,sum($G45:W45)*-1+X32,if(X4&lt;&gt;1,X44*'Get Started'!$D63,0))</f>
        <v>0</v>
      </c>
      <c r="Y45" s="74">
        <f>-Y263-Y284-Y305+Y326+if(Y67=$E67,sum($G45:X45)*-1+Y32,if(Y4&lt;&gt;1,Y44*'Get Started'!$D63,0))</f>
        <v>0</v>
      </c>
      <c r="Z45" s="74">
        <f>-Z263-Z284-Z305+Z326+if(Z67=$E67,sum($G45:Y45)*-1+Z32,if(Z4&lt;&gt;1,Z44*'Get Started'!$D63,0))</f>
        <v>0</v>
      </c>
    </row>
    <row r="46">
      <c r="B46" s="80" t="s">
        <v>195</v>
      </c>
      <c r="C46" s="16" t="s">
        <v>196</v>
      </c>
      <c r="D46" s="16" t="s">
        <v>161</v>
      </c>
      <c r="E46" s="74">
        <f t="shared" si="14"/>
        <v>0.00000001396983862</v>
      </c>
      <c r="F46" s="74"/>
      <c r="G46" s="74">
        <f t="shared" ref="G46:Z46" si="22">G45+G44</f>
        <v>4656685</v>
      </c>
      <c r="H46" s="74">
        <f t="shared" si="22"/>
        <v>14927015.7</v>
      </c>
      <c r="I46" s="74">
        <f t="shared" si="22"/>
        <v>24199821.9</v>
      </c>
      <c r="J46" s="74">
        <f t="shared" si="22"/>
        <v>27332369.32</v>
      </c>
      <c r="K46" s="74">
        <f t="shared" si="22"/>
        <v>21440529.63</v>
      </c>
      <c r="L46" s="74">
        <f t="shared" si="22"/>
        <v>12133286.57</v>
      </c>
      <c r="M46" s="74">
        <f t="shared" si="22"/>
        <v>1103552.883</v>
      </c>
      <c r="N46" s="74">
        <f t="shared" si="22"/>
        <v>-3627047.693</v>
      </c>
      <c r="O46" s="74">
        <f t="shared" si="22"/>
        <v>-14185502.02</v>
      </c>
      <c r="P46" s="74">
        <f t="shared" si="22"/>
        <v>-20353316.3</v>
      </c>
      <c r="Q46" s="74">
        <f t="shared" si="22"/>
        <v>-26758139.94</v>
      </c>
      <c r="R46" s="74">
        <f t="shared" si="22"/>
        <v>-23919706.45</v>
      </c>
      <c r="S46" s="74">
        <f t="shared" si="22"/>
        <v>-15508915.41</v>
      </c>
      <c r="T46" s="74">
        <f t="shared" si="22"/>
        <v>-1571899.868</v>
      </c>
      <c r="U46" s="74">
        <f t="shared" si="22"/>
        <v>131266.6667</v>
      </c>
      <c r="V46" s="74">
        <f t="shared" si="22"/>
        <v>0</v>
      </c>
      <c r="W46" s="74">
        <f t="shared" si="22"/>
        <v>0</v>
      </c>
      <c r="X46" s="74">
        <f t="shared" si="22"/>
        <v>0</v>
      </c>
      <c r="Y46" s="74">
        <f t="shared" si="22"/>
        <v>0</v>
      </c>
      <c r="Z46" s="74">
        <f t="shared" si="22"/>
        <v>0</v>
      </c>
    </row>
    <row r="47">
      <c r="A47" s="39"/>
      <c r="B47" s="40" t="s">
        <v>197</v>
      </c>
      <c r="C47" s="40"/>
      <c r="D47" s="40" t="s">
        <v>161</v>
      </c>
      <c r="E47" s="77">
        <f t="shared" si="14"/>
        <v>100000000</v>
      </c>
      <c r="F47" s="78"/>
      <c r="G47" s="77">
        <f>if($C15=true,G26*(1-'Get Started'!$D10),G26)</f>
        <v>100000000</v>
      </c>
      <c r="H47" s="77">
        <f>if($C15=true,H26*(1-'Get Started'!$D10),H26)</f>
        <v>0</v>
      </c>
      <c r="I47" s="77">
        <f>if($C15=true,I26*(1-'Get Started'!$D10),I26)</f>
        <v>0</v>
      </c>
      <c r="J47" s="77">
        <f>if($C15=true,J26*(1-'Get Started'!$D10),J26)</f>
        <v>0</v>
      </c>
      <c r="K47" s="77">
        <f>if($C15=true,K26*(1-'Get Started'!$D10),K26)</f>
        <v>0</v>
      </c>
      <c r="L47" s="77">
        <f>if($C15=true,L26*(1-'Get Started'!$D10),L26)</f>
        <v>0</v>
      </c>
      <c r="M47" s="77">
        <f>if($C15=true,M26*(1-'Get Started'!$D10),M26)</f>
        <v>0</v>
      </c>
      <c r="N47" s="77">
        <f>if($C15=true,N26*(1-'Get Started'!$D10),N26)</f>
        <v>0</v>
      </c>
      <c r="O47" s="77">
        <f>if($C15=true,O26*(1-'Get Started'!$D10),O26)</f>
        <v>0</v>
      </c>
      <c r="P47" s="77">
        <f>if($C15=true,P26*(1-'Get Started'!$D10),P26)</f>
        <v>0</v>
      </c>
      <c r="Q47" s="77">
        <f>if($C15=true,Q26*(1-'Get Started'!$D10),Q26)</f>
        <v>0</v>
      </c>
      <c r="R47" s="77">
        <f>if($C15=true,R26*(1-'Get Started'!$D10),R26)</f>
        <v>0</v>
      </c>
      <c r="S47" s="77">
        <f>if($C15=true,S26*(1-'Get Started'!$D10),S26)</f>
        <v>0</v>
      </c>
      <c r="T47" s="77">
        <f>if($C15=true,T26*(1-'Get Started'!$D10),T26)</f>
        <v>0</v>
      </c>
      <c r="U47" s="77">
        <f>if($C15=true,U26*(1-'Get Started'!$D10),U26)</f>
        <v>0</v>
      </c>
      <c r="V47" s="77">
        <f>if($C15=true,V26*(1-'Get Started'!$D10),V26)</f>
        <v>0</v>
      </c>
      <c r="W47" s="77">
        <f>if($C15=true,W26*(1-'Get Started'!$D10),W26)</f>
        <v>0</v>
      </c>
      <c r="X47" s="77">
        <f>if($C15=true,X26*(1-'Get Started'!$D10),X26)</f>
        <v>0</v>
      </c>
      <c r="Y47" s="77">
        <f>if($C15=true,Y26*(1-'Get Started'!$D10),Y26)</f>
        <v>0</v>
      </c>
      <c r="Z47" s="77">
        <f>if($C15=true,Z26*(1-'Get Started'!$D10),Z26)</f>
        <v>0</v>
      </c>
    </row>
    <row r="48">
      <c r="A48" s="39"/>
      <c r="B48" s="40" t="s">
        <v>198</v>
      </c>
      <c r="C48" s="40"/>
      <c r="D48" s="40" t="s">
        <v>161</v>
      </c>
      <c r="E48" s="77">
        <f t="shared" si="14"/>
        <v>100000000</v>
      </c>
      <c r="F48" s="78"/>
      <c r="G48" s="77">
        <f>if($C15=true,G27*(1-'Get Started'!$D10),G27)</f>
        <v>7851185</v>
      </c>
      <c r="H48" s="77">
        <f>if($C15=true,H27*(1-'Get Started'!$D10),H27)</f>
        <v>16249926.67</v>
      </c>
      <c r="I48" s="77">
        <f>if($C15=true,I27*(1-'Get Started'!$D10),I27)</f>
        <v>24798668.33</v>
      </c>
      <c r="J48" s="77">
        <f>if($C15=true,J27*(1-'Get Started'!$D10),J27)</f>
        <v>25737225</v>
      </c>
      <c r="K48" s="77">
        <f>if($C15=true,K27*(1-'Get Started'!$D10),K27)</f>
        <v>18752197.5</v>
      </c>
      <c r="L48" s="77">
        <f>if($C15=true,L27*(1-'Get Started'!$D10),L27)</f>
        <v>6610797.5</v>
      </c>
      <c r="M48" s="77">
        <f>if($C15=true,M27*(1-'Get Started'!$D10),M27)</f>
        <v>0</v>
      </c>
      <c r="N48" s="77">
        <f>if($C15=true,N27*(1-'Get Started'!$D10),N27)</f>
        <v>0</v>
      </c>
      <c r="O48" s="77">
        <f>if($C15=true,O27*(1-'Get Started'!$D10),O27)</f>
        <v>0</v>
      </c>
      <c r="P48" s="77">
        <f>if($C15=true,P27*(1-'Get Started'!$D10),P27)</f>
        <v>0</v>
      </c>
      <c r="Q48" s="77">
        <f>if($C15=true,Q27*(1-'Get Started'!$D10),Q27)</f>
        <v>0</v>
      </c>
      <c r="R48" s="77">
        <f>if($C15=true,R27*(1-'Get Started'!$D10),R27)</f>
        <v>0</v>
      </c>
      <c r="S48" s="77">
        <f>if($C15=true,S27*(1-'Get Started'!$D10),S27)</f>
        <v>0</v>
      </c>
      <c r="T48" s="77">
        <f>if($C15=true,T27*(1-'Get Started'!$D10),T27)</f>
        <v>0</v>
      </c>
      <c r="U48" s="77">
        <f>if($C15=true,U27*(1-'Get Started'!$D10),U27)</f>
        <v>0</v>
      </c>
      <c r="V48" s="77">
        <f>if($C15=true,V27*(1-'Get Started'!$D10),V27)</f>
        <v>0</v>
      </c>
      <c r="W48" s="77">
        <f>if($C15=true,W27*(1-'Get Started'!$D10),W27)</f>
        <v>0</v>
      </c>
      <c r="X48" s="77">
        <f>if($C15=true,X27*(1-'Get Started'!$D10),X27)</f>
        <v>0</v>
      </c>
      <c r="Y48" s="77">
        <f>if($C15=true,Y27*(1-'Get Started'!$D10),Y27)</f>
        <v>0</v>
      </c>
      <c r="Z48" s="77">
        <f>if($C15=true,Z27*(1-'Get Started'!$D10),Z27)</f>
        <v>0</v>
      </c>
    </row>
    <row r="49">
      <c r="A49" s="39"/>
      <c r="B49" s="40" t="str">
        <f>B44&amp;", from LPs"</f>
        <v>Change in Invested Capital, from LPs</v>
      </c>
      <c r="C49" s="40"/>
      <c r="D49" s="40" t="s">
        <v>161</v>
      </c>
      <c r="E49" s="77">
        <f t="shared" si="14"/>
        <v>-0.000000008381903172</v>
      </c>
      <c r="F49" s="78"/>
      <c r="G49" s="77">
        <f>if($C15=true,G44*(1-'Get Started'!$D10),G44)</f>
        <v>5641185</v>
      </c>
      <c r="H49" s="77">
        <f>if($C15=true,H44*(1-'Get Started'!$D10),H44)</f>
        <v>14189926.67</v>
      </c>
      <c r="I49" s="77">
        <f>if($C15=true,I44*(1-'Get Started'!$D10),I44)</f>
        <v>22738668.33</v>
      </c>
      <c r="J49" s="77">
        <f>if($C15=true,J44*(1-'Get Started'!$D10),J44)</f>
        <v>23560068.47</v>
      </c>
      <c r="K49" s="77">
        <f>if($C15=true,K44*(1-'Get Started'!$D10),K44)</f>
        <v>16575040.97</v>
      </c>
      <c r="L49" s="77">
        <f>if($C15=true,L44*(1-'Get Started'!$D10),L44)</f>
        <v>6740787.276</v>
      </c>
      <c r="M49" s="77">
        <f>if($C15=true,M44*(1-'Get Started'!$D10),M44)</f>
        <v>-958491.465</v>
      </c>
      <c r="N49" s="77">
        <f>if($C15=true,N44*(1-'Get Started'!$D10),N44)</f>
        <v>-2999789.132</v>
      </c>
      <c r="O49" s="77">
        <f>if($C15=true,O44*(1-'Get Started'!$D10),O44)</f>
        <v>-10046237.04</v>
      </c>
      <c r="P49" s="77">
        <f>if($C15=true,P44*(1-'Get Started'!$D10),P44)</f>
        <v>-15287282.96</v>
      </c>
      <c r="Q49" s="77">
        <f>if($C15=true,Q44*(1-'Get Started'!$D10),Q44)</f>
        <v>-21287438.98</v>
      </c>
      <c r="R49" s="77">
        <f>if($C15=true,R44*(1-'Get Started'!$D10),R44)</f>
        <v>-19433218.57</v>
      </c>
      <c r="S49" s="77">
        <f>if($C15=true,S44*(1-'Get Started'!$D10),S44)</f>
        <v>-12955479.05</v>
      </c>
      <c r="T49" s="77">
        <f>if($C15=true,T44*(1-'Get Started'!$D10),T44)</f>
        <v>-6477739.524</v>
      </c>
      <c r="U49" s="77">
        <f>if($C15=true,U44*(1-'Get Started'!$D10),U44)</f>
        <v>0</v>
      </c>
      <c r="V49" s="77">
        <f>if($C15=true,V44*(1-'Get Started'!$D10),V44)</f>
        <v>0</v>
      </c>
      <c r="W49" s="77">
        <f>if($C15=true,W44*(1-'Get Started'!$D10),W44)</f>
        <v>0</v>
      </c>
      <c r="X49" s="77">
        <f>if($C15=true,X44*(1-'Get Started'!$D10),X44)</f>
        <v>0</v>
      </c>
      <c r="Y49" s="77">
        <f>if($C15=true,Y44*(1-'Get Started'!$D10),Y44)</f>
        <v>0</v>
      </c>
      <c r="Z49" s="77">
        <f>if($C15=true,Z44*(1-'Get Started'!$D10),Z44)</f>
        <v>0</v>
      </c>
    </row>
    <row r="50">
      <c r="A50" s="39"/>
      <c r="B50" s="40" t="s">
        <v>199</v>
      </c>
      <c r="C50" s="40"/>
      <c r="D50" s="40" t="s">
        <v>161</v>
      </c>
      <c r="E50" s="77">
        <f t="shared" si="14"/>
        <v>237901538.6</v>
      </c>
      <c r="F50" s="78"/>
      <c r="G50" s="77">
        <f t="shared" ref="G50:Z50" si="23">G37-G36-G51</f>
        <v>0</v>
      </c>
      <c r="H50" s="77">
        <f t="shared" si="23"/>
        <v>0</v>
      </c>
      <c r="I50" s="77">
        <f t="shared" si="23"/>
        <v>0</v>
      </c>
      <c r="J50" s="77">
        <f t="shared" si="23"/>
        <v>-7186.85</v>
      </c>
      <c r="K50" s="77">
        <f t="shared" si="23"/>
        <v>-7186.85</v>
      </c>
      <c r="L50" s="77">
        <f t="shared" si="23"/>
        <v>-14192.13333</v>
      </c>
      <c r="M50" s="77">
        <f t="shared" si="23"/>
        <v>5625711.233</v>
      </c>
      <c r="N50" s="77">
        <f t="shared" si="23"/>
        <v>10189262.53</v>
      </c>
      <c r="O50" s="77">
        <f t="shared" si="23"/>
        <v>32097846.41</v>
      </c>
      <c r="P50" s="77">
        <f t="shared" si="23"/>
        <v>46256111.56</v>
      </c>
      <c r="Q50" s="77">
        <f t="shared" si="23"/>
        <v>50643190.37</v>
      </c>
      <c r="R50" s="77">
        <f t="shared" si="23"/>
        <v>46344016.98</v>
      </c>
      <c r="S50" s="77">
        <f t="shared" si="23"/>
        <v>31175443.54</v>
      </c>
      <c r="T50" s="77">
        <f t="shared" si="23"/>
        <v>15598521.77</v>
      </c>
      <c r="U50" s="77">
        <f t="shared" si="23"/>
        <v>0</v>
      </c>
      <c r="V50" s="77">
        <f t="shared" si="23"/>
        <v>0</v>
      </c>
      <c r="W50" s="77">
        <f t="shared" si="23"/>
        <v>0</v>
      </c>
      <c r="X50" s="77">
        <f t="shared" si="23"/>
        <v>0</v>
      </c>
      <c r="Y50" s="77">
        <f t="shared" si="23"/>
        <v>0</v>
      </c>
      <c r="Z50" s="77">
        <f t="shared" si="23"/>
        <v>0</v>
      </c>
    </row>
    <row r="51">
      <c r="A51" s="39"/>
      <c r="B51" s="40" t="s">
        <v>200</v>
      </c>
      <c r="C51" s="40"/>
      <c r="D51" s="40" t="s">
        <v>161</v>
      </c>
      <c r="E51" s="77">
        <f t="shared" si="14"/>
        <v>40544301.44</v>
      </c>
      <c r="F51" s="78"/>
      <c r="G51" s="77">
        <f>if($C15=true,G40,G40+G41*'Get Started'!$D10)</f>
        <v>0</v>
      </c>
      <c r="H51" s="77">
        <f>if($C15=true,H40,H40+H41*'Get Started'!$D10)</f>
        <v>0</v>
      </c>
      <c r="I51" s="77">
        <f>if($C15=true,I40,I40+I41*'Get Started'!$D10)</f>
        <v>0</v>
      </c>
      <c r="J51" s="77">
        <f>if($C15=true,J40,J40+J41*'Get Started'!$D10)</f>
        <v>7186.85</v>
      </c>
      <c r="K51" s="77">
        <f>if($C15=true,K40,K40+K41*'Get Started'!$D10)</f>
        <v>7186.85</v>
      </c>
      <c r="L51" s="77">
        <f>if($C15=true,L40,L40+L41*'Get Started'!$D10)</f>
        <v>14192.13333</v>
      </c>
      <c r="M51" s="77">
        <f>if($C15=true,M40,M40+M41*'Get Started'!$D10)</f>
        <v>114810.4333</v>
      </c>
      <c r="N51" s="77">
        <f>if($C15=true,N40,N40+N41*'Get Started'!$D10)</f>
        <v>207944.1333</v>
      </c>
      <c r="O51" s="77">
        <f>if($C15=true,O40,O40+O41*'Get Started'!$D10)</f>
        <v>655058.09</v>
      </c>
      <c r="P51" s="77">
        <f>if($C15=true,P40,P40+P41*'Get Started'!$D10)</f>
        <v>944002.2767</v>
      </c>
      <c r="Q51" s="77">
        <f>if($C15=true,Q40,Q40+Q41*'Get Started'!$D10)</f>
        <v>13332475.3</v>
      </c>
      <c r="R51" s="77">
        <f>if($C15=true,R40,R40+R41*'Get Started'!$D10)</f>
        <v>12429842.69</v>
      </c>
      <c r="S51" s="77">
        <f>if($C15=true,S40,S40+S41*'Get Started'!$D10)</f>
        <v>8561601.792</v>
      </c>
      <c r="T51" s="77">
        <f>if($C15=true,T40,T40+T41*'Get Started'!$D10)</f>
        <v>4270000.896</v>
      </c>
      <c r="U51" s="77">
        <f>if($C15=true,U40,U40+U41*'Get Started'!$D10)</f>
        <v>0</v>
      </c>
      <c r="V51" s="77">
        <f>if($C15=true,V40,V40+V41*'Get Started'!$D10)</f>
        <v>0</v>
      </c>
      <c r="W51" s="77">
        <f>if($C15=true,W40,W40+W41*'Get Started'!$D10)</f>
        <v>0</v>
      </c>
      <c r="X51" s="77">
        <f>if($C15=true,X40,X40+X41*'Get Started'!$D10)</f>
        <v>0</v>
      </c>
      <c r="Y51" s="77">
        <f>if($C15=true,Y40,Y40+Y41*'Get Started'!$D10)</f>
        <v>0</v>
      </c>
      <c r="Z51" s="77">
        <f>if($C15=true,Z40,Z40+Z41*'Get Started'!$D10)</f>
        <v>0</v>
      </c>
    </row>
    <row r="52">
      <c r="B52" s="80" t="str">
        <f t="shared" ref="B52:B77" si="25">"Cumulative "&amp;B26</f>
        <v>Cumulative Committed Capital</v>
      </c>
      <c r="C52" s="16"/>
      <c r="D52" s="16" t="s">
        <v>177</v>
      </c>
      <c r="E52" s="74">
        <f t="shared" si="14"/>
        <v>100000000</v>
      </c>
      <c r="F52" s="74"/>
      <c r="G52" s="74">
        <f t="shared" ref="G52:Z52" si="24">F52+G26</f>
        <v>100000000</v>
      </c>
      <c r="H52" s="74">
        <f t="shared" si="24"/>
        <v>100000000</v>
      </c>
      <c r="I52" s="74">
        <f t="shared" si="24"/>
        <v>100000000</v>
      </c>
      <c r="J52" s="74">
        <f t="shared" si="24"/>
        <v>100000000</v>
      </c>
      <c r="K52" s="74">
        <f t="shared" si="24"/>
        <v>100000000</v>
      </c>
      <c r="L52" s="74">
        <f t="shared" si="24"/>
        <v>100000000</v>
      </c>
      <c r="M52" s="74">
        <f t="shared" si="24"/>
        <v>100000000</v>
      </c>
      <c r="N52" s="74">
        <f t="shared" si="24"/>
        <v>100000000</v>
      </c>
      <c r="O52" s="74">
        <f t="shared" si="24"/>
        <v>100000000</v>
      </c>
      <c r="P52" s="74">
        <f t="shared" si="24"/>
        <v>100000000</v>
      </c>
      <c r="Q52" s="74">
        <f t="shared" si="24"/>
        <v>100000000</v>
      </c>
      <c r="R52" s="74">
        <f t="shared" si="24"/>
        <v>100000000</v>
      </c>
      <c r="S52" s="74">
        <f t="shared" si="24"/>
        <v>100000000</v>
      </c>
      <c r="T52" s="74">
        <f t="shared" si="24"/>
        <v>100000000</v>
      </c>
      <c r="U52" s="74">
        <f t="shared" si="24"/>
        <v>100000000</v>
      </c>
      <c r="V52" s="74">
        <f t="shared" si="24"/>
        <v>100000000</v>
      </c>
      <c r="W52" s="74">
        <f t="shared" si="24"/>
        <v>100000000</v>
      </c>
      <c r="X52" s="74">
        <f t="shared" si="24"/>
        <v>100000000</v>
      </c>
      <c r="Y52" s="74">
        <f t="shared" si="24"/>
        <v>100000000</v>
      </c>
      <c r="Z52" s="74">
        <f t="shared" si="24"/>
        <v>100000000</v>
      </c>
    </row>
    <row r="53">
      <c r="B53" s="80" t="str">
        <f t="shared" si="25"/>
        <v>Cumulative Called Capital</v>
      </c>
      <c r="C53" s="16"/>
      <c r="D53" s="16" t="s">
        <v>177</v>
      </c>
      <c r="E53" s="74">
        <f t="shared" si="14"/>
        <v>100000000</v>
      </c>
      <c r="F53" s="74"/>
      <c r="G53" s="74">
        <f t="shared" ref="G53:Z53" si="26">F53+G27</f>
        <v>7851185</v>
      </c>
      <c r="H53" s="74">
        <f t="shared" si="26"/>
        <v>24101111.67</v>
      </c>
      <c r="I53" s="74">
        <f t="shared" si="26"/>
        <v>48899780</v>
      </c>
      <c r="J53" s="74">
        <f t="shared" si="26"/>
        <v>74637005</v>
      </c>
      <c r="K53" s="74">
        <f t="shared" si="26"/>
        <v>93389202.5</v>
      </c>
      <c r="L53" s="74">
        <f t="shared" si="26"/>
        <v>100000000</v>
      </c>
      <c r="M53" s="74">
        <f t="shared" si="26"/>
        <v>100000000</v>
      </c>
      <c r="N53" s="74">
        <f t="shared" si="26"/>
        <v>100000000</v>
      </c>
      <c r="O53" s="74">
        <f t="shared" si="26"/>
        <v>100000000</v>
      </c>
      <c r="P53" s="74">
        <f t="shared" si="26"/>
        <v>100000000</v>
      </c>
      <c r="Q53" s="74">
        <f t="shared" si="26"/>
        <v>100000000</v>
      </c>
      <c r="R53" s="74">
        <f t="shared" si="26"/>
        <v>100000000</v>
      </c>
      <c r="S53" s="74">
        <f t="shared" si="26"/>
        <v>100000000</v>
      </c>
      <c r="T53" s="74">
        <f t="shared" si="26"/>
        <v>100000000</v>
      </c>
      <c r="U53" s="74">
        <f t="shared" si="26"/>
        <v>100000000</v>
      </c>
      <c r="V53" s="74">
        <f t="shared" si="26"/>
        <v>100000000</v>
      </c>
      <c r="W53" s="74">
        <f t="shared" si="26"/>
        <v>100000000</v>
      </c>
      <c r="X53" s="74">
        <f t="shared" si="26"/>
        <v>100000000</v>
      </c>
      <c r="Y53" s="74">
        <f t="shared" si="26"/>
        <v>100000000</v>
      </c>
      <c r="Z53" s="74">
        <f t="shared" si="26"/>
        <v>100000000</v>
      </c>
    </row>
    <row r="54">
      <c r="B54" s="80" t="str">
        <f t="shared" si="25"/>
        <v>Cumulative New Investments</v>
      </c>
      <c r="C54" s="16"/>
      <c r="D54" s="16" t="s">
        <v>177</v>
      </c>
      <c r="E54" s="74">
        <f t="shared" si="14"/>
        <v>98450000</v>
      </c>
      <c r="F54" s="74"/>
      <c r="G54" s="74">
        <f t="shared" ref="G54:Z54" si="27">F54+G28</f>
        <v>5641185</v>
      </c>
      <c r="H54" s="74">
        <f t="shared" si="27"/>
        <v>19831111.67</v>
      </c>
      <c r="I54" s="74">
        <f t="shared" si="27"/>
        <v>42569780</v>
      </c>
      <c r="J54" s="74">
        <f t="shared" si="27"/>
        <v>66247005</v>
      </c>
      <c r="K54" s="74">
        <f t="shared" si="27"/>
        <v>82939202.5</v>
      </c>
      <c r="L54" s="74">
        <f t="shared" si="27"/>
        <v>91082658.33</v>
      </c>
      <c r="M54" s="74">
        <f t="shared" si="27"/>
        <v>93433972.5</v>
      </c>
      <c r="N54" s="74">
        <f t="shared" si="27"/>
        <v>95009172.5</v>
      </c>
      <c r="O54" s="74">
        <f t="shared" si="27"/>
        <v>96943715</v>
      </c>
      <c r="P54" s="74">
        <f t="shared" si="27"/>
        <v>98090657.5</v>
      </c>
      <c r="Q54" s="74">
        <f t="shared" si="27"/>
        <v>98450000</v>
      </c>
      <c r="R54" s="74">
        <f t="shared" si="27"/>
        <v>98450000</v>
      </c>
      <c r="S54" s="74">
        <f t="shared" si="27"/>
        <v>98450000</v>
      </c>
      <c r="T54" s="74">
        <f t="shared" si="27"/>
        <v>98450000</v>
      </c>
      <c r="U54" s="74">
        <f t="shared" si="27"/>
        <v>98450000</v>
      </c>
      <c r="V54" s="74">
        <f t="shared" si="27"/>
        <v>98450000</v>
      </c>
      <c r="W54" s="74">
        <f t="shared" si="27"/>
        <v>98450000</v>
      </c>
      <c r="X54" s="74">
        <f t="shared" si="27"/>
        <v>98450000</v>
      </c>
      <c r="Y54" s="74">
        <f t="shared" si="27"/>
        <v>98450000</v>
      </c>
      <c r="Z54" s="74">
        <f t="shared" si="27"/>
        <v>98450000</v>
      </c>
    </row>
    <row r="55">
      <c r="B55" s="80" t="str">
        <f t="shared" si="25"/>
        <v>Cumulative Prorata Opportunities</v>
      </c>
      <c r="C55" s="16"/>
      <c r="D55" s="16" t="s">
        <v>177</v>
      </c>
      <c r="E55" s="74">
        <f t="shared" si="14"/>
        <v>0</v>
      </c>
      <c r="F55" s="74"/>
      <c r="G55" s="74">
        <f t="shared" ref="G55:Z55" si="28">F55+G29</f>
        <v>0</v>
      </c>
      <c r="H55" s="74">
        <f t="shared" si="28"/>
        <v>0</v>
      </c>
      <c r="I55" s="74">
        <f t="shared" si="28"/>
        <v>0</v>
      </c>
      <c r="J55" s="74">
        <f t="shared" si="28"/>
        <v>0</v>
      </c>
      <c r="K55" s="74">
        <f t="shared" si="28"/>
        <v>0</v>
      </c>
      <c r="L55" s="74">
        <f t="shared" si="28"/>
        <v>0</v>
      </c>
      <c r="M55" s="74">
        <f t="shared" si="28"/>
        <v>0</v>
      </c>
      <c r="N55" s="74">
        <f t="shared" si="28"/>
        <v>0</v>
      </c>
      <c r="O55" s="74">
        <f t="shared" si="28"/>
        <v>0</v>
      </c>
      <c r="P55" s="74">
        <f t="shared" si="28"/>
        <v>0</v>
      </c>
      <c r="Q55" s="74">
        <f t="shared" si="28"/>
        <v>0</v>
      </c>
      <c r="R55" s="74">
        <f t="shared" si="28"/>
        <v>0</v>
      </c>
      <c r="S55" s="74">
        <f t="shared" si="28"/>
        <v>0</v>
      </c>
      <c r="T55" s="74">
        <f t="shared" si="28"/>
        <v>0</v>
      </c>
      <c r="U55" s="74">
        <f t="shared" si="28"/>
        <v>0</v>
      </c>
      <c r="V55" s="74">
        <f t="shared" si="28"/>
        <v>0</v>
      </c>
      <c r="W55" s="74">
        <f t="shared" si="28"/>
        <v>0</v>
      </c>
      <c r="X55" s="74">
        <f t="shared" si="28"/>
        <v>0</v>
      </c>
      <c r="Y55" s="74">
        <f t="shared" si="28"/>
        <v>0</v>
      </c>
      <c r="Z55" s="74">
        <f t="shared" si="28"/>
        <v>0</v>
      </c>
    </row>
    <row r="56">
      <c r="B56" s="80" t="str">
        <f t="shared" si="25"/>
        <v>Cumulative Follow on Investments</v>
      </c>
      <c r="C56" s="16"/>
      <c r="D56" s="16" t="s">
        <v>177</v>
      </c>
      <c r="E56" s="74">
        <f t="shared" si="14"/>
        <v>0</v>
      </c>
      <c r="F56" s="74"/>
      <c r="G56" s="74">
        <f t="shared" ref="G56:Z56" si="29">F56+G30</f>
        <v>0</v>
      </c>
      <c r="H56" s="74">
        <f t="shared" si="29"/>
        <v>0</v>
      </c>
      <c r="I56" s="74">
        <f t="shared" si="29"/>
        <v>0</v>
      </c>
      <c r="J56" s="74">
        <f t="shared" si="29"/>
        <v>0</v>
      </c>
      <c r="K56" s="74">
        <f t="shared" si="29"/>
        <v>0</v>
      </c>
      <c r="L56" s="74">
        <f t="shared" si="29"/>
        <v>0</v>
      </c>
      <c r="M56" s="74">
        <f t="shared" si="29"/>
        <v>0</v>
      </c>
      <c r="N56" s="74">
        <f t="shared" si="29"/>
        <v>0</v>
      </c>
      <c r="O56" s="74">
        <f t="shared" si="29"/>
        <v>0</v>
      </c>
      <c r="P56" s="74">
        <f t="shared" si="29"/>
        <v>0</v>
      </c>
      <c r="Q56" s="74">
        <f t="shared" si="29"/>
        <v>0</v>
      </c>
      <c r="R56" s="74">
        <f t="shared" si="29"/>
        <v>0</v>
      </c>
      <c r="S56" s="74">
        <f t="shared" si="29"/>
        <v>0</v>
      </c>
      <c r="T56" s="74">
        <f t="shared" si="29"/>
        <v>0</v>
      </c>
      <c r="U56" s="74">
        <f t="shared" si="29"/>
        <v>0</v>
      </c>
      <c r="V56" s="74">
        <f t="shared" si="29"/>
        <v>0</v>
      </c>
      <c r="W56" s="74">
        <f t="shared" si="29"/>
        <v>0</v>
      </c>
      <c r="X56" s="74">
        <f t="shared" si="29"/>
        <v>0</v>
      </c>
      <c r="Y56" s="74">
        <f t="shared" si="29"/>
        <v>0</v>
      </c>
      <c r="Z56" s="74">
        <f t="shared" si="29"/>
        <v>0</v>
      </c>
    </row>
    <row r="57">
      <c r="B57" s="80" t="str">
        <f t="shared" si="25"/>
        <v>Cumulative Total Investments, by cohort of New Investments</v>
      </c>
      <c r="C57" s="16"/>
      <c r="D57" s="16" t="s">
        <v>177</v>
      </c>
      <c r="E57" s="74">
        <f t="shared" si="14"/>
        <v>0</v>
      </c>
      <c r="F57" s="74"/>
      <c r="G57" s="74">
        <f t="shared" ref="G57:Z57" si="30">F57+G31</f>
        <v>0</v>
      </c>
      <c r="H57" s="74">
        <f t="shared" si="30"/>
        <v>0</v>
      </c>
      <c r="I57" s="74">
        <f t="shared" si="30"/>
        <v>0</v>
      </c>
      <c r="J57" s="74">
        <f t="shared" si="30"/>
        <v>0</v>
      </c>
      <c r="K57" s="74">
        <f t="shared" si="30"/>
        <v>0</v>
      </c>
      <c r="L57" s="74">
        <f t="shared" si="30"/>
        <v>0</v>
      </c>
      <c r="M57" s="74">
        <f t="shared" si="30"/>
        <v>0</v>
      </c>
      <c r="N57" s="74">
        <f t="shared" si="30"/>
        <v>0</v>
      </c>
      <c r="O57" s="74">
        <f t="shared" si="30"/>
        <v>0</v>
      </c>
      <c r="P57" s="74">
        <f t="shared" si="30"/>
        <v>0</v>
      </c>
      <c r="Q57" s="74">
        <f t="shared" si="30"/>
        <v>0</v>
      </c>
      <c r="R57" s="74">
        <f t="shared" si="30"/>
        <v>0</v>
      </c>
      <c r="S57" s="74">
        <f t="shared" si="30"/>
        <v>0</v>
      </c>
      <c r="T57" s="74">
        <f t="shared" si="30"/>
        <v>0</v>
      </c>
      <c r="U57" s="74">
        <f t="shared" si="30"/>
        <v>0</v>
      </c>
      <c r="V57" s="74">
        <f t="shared" si="30"/>
        <v>0</v>
      </c>
      <c r="W57" s="74">
        <f t="shared" si="30"/>
        <v>0</v>
      </c>
      <c r="X57" s="74">
        <f t="shared" si="30"/>
        <v>0</v>
      </c>
      <c r="Y57" s="74">
        <f t="shared" si="30"/>
        <v>0</v>
      </c>
      <c r="Z57" s="74">
        <f t="shared" si="30"/>
        <v>0</v>
      </c>
    </row>
    <row r="58">
      <c r="B58" s="80" t="str">
        <f t="shared" si="25"/>
        <v>Cumulative Total Investments</v>
      </c>
      <c r="C58" s="16"/>
      <c r="D58" s="16" t="s">
        <v>177</v>
      </c>
      <c r="E58" s="74">
        <f t="shared" si="14"/>
        <v>98450000</v>
      </c>
      <c r="F58" s="74"/>
      <c r="G58" s="74">
        <f t="shared" ref="G58:Z58" si="31">F58+G32</f>
        <v>5641185</v>
      </c>
      <c r="H58" s="74">
        <f t="shared" si="31"/>
        <v>19831111.67</v>
      </c>
      <c r="I58" s="74">
        <f t="shared" si="31"/>
        <v>42569780</v>
      </c>
      <c r="J58" s="74">
        <f t="shared" si="31"/>
        <v>66247005</v>
      </c>
      <c r="K58" s="74">
        <f t="shared" si="31"/>
        <v>82939202.5</v>
      </c>
      <c r="L58" s="74">
        <f t="shared" si="31"/>
        <v>91082658.33</v>
      </c>
      <c r="M58" s="74">
        <f t="shared" si="31"/>
        <v>93433972.5</v>
      </c>
      <c r="N58" s="74">
        <f t="shared" si="31"/>
        <v>95009172.5</v>
      </c>
      <c r="O58" s="74">
        <f t="shared" si="31"/>
        <v>96943715</v>
      </c>
      <c r="P58" s="74">
        <f t="shared" si="31"/>
        <v>98090657.5</v>
      </c>
      <c r="Q58" s="74">
        <f t="shared" si="31"/>
        <v>98450000</v>
      </c>
      <c r="R58" s="74">
        <f t="shared" si="31"/>
        <v>98450000</v>
      </c>
      <c r="S58" s="74">
        <f t="shared" si="31"/>
        <v>98450000</v>
      </c>
      <c r="T58" s="74">
        <f t="shared" si="31"/>
        <v>98450000</v>
      </c>
      <c r="U58" s="74">
        <f t="shared" si="31"/>
        <v>98450000</v>
      </c>
      <c r="V58" s="74">
        <f t="shared" si="31"/>
        <v>98450000</v>
      </c>
      <c r="W58" s="74">
        <f t="shared" si="31"/>
        <v>98450000</v>
      </c>
      <c r="X58" s="74">
        <f t="shared" si="31"/>
        <v>98450000</v>
      </c>
      <c r="Y58" s="74">
        <f t="shared" si="31"/>
        <v>98450000</v>
      </c>
      <c r="Z58" s="74">
        <f t="shared" si="31"/>
        <v>98450000</v>
      </c>
    </row>
    <row r="59">
      <c r="B59" s="80" t="str">
        <f t="shared" si="25"/>
        <v>Cumulative Organizational Expenses</v>
      </c>
      <c r="C59" s="16"/>
      <c r="D59" s="16" t="s">
        <v>177</v>
      </c>
      <c r="E59" s="74">
        <f t="shared" si="14"/>
        <v>150000</v>
      </c>
      <c r="F59" s="74"/>
      <c r="G59" s="74">
        <f t="shared" ref="G59:Z59" si="32">F59+G33</f>
        <v>150000</v>
      </c>
      <c r="H59" s="74">
        <f t="shared" si="32"/>
        <v>150000</v>
      </c>
      <c r="I59" s="74">
        <f t="shared" si="32"/>
        <v>150000</v>
      </c>
      <c r="J59" s="74">
        <f t="shared" si="32"/>
        <v>150000</v>
      </c>
      <c r="K59" s="74">
        <f t="shared" si="32"/>
        <v>150000</v>
      </c>
      <c r="L59" s="74">
        <f t="shared" si="32"/>
        <v>150000</v>
      </c>
      <c r="M59" s="74">
        <f t="shared" si="32"/>
        <v>150000</v>
      </c>
      <c r="N59" s="74">
        <f t="shared" si="32"/>
        <v>150000</v>
      </c>
      <c r="O59" s="74">
        <f t="shared" si="32"/>
        <v>150000</v>
      </c>
      <c r="P59" s="74">
        <f t="shared" si="32"/>
        <v>150000</v>
      </c>
      <c r="Q59" s="74">
        <f t="shared" si="32"/>
        <v>150000</v>
      </c>
      <c r="R59" s="74">
        <f t="shared" si="32"/>
        <v>150000</v>
      </c>
      <c r="S59" s="74">
        <f t="shared" si="32"/>
        <v>150000</v>
      </c>
      <c r="T59" s="74">
        <f t="shared" si="32"/>
        <v>150000</v>
      </c>
      <c r="U59" s="74">
        <f t="shared" si="32"/>
        <v>150000</v>
      </c>
      <c r="V59" s="74">
        <f t="shared" si="32"/>
        <v>150000</v>
      </c>
      <c r="W59" s="74">
        <f t="shared" si="32"/>
        <v>150000</v>
      </c>
      <c r="X59" s="74">
        <f t="shared" si="32"/>
        <v>150000</v>
      </c>
      <c r="Y59" s="74">
        <f t="shared" si="32"/>
        <v>150000</v>
      </c>
      <c r="Z59" s="74">
        <f t="shared" si="32"/>
        <v>150000</v>
      </c>
    </row>
    <row r="60">
      <c r="B60" s="80" t="str">
        <f t="shared" si="25"/>
        <v>Cumulative Operational Expenses</v>
      </c>
      <c r="C60" s="16"/>
      <c r="D60" s="16" t="s">
        <v>177</v>
      </c>
      <c r="E60" s="74">
        <f t="shared" si="14"/>
        <v>1400000</v>
      </c>
      <c r="F60" s="74"/>
      <c r="G60" s="74">
        <f t="shared" ref="G60:Z60" si="33">F60+G34</f>
        <v>100000</v>
      </c>
      <c r="H60" s="74">
        <f t="shared" si="33"/>
        <v>200000</v>
      </c>
      <c r="I60" s="74">
        <f t="shared" si="33"/>
        <v>300000</v>
      </c>
      <c r="J60" s="74">
        <f t="shared" si="33"/>
        <v>400000</v>
      </c>
      <c r="K60" s="74">
        <f t="shared" si="33"/>
        <v>500000</v>
      </c>
      <c r="L60" s="74">
        <f t="shared" si="33"/>
        <v>600000</v>
      </c>
      <c r="M60" s="74">
        <f t="shared" si="33"/>
        <v>700000</v>
      </c>
      <c r="N60" s="74">
        <f t="shared" si="33"/>
        <v>800000</v>
      </c>
      <c r="O60" s="74">
        <f t="shared" si="33"/>
        <v>900000</v>
      </c>
      <c r="P60" s="74">
        <f t="shared" si="33"/>
        <v>1000000</v>
      </c>
      <c r="Q60" s="74">
        <f t="shared" si="33"/>
        <v>1100000</v>
      </c>
      <c r="R60" s="74">
        <f t="shared" si="33"/>
        <v>1200000</v>
      </c>
      <c r="S60" s="74">
        <f t="shared" si="33"/>
        <v>1300000</v>
      </c>
      <c r="T60" s="74">
        <f t="shared" si="33"/>
        <v>1400000</v>
      </c>
      <c r="U60" s="74">
        <f t="shared" si="33"/>
        <v>1400000</v>
      </c>
      <c r="V60" s="74">
        <f t="shared" si="33"/>
        <v>1400000</v>
      </c>
      <c r="W60" s="74">
        <f t="shared" si="33"/>
        <v>1400000</v>
      </c>
      <c r="X60" s="74">
        <f t="shared" si="33"/>
        <v>1400000</v>
      </c>
      <c r="Y60" s="74">
        <f t="shared" si="33"/>
        <v>1400000</v>
      </c>
      <c r="Z60" s="74">
        <f t="shared" si="33"/>
        <v>1400000</v>
      </c>
    </row>
    <row r="61">
      <c r="B61" s="80" t="str">
        <f t="shared" si="25"/>
        <v>Cumulative Management Fees</v>
      </c>
      <c r="C61" s="16"/>
      <c r="D61" s="16" t="s">
        <v>177</v>
      </c>
      <c r="E61" s="74">
        <f t="shared" si="14"/>
        <v>23520000</v>
      </c>
      <c r="F61" s="74"/>
      <c r="G61" s="74">
        <f t="shared" ref="G61:Z61" si="34">F61+G35</f>
        <v>1960000</v>
      </c>
      <c r="H61" s="74">
        <f t="shared" si="34"/>
        <v>3920000</v>
      </c>
      <c r="I61" s="74">
        <f t="shared" si="34"/>
        <v>5880000</v>
      </c>
      <c r="J61" s="74">
        <f t="shared" si="34"/>
        <v>7840000</v>
      </c>
      <c r="K61" s="74">
        <f t="shared" si="34"/>
        <v>9800000</v>
      </c>
      <c r="L61" s="74">
        <f t="shared" si="34"/>
        <v>11760000</v>
      </c>
      <c r="M61" s="74">
        <f t="shared" si="34"/>
        <v>13720000</v>
      </c>
      <c r="N61" s="74">
        <f t="shared" si="34"/>
        <v>15680000</v>
      </c>
      <c r="O61" s="74">
        <f t="shared" si="34"/>
        <v>17640000</v>
      </c>
      <c r="P61" s="74">
        <f t="shared" si="34"/>
        <v>19600000</v>
      </c>
      <c r="Q61" s="74">
        <f t="shared" si="34"/>
        <v>21560000</v>
      </c>
      <c r="R61" s="74">
        <f t="shared" si="34"/>
        <v>23520000</v>
      </c>
      <c r="S61" s="74">
        <f t="shared" si="34"/>
        <v>23520000</v>
      </c>
      <c r="T61" s="74">
        <f t="shared" si="34"/>
        <v>23520000</v>
      </c>
      <c r="U61" s="74">
        <f t="shared" si="34"/>
        <v>23520000</v>
      </c>
      <c r="V61" s="74">
        <f t="shared" si="34"/>
        <v>23520000</v>
      </c>
      <c r="W61" s="74">
        <f t="shared" si="34"/>
        <v>23520000</v>
      </c>
      <c r="X61" s="74">
        <f t="shared" si="34"/>
        <v>23520000</v>
      </c>
      <c r="Y61" s="74">
        <f t="shared" si="34"/>
        <v>23520000</v>
      </c>
      <c r="Z61" s="74">
        <f t="shared" si="34"/>
        <v>23520000</v>
      </c>
    </row>
    <row r="62">
      <c r="B62" s="80" t="str">
        <f t="shared" si="25"/>
        <v>Cumulative Management Fees Recycled</v>
      </c>
      <c r="C62" s="16"/>
      <c r="D62" s="16" t="s">
        <v>177</v>
      </c>
      <c r="E62" s="74">
        <f t="shared" si="14"/>
        <v>23520000</v>
      </c>
      <c r="F62" s="74"/>
      <c r="G62" s="74">
        <f t="shared" ref="G62:Z62" si="35">F62+G36</f>
        <v>0</v>
      </c>
      <c r="H62" s="74">
        <f t="shared" si="35"/>
        <v>0</v>
      </c>
      <c r="I62" s="74">
        <f t="shared" si="35"/>
        <v>0</v>
      </c>
      <c r="J62" s="74">
        <f t="shared" si="35"/>
        <v>359342.5</v>
      </c>
      <c r="K62" s="74">
        <f t="shared" si="35"/>
        <v>718685</v>
      </c>
      <c r="L62" s="74">
        <f t="shared" si="35"/>
        <v>5020950</v>
      </c>
      <c r="M62" s="74">
        <f t="shared" si="35"/>
        <v>9432264.167</v>
      </c>
      <c r="N62" s="74">
        <f t="shared" si="35"/>
        <v>13067464.17</v>
      </c>
      <c r="O62" s="74">
        <f t="shared" si="35"/>
        <v>17062006.67</v>
      </c>
      <c r="P62" s="74">
        <f t="shared" si="35"/>
        <v>20268949.17</v>
      </c>
      <c r="Q62" s="74">
        <f t="shared" si="35"/>
        <v>22688291.67</v>
      </c>
      <c r="R62" s="74">
        <f t="shared" si="35"/>
        <v>23520000</v>
      </c>
      <c r="S62" s="74">
        <f t="shared" si="35"/>
        <v>23520000</v>
      </c>
      <c r="T62" s="74">
        <f t="shared" si="35"/>
        <v>23520000</v>
      </c>
      <c r="U62" s="74">
        <f t="shared" si="35"/>
        <v>23520000</v>
      </c>
      <c r="V62" s="74">
        <f t="shared" si="35"/>
        <v>23520000</v>
      </c>
      <c r="W62" s="74">
        <f t="shared" si="35"/>
        <v>23520000</v>
      </c>
      <c r="X62" s="74">
        <f t="shared" si="35"/>
        <v>23520000</v>
      </c>
      <c r="Y62" s="74">
        <f t="shared" si="35"/>
        <v>23520000</v>
      </c>
      <c r="Z62" s="74">
        <f t="shared" si="35"/>
        <v>23520000</v>
      </c>
    </row>
    <row r="63">
      <c r="B63" s="80" t="str">
        <f t="shared" si="25"/>
        <v>Cumulative Proceeds</v>
      </c>
      <c r="C63" s="16"/>
      <c r="D63" s="16" t="s">
        <v>177</v>
      </c>
      <c r="E63" s="74">
        <f t="shared" si="14"/>
        <v>301965840</v>
      </c>
      <c r="F63" s="74"/>
      <c r="G63" s="74">
        <f t="shared" ref="G63:Z63" si="36">F63+G37</f>
        <v>0</v>
      </c>
      <c r="H63" s="74">
        <f t="shared" si="36"/>
        <v>0</v>
      </c>
      <c r="I63" s="74">
        <f t="shared" si="36"/>
        <v>0</v>
      </c>
      <c r="J63" s="74">
        <f t="shared" si="36"/>
        <v>359342.5</v>
      </c>
      <c r="K63" s="74">
        <f t="shared" si="36"/>
        <v>718685</v>
      </c>
      <c r="L63" s="74">
        <f t="shared" si="36"/>
        <v>5020950</v>
      </c>
      <c r="M63" s="74">
        <f t="shared" si="36"/>
        <v>15172785.83</v>
      </c>
      <c r="N63" s="74">
        <f t="shared" si="36"/>
        <v>29205192.5</v>
      </c>
      <c r="O63" s="74">
        <f t="shared" si="36"/>
        <v>65952639.5</v>
      </c>
      <c r="P63" s="74">
        <f t="shared" si="36"/>
        <v>116359695.8</v>
      </c>
      <c r="Q63" s="74">
        <f t="shared" si="36"/>
        <v>182754704</v>
      </c>
      <c r="R63" s="74">
        <f t="shared" si="36"/>
        <v>242360272</v>
      </c>
      <c r="S63" s="74">
        <f t="shared" si="36"/>
        <v>282097317.3</v>
      </c>
      <c r="T63" s="74">
        <f t="shared" si="36"/>
        <v>301965840</v>
      </c>
      <c r="U63" s="74">
        <f t="shared" si="36"/>
        <v>301965840</v>
      </c>
      <c r="V63" s="74">
        <f t="shared" si="36"/>
        <v>301965840</v>
      </c>
      <c r="W63" s="74">
        <f t="shared" si="36"/>
        <v>301965840</v>
      </c>
      <c r="X63" s="74">
        <f t="shared" si="36"/>
        <v>301965840</v>
      </c>
      <c r="Y63" s="74">
        <f t="shared" si="36"/>
        <v>301965840</v>
      </c>
      <c r="Z63" s="74">
        <f t="shared" si="36"/>
        <v>301965840</v>
      </c>
    </row>
    <row r="64">
      <c r="B64" s="80" t="str">
        <f t="shared" si="25"/>
        <v>Cumulative Preferred Return</v>
      </c>
      <c r="C64" s="16"/>
      <c r="D64" s="16" t="s">
        <v>177</v>
      </c>
      <c r="E64" s="74">
        <f t="shared" si="14"/>
        <v>0</v>
      </c>
      <c r="F64" s="74"/>
      <c r="G64" s="74">
        <f t="shared" ref="G64:Z64" si="37">F64+G38</f>
        <v>0</v>
      </c>
      <c r="H64" s="74">
        <f t="shared" si="37"/>
        <v>0</v>
      </c>
      <c r="I64" s="74">
        <f t="shared" si="37"/>
        <v>0</v>
      </c>
      <c r="J64" s="74">
        <f t="shared" si="37"/>
        <v>0</v>
      </c>
      <c r="K64" s="74">
        <f t="shared" si="37"/>
        <v>0</v>
      </c>
      <c r="L64" s="74">
        <f t="shared" si="37"/>
        <v>0</v>
      </c>
      <c r="M64" s="74">
        <f t="shared" si="37"/>
        <v>0</v>
      </c>
      <c r="N64" s="74">
        <f t="shared" si="37"/>
        <v>0</v>
      </c>
      <c r="O64" s="74">
        <f t="shared" si="37"/>
        <v>0</v>
      </c>
      <c r="P64" s="74">
        <f t="shared" si="37"/>
        <v>0</v>
      </c>
      <c r="Q64" s="74">
        <f t="shared" si="37"/>
        <v>0</v>
      </c>
      <c r="R64" s="74">
        <f t="shared" si="37"/>
        <v>0</v>
      </c>
      <c r="S64" s="74">
        <f t="shared" si="37"/>
        <v>0</v>
      </c>
      <c r="T64" s="74">
        <f t="shared" si="37"/>
        <v>0</v>
      </c>
      <c r="U64" s="74">
        <f t="shared" si="37"/>
        <v>0</v>
      </c>
      <c r="V64" s="74">
        <f t="shared" si="37"/>
        <v>0</v>
      </c>
      <c r="W64" s="74">
        <f t="shared" si="37"/>
        <v>0</v>
      </c>
      <c r="X64" s="74">
        <f t="shared" si="37"/>
        <v>0</v>
      </c>
      <c r="Y64" s="74">
        <f t="shared" si="37"/>
        <v>0</v>
      </c>
      <c r="Z64" s="74">
        <f t="shared" si="37"/>
        <v>0</v>
      </c>
    </row>
    <row r="65">
      <c r="B65" s="80" t="str">
        <f t="shared" si="25"/>
        <v>Cumulative GP Catchup</v>
      </c>
      <c r="C65" s="16"/>
      <c r="D65" s="16" t="s">
        <v>177</v>
      </c>
      <c r="E65" s="74">
        <f t="shared" si="14"/>
        <v>0</v>
      </c>
      <c r="F65" s="74"/>
      <c r="G65" s="74">
        <f t="shared" ref="G65:Z65" si="38">F65+G39</f>
        <v>0</v>
      </c>
      <c r="H65" s="74">
        <f t="shared" si="38"/>
        <v>0</v>
      </c>
      <c r="I65" s="74">
        <f t="shared" si="38"/>
        <v>0</v>
      </c>
      <c r="J65" s="74">
        <f t="shared" si="38"/>
        <v>0</v>
      </c>
      <c r="K65" s="74">
        <f t="shared" si="38"/>
        <v>0</v>
      </c>
      <c r="L65" s="74">
        <f t="shared" si="38"/>
        <v>0</v>
      </c>
      <c r="M65" s="74">
        <f t="shared" si="38"/>
        <v>0</v>
      </c>
      <c r="N65" s="74">
        <f t="shared" si="38"/>
        <v>0</v>
      </c>
      <c r="O65" s="74">
        <f t="shared" si="38"/>
        <v>0</v>
      </c>
      <c r="P65" s="74">
        <f t="shared" si="38"/>
        <v>0</v>
      </c>
      <c r="Q65" s="74">
        <f t="shared" si="38"/>
        <v>0</v>
      </c>
      <c r="R65" s="74">
        <f t="shared" si="38"/>
        <v>0</v>
      </c>
      <c r="S65" s="74">
        <f t="shared" si="38"/>
        <v>0</v>
      </c>
      <c r="T65" s="74">
        <f t="shared" si="38"/>
        <v>0</v>
      </c>
      <c r="U65" s="74">
        <f t="shared" si="38"/>
        <v>0</v>
      </c>
      <c r="V65" s="74">
        <f t="shared" si="38"/>
        <v>0</v>
      </c>
      <c r="W65" s="74">
        <f t="shared" si="38"/>
        <v>0</v>
      </c>
      <c r="X65" s="74">
        <f t="shared" si="38"/>
        <v>0</v>
      </c>
      <c r="Y65" s="74">
        <f t="shared" si="38"/>
        <v>0</v>
      </c>
      <c r="Z65" s="74">
        <f t="shared" si="38"/>
        <v>0</v>
      </c>
    </row>
    <row r="66">
      <c r="B66" s="80" t="str">
        <f t="shared" si="25"/>
        <v>Cumulative Carried Interest</v>
      </c>
      <c r="C66" s="16"/>
      <c r="D66" s="16" t="s">
        <v>177</v>
      </c>
      <c r="E66" s="74">
        <f t="shared" si="14"/>
        <v>35689168</v>
      </c>
      <c r="F66" s="74"/>
      <c r="G66" s="74">
        <f t="shared" ref="G66:Z66" si="39">F66+G40</f>
        <v>0</v>
      </c>
      <c r="H66" s="74">
        <f t="shared" si="39"/>
        <v>0</v>
      </c>
      <c r="I66" s="74">
        <f t="shared" si="39"/>
        <v>0</v>
      </c>
      <c r="J66" s="74">
        <f t="shared" si="39"/>
        <v>0</v>
      </c>
      <c r="K66" s="74">
        <f t="shared" si="39"/>
        <v>0</v>
      </c>
      <c r="L66" s="74">
        <f t="shared" si="39"/>
        <v>0</v>
      </c>
      <c r="M66" s="74">
        <f t="shared" si="39"/>
        <v>0</v>
      </c>
      <c r="N66" s="74">
        <f t="shared" si="39"/>
        <v>0</v>
      </c>
      <c r="O66" s="74">
        <f t="shared" si="39"/>
        <v>0</v>
      </c>
      <c r="P66" s="74">
        <f t="shared" si="39"/>
        <v>0</v>
      </c>
      <c r="Q66" s="74">
        <f t="shared" si="39"/>
        <v>12298940.8</v>
      </c>
      <c r="R66" s="74">
        <f t="shared" si="39"/>
        <v>23808054.4</v>
      </c>
      <c r="S66" s="74">
        <f t="shared" si="39"/>
        <v>31735463.47</v>
      </c>
      <c r="T66" s="74">
        <f t="shared" si="39"/>
        <v>35689168</v>
      </c>
      <c r="U66" s="74">
        <f t="shared" si="39"/>
        <v>35689168</v>
      </c>
      <c r="V66" s="74">
        <f t="shared" si="39"/>
        <v>35689168</v>
      </c>
      <c r="W66" s="74">
        <f t="shared" si="39"/>
        <v>35689168</v>
      </c>
      <c r="X66" s="74">
        <f t="shared" si="39"/>
        <v>35689168</v>
      </c>
      <c r="Y66" s="74">
        <f t="shared" si="39"/>
        <v>35689168</v>
      </c>
      <c r="Z66" s="74">
        <f t="shared" si="39"/>
        <v>35689168</v>
      </c>
    </row>
    <row r="67">
      <c r="B67" s="80" t="str">
        <f t="shared" si="25"/>
        <v>Cumulative Distributions</v>
      </c>
      <c r="C67" s="16"/>
      <c r="D67" s="16" t="s">
        <v>177</v>
      </c>
      <c r="E67" s="74">
        <f t="shared" si="14"/>
        <v>242756672</v>
      </c>
      <c r="F67" s="74"/>
      <c r="G67" s="74">
        <f t="shared" ref="G67:Z67" si="40">F67+G41</f>
        <v>0</v>
      </c>
      <c r="H67" s="74">
        <f t="shared" si="40"/>
        <v>0</v>
      </c>
      <c r="I67" s="74">
        <f t="shared" si="40"/>
        <v>0</v>
      </c>
      <c r="J67" s="74">
        <f t="shared" si="40"/>
        <v>359342.5</v>
      </c>
      <c r="K67" s="74">
        <f t="shared" si="40"/>
        <v>718685</v>
      </c>
      <c r="L67" s="74">
        <f t="shared" si="40"/>
        <v>1428291.667</v>
      </c>
      <c r="M67" s="74">
        <f t="shared" si="40"/>
        <v>7168813.333</v>
      </c>
      <c r="N67" s="74">
        <f t="shared" si="40"/>
        <v>17566020</v>
      </c>
      <c r="O67" s="74">
        <f t="shared" si="40"/>
        <v>50318924.5</v>
      </c>
      <c r="P67" s="74">
        <f t="shared" si="40"/>
        <v>97519038.33</v>
      </c>
      <c r="Q67" s="74">
        <f t="shared" si="40"/>
        <v>149195763.2</v>
      </c>
      <c r="R67" s="74">
        <f t="shared" si="40"/>
        <v>195232217.6</v>
      </c>
      <c r="S67" s="74">
        <f t="shared" si="40"/>
        <v>226941853.9</v>
      </c>
      <c r="T67" s="74">
        <f t="shared" si="40"/>
        <v>242756672</v>
      </c>
      <c r="U67" s="74">
        <f t="shared" si="40"/>
        <v>242756672</v>
      </c>
      <c r="V67" s="74">
        <f t="shared" si="40"/>
        <v>242756672</v>
      </c>
      <c r="W67" s="74">
        <f t="shared" si="40"/>
        <v>242756672</v>
      </c>
      <c r="X67" s="74">
        <f t="shared" si="40"/>
        <v>242756672</v>
      </c>
      <c r="Y67" s="74">
        <f t="shared" si="40"/>
        <v>242756672</v>
      </c>
      <c r="Z67" s="74">
        <f t="shared" si="40"/>
        <v>242756672</v>
      </c>
    </row>
    <row r="68">
      <c r="B68" s="80" t="str">
        <f t="shared" si="25"/>
        <v>Cumulative Writeoffs</v>
      </c>
      <c r="C68" s="16"/>
      <c r="D68" s="16" t="s">
        <v>177</v>
      </c>
      <c r="E68" s="74">
        <f t="shared" si="14"/>
        <v>0</v>
      </c>
      <c r="F68" s="74"/>
      <c r="G68" s="74">
        <f t="shared" ref="G68:Z68" si="41">F68+G42</f>
        <v>0</v>
      </c>
      <c r="H68" s="74">
        <f t="shared" si="41"/>
        <v>0</v>
      </c>
      <c r="I68" s="74">
        <f t="shared" si="41"/>
        <v>0</v>
      </c>
      <c r="J68" s="74">
        <f t="shared" si="41"/>
        <v>0</v>
      </c>
      <c r="K68" s="74">
        <f t="shared" si="41"/>
        <v>0</v>
      </c>
      <c r="L68" s="74">
        <f t="shared" si="41"/>
        <v>0</v>
      </c>
      <c r="M68" s="74">
        <f t="shared" si="41"/>
        <v>0</v>
      </c>
      <c r="N68" s="74">
        <f t="shared" si="41"/>
        <v>0</v>
      </c>
      <c r="O68" s="74">
        <f t="shared" si="41"/>
        <v>0</v>
      </c>
      <c r="P68" s="74">
        <f t="shared" si="41"/>
        <v>0</v>
      </c>
      <c r="Q68" s="74">
        <f t="shared" si="41"/>
        <v>0</v>
      </c>
      <c r="R68" s="74">
        <f t="shared" si="41"/>
        <v>0</v>
      </c>
      <c r="S68" s="74">
        <f t="shared" si="41"/>
        <v>0</v>
      </c>
      <c r="T68" s="74">
        <f t="shared" si="41"/>
        <v>0</v>
      </c>
      <c r="U68" s="74">
        <f t="shared" si="41"/>
        <v>0</v>
      </c>
      <c r="V68" s="74">
        <f t="shared" si="41"/>
        <v>0</v>
      </c>
      <c r="W68" s="74">
        <f t="shared" si="41"/>
        <v>0</v>
      </c>
      <c r="X68" s="74">
        <f t="shared" si="41"/>
        <v>0</v>
      </c>
      <c r="Y68" s="74">
        <f t="shared" si="41"/>
        <v>0</v>
      </c>
      <c r="Z68" s="74">
        <f t="shared" si="41"/>
        <v>0</v>
      </c>
    </row>
    <row r="69">
      <c r="B69" s="80" t="str">
        <f t="shared" si="25"/>
        <v>Cumulative Invested Capital Exited</v>
      </c>
      <c r="C69" s="16"/>
      <c r="D69" s="16" t="s">
        <v>177</v>
      </c>
      <c r="E69" s="74">
        <f t="shared" si="14"/>
        <v>0</v>
      </c>
      <c r="F69" s="74"/>
      <c r="G69" s="74">
        <f t="shared" ref="G69:Z69" si="42">F69+G43</f>
        <v>0</v>
      </c>
      <c r="H69" s="74">
        <f t="shared" si="42"/>
        <v>0</v>
      </c>
      <c r="I69" s="74">
        <f t="shared" si="42"/>
        <v>0</v>
      </c>
      <c r="J69" s="74">
        <f t="shared" si="42"/>
        <v>0</v>
      </c>
      <c r="K69" s="74">
        <f t="shared" si="42"/>
        <v>0</v>
      </c>
      <c r="L69" s="74">
        <f t="shared" si="42"/>
        <v>0</v>
      </c>
      <c r="M69" s="74">
        <f t="shared" si="42"/>
        <v>0</v>
      </c>
      <c r="N69" s="74">
        <f t="shared" si="42"/>
        <v>0</v>
      </c>
      <c r="O69" s="74">
        <f t="shared" si="42"/>
        <v>0</v>
      </c>
      <c r="P69" s="74">
        <f t="shared" si="42"/>
        <v>0</v>
      </c>
      <c r="Q69" s="74">
        <f t="shared" si="42"/>
        <v>0</v>
      </c>
      <c r="R69" s="74">
        <f t="shared" si="42"/>
        <v>0</v>
      </c>
      <c r="S69" s="74">
        <f t="shared" si="42"/>
        <v>0</v>
      </c>
      <c r="T69" s="74">
        <f t="shared" si="42"/>
        <v>0</v>
      </c>
      <c r="U69" s="74">
        <f t="shared" si="42"/>
        <v>0</v>
      </c>
      <c r="V69" s="74">
        <f t="shared" si="42"/>
        <v>0</v>
      </c>
      <c r="W69" s="74">
        <f t="shared" si="42"/>
        <v>0</v>
      </c>
      <c r="X69" s="74">
        <f t="shared" si="42"/>
        <v>0</v>
      </c>
      <c r="Y69" s="74">
        <f t="shared" si="42"/>
        <v>0</v>
      </c>
      <c r="Z69" s="74">
        <f t="shared" si="42"/>
        <v>0</v>
      </c>
    </row>
    <row r="70">
      <c r="B70" s="80" t="str">
        <f t="shared" si="25"/>
        <v>Cumulative Change in Invested Capital</v>
      </c>
      <c r="C70" s="16"/>
      <c r="D70" s="16" t="s">
        <v>177</v>
      </c>
      <c r="E70" s="74">
        <f t="shared" si="14"/>
        <v>-0.000000008381903172</v>
      </c>
      <c r="F70" s="74"/>
      <c r="G70" s="74">
        <f t="shared" ref="G70:Z70" si="43">F70+G44</f>
        <v>5641185</v>
      </c>
      <c r="H70" s="74">
        <f t="shared" si="43"/>
        <v>19831111.67</v>
      </c>
      <c r="I70" s="74">
        <f t="shared" si="43"/>
        <v>42569780</v>
      </c>
      <c r="J70" s="74">
        <f t="shared" si="43"/>
        <v>66129848.47</v>
      </c>
      <c r="K70" s="74">
        <f t="shared" si="43"/>
        <v>82704889.45</v>
      </c>
      <c r="L70" s="74">
        <f t="shared" si="43"/>
        <v>89445676.72</v>
      </c>
      <c r="M70" s="74">
        <f t="shared" si="43"/>
        <v>88487185.26</v>
      </c>
      <c r="N70" s="74">
        <f t="shared" si="43"/>
        <v>85487396.12</v>
      </c>
      <c r="O70" s="74">
        <f t="shared" si="43"/>
        <v>75441159.09</v>
      </c>
      <c r="P70" s="74">
        <f t="shared" si="43"/>
        <v>60153876.13</v>
      </c>
      <c r="Q70" s="74">
        <f t="shared" si="43"/>
        <v>38866437.14</v>
      </c>
      <c r="R70" s="74">
        <f t="shared" si="43"/>
        <v>19433218.57</v>
      </c>
      <c r="S70" s="74">
        <f t="shared" si="43"/>
        <v>6477739.524</v>
      </c>
      <c r="T70" s="74">
        <f t="shared" si="43"/>
        <v>-0.000000008381903172</v>
      </c>
      <c r="U70" s="74">
        <f t="shared" si="43"/>
        <v>-0.000000008381903172</v>
      </c>
      <c r="V70" s="74">
        <f t="shared" si="43"/>
        <v>-0.000000008381903172</v>
      </c>
      <c r="W70" s="74">
        <f t="shared" si="43"/>
        <v>-0.000000008381903172</v>
      </c>
      <c r="X70" s="74">
        <f t="shared" si="43"/>
        <v>-0.000000008381903172</v>
      </c>
      <c r="Y70" s="74">
        <f t="shared" si="43"/>
        <v>-0.000000008381903172</v>
      </c>
      <c r="Z70" s="74">
        <f t="shared" si="43"/>
        <v>-0.000000008381903172</v>
      </c>
    </row>
    <row r="71">
      <c r="B71" s="80" t="str">
        <f t="shared" si="25"/>
        <v>Cumulative Change in Unrealized Gain (Loss)</v>
      </c>
      <c r="C71" s="16"/>
      <c r="D71" s="16" t="s">
        <v>177</v>
      </c>
      <c r="E71" s="74">
        <f t="shared" si="14"/>
        <v>0</v>
      </c>
      <c r="F71" s="74"/>
      <c r="G71" s="74">
        <f t="shared" ref="G71:Z71" si="44">F71+G45</f>
        <v>-984500</v>
      </c>
      <c r="H71" s="74">
        <f t="shared" si="44"/>
        <v>-247410.9651</v>
      </c>
      <c r="I71" s="74">
        <f t="shared" si="44"/>
        <v>1213742.602</v>
      </c>
      <c r="J71" s="74">
        <f t="shared" si="44"/>
        <v>4986043.446</v>
      </c>
      <c r="K71" s="74">
        <f t="shared" si="44"/>
        <v>9851532.106</v>
      </c>
      <c r="L71" s="74">
        <f t="shared" si="44"/>
        <v>15244031.4</v>
      </c>
      <c r="M71" s="74">
        <f t="shared" si="44"/>
        <v>17306075.74</v>
      </c>
      <c r="N71" s="74">
        <f t="shared" si="44"/>
        <v>16678817.18</v>
      </c>
      <c r="O71" s="74">
        <f t="shared" si="44"/>
        <v>12539552.2</v>
      </c>
      <c r="P71" s="74">
        <f t="shared" si="44"/>
        <v>7473518.867</v>
      </c>
      <c r="Q71" s="74">
        <f t="shared" si="44"/>
        <v>2002817.914</v>
      </c>
      <c r="R71" s="74">
        <f t="shared" si="44"/>
        <v>-2483669.961</v>
      </c>
      <c r="S71" s="74">
        <f t="shared" si="44"/>
        <v>-5037106.322</v>
      </c>
      <c r="T71" s="74">
        <f t="shared" si="44"/>
        <v>-131266.6667</v>
      </c>
      <c r="U71" s="74">
        <f t="shared" si="44"/>
        <v>0</v>
      </c>
      <c r="V71" s="74">
        <f t="shared" si="44"/>
        <v>0</v>
      </c>
      <c r="W71" s="74">
        <f t="shared" si="44"/>
        <v>0</v>
      </c>
      <c r="X71" s="74">
        <f t="shared" si="44"/>
        <v>0</v>
      </c>
      <c r="Y71" s="74">
        <f t="shared" si="44"/>
        <v>0</v>
      </c>
      <c r="Z71" s="74">
        <f t="shared" si="44"/>
        <v>0</v>
      </c>
    </row>
    <row r="72">
      <c r="B72" s="80" t="str">
        <f t="shared" si="25"/>
        <v>Cumulative Change in Residual Value</v>
      </c>
      <c r="C72" s="16" t="s">
        <v>201</v>
      </c>
      <c r="D72" s="16" t="s">
        <v>177</v>
      </c>
      <c r="E72" s="74">
        <f t="shared" si="14"/>
        <v>0.00000001396983862</v>
      </c>
      <c r="F72" s="74"/>
      <c r="G72" s="74">
        <f t="shared" ref="G72:Z72" si="45">F72+G46</f>
        <v>4656685</v>
      </c>
      <c r="H72" s="74">
        <f t="shared" si="45"/>
        <v>19583700.7</v>
      </c>
      <c r="I72" s="74">
        <f t="shared" si="45"/>
        <v>43783522.6</v>
      </c>
      <c r="J72" s="74">
        <f t="shared" si="45"/>
        <v>71115891.92</v>
      </c>
      <c r="K72" s="74">
        <f t="shared" si="45"/>
        <v>92556421.55</v>
      </c>
      <c r="L72" s="74">
        <f t="shared" si="45"/>
        <v>104689708.1</v>
      </c>
      <c r="M72" s="74">
        <f t="shared" si="45"/>
        <v>105793261</v>
      </c>
      <c r="N72" s="74">
        <f t="shared" si="45"/>
        <v>102166213.3</v>
      </c>
      <c r="O72" s="74">
        <f t="shared" si="45"/>
        <v>87980711.29</v>
      </c>
      <c r="P72" s="74">
        <f t="shared" si="45"/>
        <v>67627394.99</v>
      </c>
      <c r="Q72" s="74">
        <f t="shared" si="45"/>
        <v>40869255.06</v>
      </c>
      <c r="R72" s="74">
        <f t="shared" si="45"/>
        <v>16949548.61</v>
      </c>
      <c r="S72" s="74">
        <f t="shared" si="45"/>
        <v>1440633.201</v>
      </c>
      <c r="T72" s="74">
        <f t="shared" si="45"/>
        <v>-131266.6667</v>
      </c>
      <c r="U72" s="74">
        <f t="shared" si="45"/>
        <v>0.00000001396983862</v>
      </c>
      <c r="V72" s="74">
        <f t="shared" si="45"/>
        <v>0.00000001396983862</v>
      </c>
      <c r="W72" s="74">
        <f t="shared" si="45"/>
        <v>0.00000001396983862</v>
      </c>
      <c r="X72" s="74">
        <f t="shared" si="45"/>
        <v>0.00000001396983862</v>
      </c>
      <c r="Y72" s="74">
        <f t="shared" si="45"/>
        <v>0.00000001396983862</v>
      </c>
      <c r="Z72" s="74">
        <f t="shared" si="45"/>
        <v>0.00000001396983862</v>
      </c>
    </row>
    <row r="73">
      <c r="B73" s="80" t="str">
        <f t="shared" si="25"/>
        <v>Cumulative Committed Capital from LPs</v>
      </c>
      <c r="C73" s="16" t="s">
        <v>201</v>
      </c>
      <c r="D73" s="16" t="s">
        <v>177</v>
      </c>
      <c r="E73" s="74">
        <f t="shared" si="14"/>
        <v>100000000</v>
      </c>
      <c r="F73" s="74"/>
      <c r="G73" s="74">
        <f t="shared" ref="G73:Z73" si="46">F73+G47</f>
        <v>100000000</v>
      </c>
      <c r="H73" s="74">
        <f t="shared" si="46"/>
        <v>100000000</v>
      </c>
      <c r="I73" s="74">
        <f t="shared" si="46"/>
        <v>100000000</v>
      </c>
      <c r="J73" s="74">
        <f t="shared" si="46"/>
        <v>100000000</v>
      </c>
      <c r="K73" s="74">
        <f t="shared" si="46"/>
        <v>100000000</v>
      </c>
      <c r="L73" s="74">
        <f t="shared" si="46"/>
        <v>100000000</v>
      </c>
      <c r="M73" s="74">
        <f t="shared" si="46"/>
        <v>100000000</v>
      </c>
      <c r="N73" s="74">
        <f t="shared" si="46"/>
        <v>100000000</v>
      </c>
      <c r="O73" s="74">
        <f t="shared" si="46"/>
        <v>100000000</v>
      </c>
      <c r="P73" s="74">
        <f t="shared" si="46"/>
        <v>100000000</v>
      </c>
      <c r="Q73" s="74">
        <f t="shared" si="46"/>
        <v>100000000</v>
      </c>
      <c r="R73" s="74">
        <f t="shared" si="46"/>
        <v>100000000</v>
      </c>
      <c r="S73" s="74">
        <f t="shared" si="46"/>
        <v>100000000</v>
      </c>
      <c r="T73" s="74">
        <f t="shared" si="46"/>
        <v>100000000</v>
      </c>
      <c r="U73" s="74">
        <f t="shared" si="46"/>
        <v>100000000</v>
      </c>
      <c r="V73" s="74">
        <f t="shared" si="46"/>
        <v>100000000</v>
      </c>
      <c r="W73" s="74">
        <f t="shared" si="46"/>
        <v>100000000</v>
      </c>
      <c r="X73" s="74">
        <f t="shared" si="46"/>
        <v>100000000</v>
      </c>
      <c r="Y73" s="74">
        <f t="shared" si="46"/>
        <v>100000000</v>
      </c>
      <c r="Z73" s="74">
        <f t="shared" si="46"/>
        <v>100000000</v>
      </c>
    </row>
    <row r="74">
      <c r="B74" s="80" t="str">
        <f t="shared" si="25"/>
        <v>Cumulative Called Capital from LPs</v>
      </c>
      <c r="C74" s="16" t="s">
        <v>201</v>
      </c>
      <c r="D74" s="16" t="s">
        <v>177</v>
      </c>
      <c r="E74" s="74">
        <f t="shared" si="14"/>
        <v>100000000</v>
      </c>
      <c r="F74" s="74"/>
      <c r="G74" s="74">
        <f t="shared" ref="G74:Z74" si="47">F74+G48</f>
        <v>7851185</v>
      </c>
      <c r="H74" s="74">
        <f t="shared" si="47"/>
        <v>24101111.67</v>
      </c>
      <c r="I74" s="74">
        <f t="shared" si="47"/>
        <v>48899780</v>
      </c>
      <c r="J74" s="74">
        <f t="shared" si="47"/>
        <v>74637005</v>
      </c>
      <c r="K74" s="74">
        <f t="shared" si="47"/>
        <v>93389202.5</v>
      </c>
      <c r="L74" s="74">
        <f t="shared" si="47"/>
        <v>100000000</v>
      </c>
      <c r="M74" s="74">
        <f t="shared" si="47"/>
        <v>100000000</v>
      </c>
      <c r="N74" s="74">
        <f t="shared" si="47"/>
        <v>100000000</v>
      </c>
      <c r="O74" s="74">
        <f t="shared" si="47"/>
        <v>100000000</v>
      </c>
      <c r="P74" s="74">
        <f t="shared" si="47"/>
        <v>100000000</v>
      </c>
      <c r="Q74" s="74">
        <f t="shared" si="47"/>
        <v>100000000</v>
      </c>
      <c r="R74" s="74">
        <f t="shared" si="47"/>
        <v>100000000</v>
      </c>
      <c r="S74" s="74">
        <f t="shared" si="47"/>
        <v>100000000</v>
      </c>
      <c r="T74" s="74">
        <f t="shared" si="47"/>
        <v>100000000</v>
      </c>
      <c r="U74" s="74">
        <f t="shared" si="47"/>
        <v>100000000</v>
      </c>
      <c r="V74" s="74">
        <f t="shared" si="47"/>
        <v>100000000</v>
      </c>
      <c r="W74" s="74">
        <f t="shared" si="47"/>
        <v>100000000</v>
      </c>
      <c r="X74" s="74">
        <f t="shared" si="47"/>
        <v>100000000</v>
      </c>
      <c r="Y74" s="74">
        <f t="shared" si="47"/>
        <v>100000000</v>
      </c>
      <c r="Z74" s="74">
        <f t="shared" si="47"/>
        <v>100000000</v>
      </c>
    </row>
    <row r="75">
      <c r="B75" s="80" t="str">
        <f t="shared" si="25"/>
        <v>Cumulative Change in Invested Capital, from LPs</v>
      </c>
      <c r="C75" s="16" t="s">
        <v>201</v>
      </c>
      <c r="D75" s="16" t="s">
        <v>177</v>
      </c>
      <c r="E75" s="74">
        <f t="shared" si="14"/>
        <v>-0.000000008381903172</v>
      </c>
      <c r="F75" s="74"/>
      <c r="G75" s="74">
        <f t="shared" ref="G75:Z75" si="48">F75+G49</f>
        <v>5641185</v>
      </c>
      <c r="H75" s="74">
        <f t="shared" si="48"/>
        <v>19831111.67</v>
      </c>
      <c r="I75" s="74">
        <f t="shared" si="48"/>
        <v>42569780</v>
      </c>
      <c r="J75" s="74">
        <f t="shared" si="48"/>
        <v>66129848.47</v>
      </c>
      <c r="K75" s="74">
        <f t="shared" si="48"/>
        <v>82704889.45</v>
      </c>
      <c r="L75" s="74">
        <f t="shared" si="48"/>
        <v>89445676.72</v>
      </c>
      <c r="M75" s="74">
        <f t="shared" si="48"/>
        <v>88487185.26</v>
      </c>
      <c r="N75" s="74">
        <f t="shared" si="48"/>
        <v>85487396.12</v>
      </c>
      <c r="O75" s="74">
        <f t="shared" si="48"/>
        <v>75441159.09</v>
      </c>
      <c r="P75" s="74">
        <f t="shared" si="48"/>
        <v>60153876.13</v>
      </c>
      <c r="Q75" s="74">
        <f t="shared" si="48"/>
        <v>38866437.14</v>
      </c>
      <c r="R75" s="74">
        <f t="shared" si="48"/>
        <v>19433218.57</v>
      </c>
      <c r="S75" s="74">
        <f t="shared" si="48"/>
        <v>6477739.524</v>
      </c>
      <c r="T75" s="74">
        <f t="shared" si="48"/>
        <v>-0.000000008381903172</v>
      </c>
      <c r="U75" s="74">
        <f t="shared" si="48"/>
        <v>-0.000000008381903172</v>
      </c>
      <c r="V75" s="74">
        <f t="shared" si="48"/>
        <v>-0.000000008381903172</v>
      </c>
      <c r="W75" s="74">
        <f t="shared" si="48"/>
        <v>-0.000000008381903172</v>
      </c>
      <c r="X75" s="74">
        <f t="shared" si="48"/>
        <v>-0.000000008381903172</v>
      </c>
      <c r="Y75" s="74">
        <f t="shared" si="48"/>
        <v>-0.000000008381903172</v>
      </c>
      <c r="Z75" s="74">
        <f t="shared" si="48"/>
        <v>-0.000000008381903172</v>
      </c>
    </row>
    <row r="76">
      <c r="B76" s="80" t="str">
        <f t="shared" si="25"/>
        <v>Cumulative Distributions to LPs</v>
      </c>
      <c r="C76" s="16" t="s">
        <v>201</v>
      </c>
      <c r="D76" s="16" t="s">
        <v>177</v>
      </c>
      <c r="E76" s="74">
        <f t="shared" si="14"/>
        <v>237901538.6</v>
      </c>
      <c r="F76" s="74"/>
      <c r="G76" s="74">
        <f t="shared" ref="G76:Z76" si="49">F76+G50</f>
        <v>0</v>
      </c>
      <c r="H76" s="74">
        <f t="shared" si="49"/>
        <v>0</v>
      </c>
      <c r="I76" s="74">
        <f t="shared" si="49"/>
        <v>0</v>
      </c>
      <c r="J76" s="74">
        <f t="shared" si="49"/>
        <v>-7186.85</v>
      </c>
      <c r="K76" s="74">
        <f t="shared" si="49"/>
        <v>-14373.7</v>
      </c>
      <c r="L76" s="74">
        <f t="shared" si="49"/>
        <v>-28565.83333</v>
      </c>
      <c r="M76" s="74">
        <f t="shared" si="49"/>
        <v>5597145.4</v>
      </c>
      <c r="N76" s="74">
        <f t="shared" si="49"/>
        <v>15786407.93</v>
      </c>
      <c r="O76" s="74">
        <f t="shared" si="49"/>
        <v>47884254.34</v>
      </c>
      <c r="P76" s="74">
        <f t="shared" si="49"/>
        <v>94140365.9</v>
      </c>
      <c r="Q76" s="74">
        <f t="shared" si="49"/>
        <v>144783556.3</v>
      </c>
      <c r="R76" s="74">
        <f t="shared" si="49"/>
        <v>191127573.2</v>
      </c>
      <c r="S76" s="74">
        <f t="shared" si="49"/>
        <v>222303016.8</v>
      </c>
      <c r="T76" s="74">
        <f t="shared" si="49"/>
        <v>237901538.6</v>
      </c>
      <c r="U76" s="74">
        <f t="shared" si="49"/>
        <v>237901538.6</v>
      </c>
      <c r="V76" s="74">
        <f t="shared" si="49"/>
        <v>237901538.6</v>
      </c>
      <c r="W76" s="74">
        <f t="shared" si="49"/>
        <v>237901538.6</v>
      </c>
      <c r="X76" s="74">
        <f t="shared" si="49"/>
        <v>237901538.6</v>
      </c>
      <c r="Y76" s="74">
        <f t="shared" si="49"/>
        <v>237901538.6</v>
      </c>
      <c r="Z76" s="74">
        <f t="shared" si="49"/>
        <v>237901538.6</v>
      </c>
    </row>
    <row r="77">
      <c r="B77" s="80" t="str">
        <f t="shared" si="25"/>
        <v>Cumulative Distributions to GPs</v>
      </c>
      <c r="C77" s="16" t="s">
        <v>201</v>
      </c>
      <c r="D77" s="16" t="s">
        <v>177</v>
      </c>
      <c r="E77" s="74">
        <f t="shared" si="14"/>
        <v>40544301.44</v>
      </c>
      <c r="F77" s="74"/>
      <c r="G77" s="74">
        <f t="shared" ref="G77:Z77" si="50">F77+G51</f>
        <v>0</v>
      </c>
      <c r="H77" s="74">
        <f t="shared" si="50"/>
        <v>0</v>
      </c>
      <c r="I77" s="74">
        <f t="shared" si="50"/>
        <v>0</v>
      </c>
      <c r="J77" s="74">
        <f t="shared" si="50"/>
        <v>7186.85</v>
      </c>
      <c r="K77" s="74">
        <f t="shared" si="50"/>
        <v>14373.7</v>
      </c>
      <c r="L77" s="74">
        <f t="shared" si="50"/>
        <v>28565.83333</v>
      </c>
      <c r="M77" s="74">
        <f t="shared" si="50"/>
        <v>143376.2667</v>
      </c>
      <c r="N77" s="74">
        <f t="shared" si="50"/>
        <v>351320.4</v>
      </c>
      <c r="O77" s="74">
        <f t="shared" si="50"/>
        <v>1006378.49</v>
      </c>
      <c r="P77" s="74">
        <f t="shared" si="50"/>
        <v>1950380.767</v>
      </c>
      <c r="Q77" s="74">
        <f t="shared" si="50"/>
        <v>15282856.06</v>
      </c>
      <c r="R77" s="74">
        <f t="shared" si="50"/>
        <v>27712698.75</v>
      </c>
      <c r="S77" s="74">
        <f t="shared" si="50"/>
        <v>36274300.54</v>
      </c>
      <c r="T77" s="74">
        <f t="shared" si="50"/>
        <v>40544301.44</v>
      </c>
      <c r="U77" s="74">
        <f t="shared" si="50"/>
        <v>40544301.44</v>
      </c>
      <c r="V77" s="74">
        <f t="shared" si="50"/>
        <v>40544301.44</v>
      </c>
      <c r="W77" s="74">
        <f t="shared" si="50"/>
        <v>40544301.44</v>
      </c>
      <c r="X77" s="74">
        <f t="shared" si="50"/>
        <v>40544301.44</v>
      </c>
      <c r="Y77" s="74">
        <f t="shared" si="50"/>
        <v>40544301.44</v>
      </c>
      <c r="Z77" s="74">
        <f t="shared" si="50"/>
        <v>40544301.44</v>
      </c>
    </row>
    <row r="78">
      <c r="B78" s="16"/>
      <c r="C78" s="16"/>
      <c r="D78" s="16"/>
      <c r="E78" s="74"/>
      <c r="F78" s="74"/>
      <c r="G78" s="74"/>
      <c r="H78" s="74"/>
      <c r="I78" s="74"/>
      <c r="J78" s="74"/>
      <c r="K78" s="74"/>
      <c r="L78" s="74"/>
      <c r="M78" s="74"/>
      <c r="N78" s="74"/>
      <c r="O78" s="74"/>
      <c r="P78" s="74"/>
      <c r="Q78" s="74"/>
      <c r="R78" s="74"/>
      <c r="S78" s="74"/>
      <c r="T78" s="74"/>
      <c r="U78" s="74"/>
      <c r="V78" s="74"/>
      <c r="W78" s="74"/>
      <c r="X78" s="74"/>
      <c r="Y78" s="74"/>
      <c r="Z78" s="74"/>
    </row>
    <row r="79">
      <c r="B79" s="80" t="s">
        <v>202</v>
      </c>
      <c r="C79" s="16"/>
      <c r="D79" s="16" t="s">
        <v>177</v>
      </c>
      <c r="E79" s="82">
        <f t="shared" ref="E79:E82" si="52">if(D79="sum",sum(G79:Z79),if(D79="final",Z79,if(D79="initial",G79,if(D79="average",average(G79:Z79),0))))</f>
        <v>1</v>
      </c>
      <c r="F79" s="83" t="str">
        <f t="shared" ref="F79:F82" si="53">B79</f>
        <v>Paid in Capital (PIC)</v>
      </c>
      <c r="G79" s="82">
        <f t="shared" ref="G79:Z79" si="51">iferror(G53/$E53,0)</f>
        <v>0.07851185</v>
      </c>
      <c r="H79" s="82">
        <f t="shared" si="51"/>
        <v>0.2410111167</v>
      </c>
      <c r="I79" s="82">
        <f t="shared" si="51"/>
        <v>0.4889978</v>
      </c>
      <c r="J79" s="82">
        <f t="shared" si="51"/>
        <v>0.74637005</v>
      </c>
      <c r="K79" s="82">
        <f t="shared" si="51"/>
        <v>0.933892025</v>
      </c>
      <c r="L79" s="82">
        <f t="shared" si="51"/>
        <v>1</v>
      </c>
      <c r="M79" s="82">
        <f t="shared" si="51"/>
        <v>1</v>
      </c>
      <c r="N79" s="82">
        <f t="shared" si="51"/>
        <v>1</v>
      </c>
      <c r="O79" s="82">
        <f t="shared" si="51"/>
        <v>1</v>
      </c>
      <c r="P79" s="82">
        <f t="shared" si="51"/>
        <v>1</v>
      </c>
      <c r="Q79" s="82">
        <f t="shared" si="51"/>
        <v>1</v>
      </c>
      <c r="R79" s="82">
        <f t="shared" si="51"/>
        <v>1</v>
      </c>
      <c r="S79" s="82">
        <f t="shared" si="51"/>
        <v>1</v>
      </c>
      <c r="T79" s="82">
        <f t="shared" si="51"/>
        <v>1</v>
      </c>
      <c r="U79" s="82">
        <f t="shared" si="51"/>
        <v>1</v>
      </c>
      <c r="V79" s="82">
        <f t="shared" si="51"/>
        <v>1</v>
      </c>
      <c r="W79" s="82">
        <f t="shared" si="51"/>
        <v>1</v>
      </c>
      <c r="X79" s="82">
        <f t="shared" si="51"/>
        <v>1</v>
      </c>
      <c r="Y79" s="82">
        <f t="shared" si="51"/>
        <v>1</v>
      </c>
      <c r="Z79" s="82">
        <f t="shared" si="51"/>
        <v>1</v>
      </c>
    </row>
    <row r="80">
      <c r="A80" s="39"/>
      <c r="B80" s="84" t="s">
        <v>203</v>
      </c>
      <c r="C80" s="40"/>
      <c r="D80" s="40" t="s">
        <v>177</v>
      </c>
      <c r="E80" s="85">
        <f t="shared" si="52"/>
        <v>0</v>
      </c>
      <c r="F80" s="86" t="str">
        <f t="shared" si="53"/>
        <v>Residual Value to Paid in Capital (RVPI)</v>
      </c>
      <c r="G80" s="85">
        <f>iferror(max(0,(G72-(MAX(0,(F72+G45+G44+G63-G62-G53))*'Get Started'!$D15-G66))/G53),0)</f>
        <v>0.5931187458</v>
      </c>
      <c r="H80" s="85">
        <f>iferror(max(0,(H72-(MAX(0,(G72+H45+H44+H63-H62-H53))*'Get Started'!$D15-H66))/H53),0)</f>
        <v>0.8125642075</v>
      </c>
      <c r="I80" s="85">
        <f>iferror(max(0,(I72-(MAX(0,(H72+I45+I44+I63-I62-I53))*'Get Started'!$D15-I66))/I53),0)</f>
        <v>0.8953725886</v>
      </c>
      <c r="J80" s="85">
        <f>iferror(max(0,(J72-(MAX(0,(I72+J45+J44+J63-J62-J53))*'Get Started'!$D15-J66))/J53),0)</f>
        <v>0.9528234944</v>
      </c>
      <c r="K80" s="85">
        <f>iferror(max(0,(K72-(MAX(0,(J72+K45+K44+K63-K62-K53))*'Get Started'!$D15-K66))/K53),0)</f>
        <v>0.9910826849</v>
      </c>
      <c r="L80" s="85">
        <f>iferror(max(0,(L72-(MAX(0,(K72+L45+L44+L63-L62-L53))*'Get Started'!$D15-L66))/L53),0)</f>
        <v>1.037517665</v>
      </c>
      <c r="M80" s="85">
        <f>iferror(max(0,(M72-(MAX(0,(L72+M45+M44+M63-M62-M53))*'Get Started'!$D15-M66))/M53),0)</f>
        <v>1.034865045</v>
      </c>
      <c r="N80" s="85">
        <f>iferror(max(0,(N72-(MAX(0,(M72+N45+N44+N63-N62-N53))*'Get Started'!$D15-N66))/N53),0)</f>
        <v>0.9850542498</v>
      </c>
      <c r="O80" s="85">
        <f>iferror(max(0,(O72-(MAX(0,(N72+O45+O44+O63-O62-O53))*'Get Started'!$D15-O66))/O53),0)</f>
        <v>0.8060644246</v>
      </c>
      <c r="P80" s="85">
        <f>iferror(max(0,(P72-(MAX(0,(O72+P45+P44+P63-P62-P53))*'Get Started'!$D15-P66))/P53),0)</f>
        <v>0.5488376666</v>
      </c>
      <c r="Q80" s="85">
        <f>iferror(max(0,(Q72-(MAX(0,(P72+Q45+Q44+Q63-Q62-Q53))*'Get Started'!$D15-Q66))/Q53),0)</f>
        <v>0.3298106238</v>
      </c>
      <c r="R80" s="85">
        <f>iferror(max(0,(R72-(MAX(0,(Q72+R45+R44+R63-R62-R53))*'Get Started'!$D15-R66))/R53),0)</f>
        <v>0.1359963889</v>
      </c>
      <c r="S80" s="85">
        <f>iferror(max(0,(S72-(MAX(0,(R72+S45+S44+S63-S62-S53))*'Get Started'!$D15-S66))/S53),0)</f>
        <v>0.01172506561</v>
      </c>
      <c r="T80" s="85">
        <f>iferror(max(0,(T72-(MAX(0,(S72+T45+T44+T63-T62-T53))*'Get Started'!$D15-T66))/T53),0)</f>
        <v>0</v>
      </c>
      <c r="U80" s="85">
        <f>iferror(max(0,(U72-(MAX(0,(T72+U45+U44+U63-U62-U53))*'Get Started'!$D15-U66))/U53),0)</f>
        <v>0</v>
      </c>
      <c r="V80" s="85">
        <f>iferror(max(0,(V72-(MAX(0,(U72+V45+V44+V63-V62-V53))*'Get Started'!$D15-V66))/V53),0)</f>
        <v>0</v>
      </c>
      <c r="W80" s="85">
        <f>iferror(max(0,(W72-(MAX(0,(V72+W45+W44+W63-W62-W53))*'Get Started'!$D15-W66))/W53),0)</f>
        <v>0</v>
      </c>
      <c r="X80" s="85">
        <f>iferror(max(0,(X72-(MAX(0,(W72+X45+X44+X63-X62-X53))*'Get Started'!$D15-X66))/X53),0)</f>
        <v>0</v>
      </c>
      <c r="Y80" s="85">
        <f>iferror(max(0,(Y72-(MAX(0,(X72+Y45+Y44+Y63-Y62-Y53))*'Get Started'!$D15-Y66))/Y53),0)</f>
        <v>0</v>
      </c>
      <c r="Z80" s="85">
        <f>iferror(max(0,(Z72-(MAX(0,(Y72+Z45+Z44+Z63-Z62-Z53))*'Get Started'!$D15-Z66))/Z53),0)</f>
        <v>0</v>
      </c>
    </row>
    <row r="81">
      <c r="B81" s="80" t="s">
        <v>204</v>
      </c>
      <c r="C81" s="16"/>
      <c r="D81" s="16" t="s">
        <v>177</v>
      </c>
      <c r="E81" s="82">
        <f t="shared" si="52"/>
        <v>2.42756672</v>
      </c>
      <c r="F81" s="83" t="str">
        <f t="shared" si="53"/>
        <v>Distributed Value to Paid in Capital (DVPI)</v>
      </c>
      <c r="G81" s="82">
        <f t="shared" ref="G81:Z81" si="54">iferror(G67/G53,0)</f>
        <v>0</v>
      </c>
      <c r="H81" s="82">
        <f t="shared" si="54"/>
        <v>0</v>
      </c>
      <c r="I81" s="82">
        <f t="shared" si="54"/>
        <v>0</v>
      </c>
      <c r="J81" s="82">
        <f t="shared" si="54"/>
        <v>0.004814535364</v>
      </c>
      <c r="K81" s="82">
        <f t="shared" si="54"/>
        <v>0.007695589862</v>
      </c>
      <c r="L81" s="82">
        <f t="shared" si="54"/>
        <v>0.01428291667</v>
      </c>
      <c r="M81" s="82">
        <f t="shared" si="54"/>
        <v>0.07168813333</v>
      </c>
      <c r="N81" s="82">
        <f t="shared" si="54"/>
        <v>0.1756602</v>
      </c>
      <c r="O81" s="82">
        <f t="shared" si="54"/>
        <v>0.503189245</v>
      </c>
      <c r="P81" s="82">
        <f t="shared" si="54"/>
        <v>0.9751903833</v>
      </c>
      <c r="Q81" s="82">
        <f t="shared" si="54"/>
        <v>1.491957632</v>
      </c>
      <c r="R81" s="82">
        <f t="shared" si="54"/>
        <v>1.952322176</v>
      </c>
      <c r="S81" s="82">
        <f t="shared" si="54"/>
        <v>2.269418539</v>
      </c>
      <c r="T81" s="82">
        <f t="shared" si="54"/>
        <v>2.42756672</v>
      </c>
      <c r="U81" s="82">
        <f t="shared" si="54"/>
        <v>2.42756672</v>
      </c>
      <c r="V81" s="82">
        <f t="shared" si="54"/>
        <v>2.42756672</v>
      </c>
      <c r="W81" s="82">
        <f t="shared" si="54"/>
        <v>2.42756672</v>
      </c>
      <c r="X81" s="82">
        <f t="shared" si="54"/>
        <v>2.42756672</v>
      </c>
      <c r="Y81" s="82">
        <f t="shared" si="54"/>
        <v>2.42756672</v>
      </c>
      <c r="Z81" s="82">
        <f t="shared" si="54"/>
        <v>2.42756672</v>
      </c>
    </row>
    <row r="82">
      <c r="B82" s="80" t="s">
        <v>205</v>
      </c>
      <c r="C82" s="16"/>
      <c r="D82" s="16" t="s">
        <v>177</v>
      </c>
      <c r="E82" s="82">
        <f t="shared" si="52"/>
        <v>2.42756672</v>
      </c>
      <c r="F82" s="83" t="str">
        <f t="shared" si="53"/>
        <v>Total Value to Paid in Capital (TVPI)</v>
      </c>
      <c r="G82" s="82">
        <f t="shared" ref="G82:Z82" si="55">G81+G80</f>
        <v>0.5931187458</v>
      </c>
      <c r="H82" s="82">
        <f t="shared" si="55"/>
        <v>0.8125642075</v>
      </c>
      <c r="I82" s="82">
        <f t="shared" si="55"/>
        <v>0.8953725886</v>
      </c>
      <c r="J82" s="82">
        <f t="shared" si="55"/>
        <v>0.9576380298</v>
      </c>
      <c r="K82" s="82">
        <f t="shared" si="55"/>
        <v>0.9987782747</v>
      </c>
      <c r="L82" s="82">
        <f t="shared" si="55"/>
        <v>1.051800582</v>
      </c>
      <c r="M82" s="82">
        <f t="shared" si="55"/>
        <v>1.106553178</v>
      </c>
      <c r="N82" s="82">
        <f t="shared" si="55"/>
        <v>1.16071445</v>
      </c>
      <c r="O82" s="82">
        <f t="shared" si="55"/>
        <v>1.30925367</v>
      </c>
      <c r="P82" s="82">
        <f t="shared" si="55"/>
        <v>1.52402805</v>
      </c>
      <c r="Q82" s="82">
        <f t="shared" si="55"/>
        <v>1.821768256</v>
      </c>
      <c r="R82" s="82">
        <f t="shared" si="55"/>
        <v>2.088318565</v>
      </c>
      <c r="S82" s="82">
        <f t="shared" si="55"/>
        <v>2.281143604</v>
      </c>
      <c r="T82" s="82">
        <f t="shared" si="55"/>
        <v>2.42756672</v>
      </c>
      <c r="U82" s="82">
        <f t="shared" si="55"/>
        <v>2.42756672</v>
      </c>
      <c r="V82" s="82">
        <f t="shared" si="55"/>
        <v>2.42756672</v>
      </c>
      <c r="W82" s="82">
        <f t="shared" si="55"/>
        <v>2.42756672</v>
      </c>
      <c r="X82" s="82">
        <f t="shared" si="55"/>
        <v>2.42756672</v>
      </c>
      <c r="Y82" s="82">
        <f t="shared" si="55"/>
        <v>2.42756672</v>
      </c>
      <c r="Z82" s="82">
        <f t="shared" si="55"/>
        <v>2.42756672</v>
      </c>
    </row>
    <row r="83">
      <c r="B83" s="81" t="s">
        <v>206</v>
      </c>
      <c r="C83" s="16" t="s">
        <v>207</v>
      </c>
      <c r="D83" s="16" t="s">
        <v>208</v>
      </c>
      <c r="E83" s="45">
        <f>if(D83="max",max(G83:Z83),if(D83="sum",sum(G83:Z83),if(D83="final",Z83,if(D83="initial",G83,if(D83="average",average(G83:Z83),0)))))</f>
        <v>0.9857170833</v>
      </c>
      <c r="F83" s="74"/>
      <c r="G83" s="45">
        <f t="shared" ref="G83:Z83" si="56">if(G90&lt;=0,abs(G90)/G52,0)</f>
        <v>0.07851185</v>
      </c>
      <c r="H83" s="45">
        <f t="shared" si="56"/>
        <v>0.2410111167</v>
      </c>
      <c r="I83" s="45">
        <f t="shared" si="56"/>
        <v>0.4889978</v>
      </c>
      <c r="J83" s="45">
        <f t="shared" si="56"/>
        <v>0.742776625</v>
      </c>
      <c r="K83" s="45">
        <f t="shared" si="56"/>
        <v>0.926705175</v>
      </c>
      <c r="L83" s="45">
        <f t="shared" si="56"/>
        <v>0.9857170833</v>
      </c>
      <c r="M83" s="45">
        <f t="shared" si="56"/>
        <v>0.9283118667</v>
      </c>
      <c r="N83" s="45">
        <f t="shared" si="56"/>
        <v>0.8243398</v>
      </c>
      <c r="O83" s="45">
        <f t="shared" si="56"/>
        <v>0.496810755</v>
      </c>
      <c r="P83" s="45">
        <f t="shared" si="56"/>
        <v>0.02480961667</v>
      </c>
      <c r="Q83" s="45">
        <f t="shared" si="56"/>
        <v>0</v>
      </c>
      <c r="R83" s="45">
        <f t="shared" si="56"/>
        <v>0</v>
      </c>
      <c r="S83" s="45">
        <f t="shared" si="56"/>
        <v>0</v>
      </c>
      <c r="T83" s="45">
        <f t="shared" si="56"/>
        <v>0</v>
      </c>
      <c r="U83" s="45">
        <f t="shared" si="56"/>
        <v>0</v>
      </c>
      <c r="V83" s="45">
        <f t="shared" si="56"/>
        <v>0</v>
      </c>
      <c r="W83" s="45">
        <f t="shared" si="56"/>
        <v>0</v>
      </c>
      <c r="X83" s="45">
        <f t="shared" si="56"/>
        <v>0</v>
      </c>
      <c r="Y83" s="45">
        <f t="shared" si="56"/>
        <v>0</v>
      </c>
      <c r="Z83" s="45">
        <f t="shared" si="56"/>
        <v>0</v>
      </c>
    </row>
    <row r="84">
      <c r="B84" s="80"/>
      <c r="C84" s="16"/>
      <c r="D84" s="16"/>
      <c r="E84" s="16"/>
      <c r="F84" s="74"/>
      <c r="G84" s="74"/>
      <c r="H84" s="74"/>
      <c r="I84" s="74"/>
      <c r="J84" s="74"/>
      <c r="K84" s="74"/>
      <c r="L84" s="74"/>
      <c r="M84" s="74"/>
      <c r="N84" s="74"/>
      <c r="O84" s="74"/>
      <c r="P84" s="74"/>
      <c r="Q84" s="74"/>
      <c r="R84" s="74"/>
      <c r="S84" s="74"/>
      <c r="T84" s="74"/>
      <c r="U84" s="74"/>
      <c r="V84" s="74"/>
      <c r="W84" s="74"/>
      <c r="X84" s="74"/>
      <c r="Y84" s="74"/>
      <c r="Z84" s="74"/>
    </row>
    <row r="85">
      <c r="B85" s="80" t="s">
        <v>209</v>
      </c>
      <c r="C85" s="16"/>
      <c r="D85" s="16" t="s">
        <v>161</v>
      </c>
      <c r="E85" s="74">
        <f t="shared" ref="E85:E113" si="58">if(D85="sum",sum(G85:Z85),if(D85="final",Z85,if(D85="initial",G85,if(D85="average",average(G85:Z85),0))))</f>
        <v>203515840</v>
      </c>
      <c r="F85" s="74"/>
      <c r="G85" s="74">
        <f t="shared" ref="G85:Z85" si="57">-1*G32+G37</f>
        <v>-5641185</v>
      </c>
      <c r="H85" s="74">
        <f t="shared" si="57"/>
        <v>-14189926.67</v>
      </c>
      <c r="I85" s="74">
        <f t="shared" si="57"/>
        <v>-22738668.33</v>
      </c>
      <c r="J85" s="74">
        <f t="shared" si="57"/>
        <v>-23317882.5</v>
      </c>
      <c r="K85" s="74">
        <f t="shared" si="57"/>
        <v>-16332855</v>
      </c>
      <c r="L85" s="74">
        <f t="shared" si="57"/>
        <v>-3841190.833</v>
      </c>
      <c r="M85" s="74">
        <f t="shared" si="57"/>
        <v>7800521.667</v>
      </c>
      <c r="N85" s="74">
        <f t="shared" si="57"/>
        <v>12457206.67</v>
      </c>
      <c r="O85" s="74">
        <f t="shared" si="57"/>
        <v>34812904.5</v>
      </c>
      <c r="P85" s="74">
        <f t="shared" si="57"/>
        <v>49260113.83</v>
      </c>
      <c r="Q85" s="74">
        <f t="shared" si="57"/>
        <v>66035665.67</v>
      </c>
      <c r="R85" s="74">
        <f t="shared" si="57"/>
        <v>59605568</v>
      </c>
      <c r="S85" s="74">
        <f t="shared" si="57"/>
        <v>39737045.33</v>
      </c>
      <c r="T85" s="74">
        <f t="shared" si="57"/>
        <v>19868522.67</v>
      </c>
      <c r="U85" s="74">
        <f t="shared" si="57"/>
        <v>0</v>
      </c>
      <c r="V85" s="74">
        <f t="shared" si="57"/>
        <v>0</v>
      </c>
      <c r="W85" s="74">
        <f t="shared" si="57"/>
        <v>0</v>
      </c>
      <c r="X85" s="74">
        <f t="shared" si="57"/>
        <v>0</v>
      </c>
      <c r="Y85" s="74">
        <f t="shared" si="57"/>
        <v>0</v>
      </c>
      <c r="Z85" s="74">
        <f t="shared" si="57"/>
        <v>0</v>
      </c>
    </row>
    <row r="86">
      <c r="B86" s="80" t="str">
        <f>"Cumulative "&amp;B85</f>
        <v>Cumulative Net (Investments) Proceeds</v>
      </c>
      <c r="C86" s="16"/>
      <c r="D86" s="16" t="s">
        <v>177</v>
      </c>
      <c r="E86" s="74">
        <f t="shared" si="58"/>
        <v>203515840</v>
      </c>
      <c r="F86" s="74"/>
      <c r="G86" s="87">
        <f t="shared" ref="G86:Z86" si="59">F86+G85</f>
        <v>-5641185</v>
      </c>
      <c r="H86" s="87">
        <f t="shared" si="59"/>
        <v>-19831111.67</v>
      </c>
      <c r="I86" s="87">
        <f t="shared" si="59"/>
        <v>-42569780</v>
      </c>
      <c r="J86" s="87">
        <f t="shared" si="59"/>
        <v>-65887662.5</v>
      </c>
      <c r="K86" s="87">
        <f t="shared" si="59"/>
        <v>-82220517.5</v>
      </c>
      <c r="L86" s="87">
        <f t="shared" si="59"/>
        <v>-86061708.33</v>
      </c>
      <c r="M86" s="87">
        <f t="shared" si="59"/>
        <v>-78261186.67</v>
      </c>
      <c r="N86" s="87">
        <f t="shared" si="59"/>
        <v>-65803980</v>
      </c>
      <c r="O86" s="87">
        <f t="shared" si="59"/>
        <v>-30991075.5</v>
      </c>
      <c r="P86" s="87">
        <f t="shared" si="59"/>
        <v>18269038.33</v>
      </c>
      <c r="Q86" s="87">
        <f t="shared" si="59"/>
        <v>84304704</v>
      </c>
      <c r="R86" s="87">
        <f t="shared" si="59"/>
        <v>143910272</v>
      </c>
      <c r="S86" s="87">
        <f t="shared" si="59"/>
        <v>183647317.3</v>
      </c>
      <c r="T86" s="87">
        <f t="shared" si="59"/>
        <v>203515840</v>
      </c>
      <c r="U86" s="87">
        <f t="shared" si="59"/>
        <v>203515840</v>
      </c>
      <c r="V86" s="87">
        <f t="shared" si="59"/>
        <v>203515840</v>
      </c>
      <c r="W86" s="87">
        <f t="shared" si="59"/>
        <v>203515840</v>
      </c>
      <c r="X86" s="87">
        <f t="shared" si="59"/>
        <v>203515840</v>
      </c>
      <c r="Y86" s="87">
        <f t="shared" si="59"/>
        <v>203515840</v>
      </c>
      <c r="Z86" s="87">
        <f t="shared" si="59"/>
        <v>203515840</v>
      </c>
    </row>
    <row r="87">
      <c r="B87" s="80" t="s">
        <v>143</v>
      </c>
      <c r="C87" s="16"/>
      <c r="D87" s="16" t="s">
        <v>177</v>
      </c>
      <c r="E87" s="82">
        <f t="shared" si="58"/>
        <v>3.0672</v>
      </c>
      <c r="F87" s="74"/>
      <c r="G87" s="82">
        <f t="shared" ref="G87:Z87" si="60">iferror(G63/G58,0)</f>
        <v>0</v>
      </c>
      <c r="H87" s="82">
        <f t="shared" si="60"/>
        <v>0</v>
      </c>
      <c r="I87" s="82">
        <f t="shared" si="60"/>
        <v>0</v>
      </c>
      <c r="J87" s="82">
        <f t="shared" si="60"/>
        <v>0.005424282954</v>
      </c>
      <c r="K87" s="82">
        <f t="shared" si="60"/>
        <v>0.008665202683</v>
      </c>
      <c r="L87" s="82">
        <f t="shared" si="60"/>
        <v>0.05512520267</v>
      </c>
      <c r="M87" s="82">
        <f t="shared" si="60"/>
        <v>0.1623904606</v>
      </c>
      <c r="N87" s="82">
        <f t="shared" si="60"/>
        <v>0.3073933993</v>
      </c>
      <c r="O87" s="82">
        <f t="shared" si="60"/>
        <v>0.6803188788</v>
      </c>
      <c r="P87" s="82">
        <f t="shared" si="60"/>
        <v>1.186246466</v>
      </c>
      <c r="Q87" s="82">
        <f t="shared" si="60"/>
        <v>1.85632</v>
      </c>
      <c r="R87" s="82">
        <f t="shared" si="60"/>
        <v>2.46176</v>
      </c>
      <c r="S87" s="82">
        <f t="shared" si="60"/>
        <v>2.865386667</v>
      </c>
      <c r="T87" s="82">
        <f t="shared" si="60"/>
        <v>3.0672</v>
      </c>
      <c r="U87" s="82">
        <f t="shared" si="60"/>
        <v>3.0672</v>
      </c>
      <c r="V87" s="82">
        <f t="shared" si="60"/>
        <v>3.0672</v>
      </c>
      <c r="W87" s="82">
        <f t="shared" si="60"/>
        <v>3.0672</v>
      </c>
      <c r="X87" s="82">
        <f t="shared" si="60"/>
        <v>3.0672</v>
      </c>
      <c r="Y87" s="82">
        <f t="shared" si="60"/>
        <v>3.0672</v>
      </c>
      <c r="Z87" s="82">
        <f t="shared" si="60"/>
        <v>3.0672</v>
      </c>
    </row>
    <row r="88">
      <c r="B88" s="80" t="s">
        <v>147</v>
      </c>
      <c r="C88" s="16"/>
      <c r="D88" s="16" t="s">
        <v>177</v>
      </c>
      <c r="E88" s="45">
        <f t="shared" si="58"/>
        <v>0.1768288938</v>
      </c>
      <c r="F88" s="74"/>
      <c r="G88" s="88" t="str">
        <f t="shared" ref="G88:Z88" si="61">IFERROR(XIRR(INDIRECT(""&amp;ADDRESS(ROW($D85),COLUMN($G85)+MATCH(INDEX($G85:$Z85,MATCH(TRUE,INDEX($G85:$Z85&lt;&gt;0,),0)),$G85:$Z85,0)-1,4)&amp;":"&amp;ADDRESS(ROW($G85),COLUMN($G85)+MATCH(F$5,$G$5:$Z$5,1),4)),INDIRECT(""&amp;ADDRESS(ROW(F$5),COLUMN($G85)+MATCH(INDEX($G85:$Z85,MATCH(TRUE,INDEX($G85:$Z85&lt;&gt;0,),0)),$G85:$Z85,0)-1,4) &amp; ":" &amp; ADDRESS(ROW($G$5),COLUMN($G85)+MATCH(F$5,$G$5:$Z$5,1),4))),"na")</f>
        <v>na</v>
      </c>
      <c r="H88" s="88" t="str">
        <f t="shared" si="61"/>
        <v>na</v>
      </c>
      <c r="I88" s="88" t="str">
        <f t="shared" si="61"/>
        <v>na</v>
      </c>
      <c r="J88" s="88" t="str">
        <f t="shared" si="61"/>
        <v>na</v>
      </c>
      <c r="K88" s="88" t="str">
        <f t="shared" si="61"/>
        <v>na</v>
      </c>
      <c r="L88" s="88" t="str">
        <f t="shared" si="61"/>
        <v>na</v>
      </c>
      <c r="M88" s="88">
        <f t="shared" si="61"/>
        <v>-0.5634617955</v>
      </c>
      <c r="N88" s="88">
        <f t="shared" si="61"/>
        <v>-0.3113527921</v>
      </c>
      <c r="O88" s="88">
        <f t="shared" si="61"/>
        <v>-0.08614182076</v>
      </c>
      <c r="P88" s="88">
        <f t="shared" si="61"/>
        <v>0.03415980511</v>
      </c>
      <c r="Q88" s="88">
        <f t="shared" si="61"/>
        <v>0.1120236569</v>
      </c>
      <c r="R88" s="88">
        <f t="shared" si="61"/>
        <v>0.1520809568</v>
      </c>
      <c r="S88" s="88">
        <f t="shared" si="61"/>
        <v>0.1700481449</v>
      </c>
      <c r="T88" s="88">
        <f t="shared" si="61"/>
        <v>0.1768288938</v>
      </c>
      <c r="U88" s="88">
        <f t="shared" si="61"/>
        <v>0.1768288938</v>
      </c>
      <c r="V88" s="88">
        <f t="shared" si="61"/>
        <v>0.1768288938</v>
      </c>
      <c r="W88" s="88">
        <f t="shared" si="61"/>
        <v>0.1768288938</v>
      </c>
      <c r="X88" s="88">
        <f t="shared" si="61"/>
        <v>0.1768288938</v>
      </c>
      <c r="Y88" s="88">
        <f t="shared" si="61"/>
        <v>0.1768288938</v>
      </c>
      <c r="Z88" s="88">
        <f t="shared" si="61"/>
        <v>0.1768288938</v>
      </c>
    </row>
    <row r="89">
      <c r="B89" s="80" t="s">
        <v>210</v>
      </c>
      <c r="C89" s="16"/>
      <c r="D89" s="16" t="s">
        <v>161</v>
      </c>
      <c r="E89" s="74">
        <f t="shared" si="58"/>
        <v>142756672</v>
      </c>
      <c r="F89" s="74"/>
      <c r="G89" s="74">
        <f t="shared" ref="G89:Z89" si="62">-1*G27+G41</f>
        <v>-7851185</v>
      </c>
      <c r="H89" s="74">
        <f t="shared" si="62"/>
        <v>-16249926.67</v>
      </c>
      <c r="I89" s="74">
        <f t="shared" si="62"/>
        <v>-24798668.33</v>
      </c>
      <c r="J89" s="74">
        <f t="shared" si="62"/>
        <v>-25377882.5</v>
      </c>
      <c r="K89" s="74">
        <f t="shared" si="62"/>
        <v>-18392855</v>
      </c>
      <c r="L89" s="74">
        <f t="shared" si="62"/>
        <v>-5901190.833</v>
      </c>
      <c r="M89" s="74">
        <f t="shared" si="62"/>
        <v>5740521.667</v>
      </c>
      <c r="N89" s="74">
        <f t="shared" si="62"/>
        <v>10397206.67</v>
      </c>
      <c r="O89" s="74">
        <f t="shared" si="62"/>
        <v>32752904.5</v>
      </c>
      <c r="P89" s="74">
        <f t="shared" si="62"/>
        <v>47200113.83</v>
      </c>
      <c r="Q89" s="74">
        <f t="shared" si="62"/>
        <v>51676724.87</v>
      </c>
      <c r="R89" s="74">
        <f t="shared" si="62"/>
        <v>46036454.4</v>
      </c>
      <c r="S89" s="74">
        <f t="shared" si="62"/>
        <v>31709636.27</v>
      </c>
      <c r="T89" s="74">
        <f t="shared" si="62"/>
        <v>15814818.13</v>
      </c>
      <c r="U89" s="74">
        <f t="shared" si="62"/>
        <v>0</v>
      </c>
      <c r="V89" s="74">
        <f t="shared" si="62"/>
        <v>0</v>
      </c>
      <c r="W89" s="74">
        <f t="shared" si="62"/>
        <v>0</v>
      </c>
      <c r="X89" s="74">
        <f t="shared" si="62"/>
        <v>0</v>
      </c>
      <c r="Y89" s="74">
        <f t="shared" si="62"/>
        <v>0</v>
      </c>
      <c r="Z89" s="74">
        <f t="shared" si="62"/>
        <v>0</v>
      </c>
    </row>
    <row r="90">
      <c r="B90" s="80" t="str">
        <f>"Cumulative "&amp;B89</f>
        <v>Cumulative Net (Called Capital) Distributions</v>
      </c>
      <c r="C90" s="16"/>
      <c r="D90" s="16" t="s">
        <v>177</v>
      </c>
      <c r="E90" s="74">
        <f t="shared" si="58"/>
        <v>142756672</v>
      </c>
      <c r="F90" s="74"/>
      <c r="G90" s="87">
        <f t="shared" ref="G90:Z90" si="63">F90+G89</f>
        <v>-7851185</v>
      </c>
      <c r="H90" s="87">
        <f t="shared" si="63"/>
        <v>-24101111.67</v>
      </c>
      <c r="I90" s="87">
        <f t="shared" si="63"/>
        <v>-48899780</v>
      </c>
      <c r="J90" s="87">
        <f t="shared" si="63"/>
        <v>-74277662.5</v>
      </c>
      <c r="K90" s="87">
        <f t="shared" si="63"/>
        <v>-92670517.5</v>
      </c>
      <c r="L90" s="87">
        <f t="shared" si="63"/>
        <v>-98571708.33</v>
      </c>
      <c r="M90" s="87">
        <f t="shared" si="63"/>
        <v>-92831186.67</v>
      </c>
      <c r="N90" s="87">
        <f t="shared" si="63"/>
        <v>-82433980</v>
      </c>
      <c r="O90" s="87">
        <f t="shared" si="63"/>
        <v>-49681075.5</v>
      </c>
      <c r="P90" s="87">
        <f t="shared" si="63"/>
        <v>-2480961.667</v>
      </c>
      <c r="Q90" s="87">
        <f t="shared" si="63"/>
        <v>49195763.2</v>
      </c>
      <c r="R90" s="87">
        <f t="shared" si="63"/>
        <v>95232217.6</v>
      </c>
      <c r="S90" s="87">
        <f t="shared" si="63"/>
        <v>126941853.9</v>
      </c>
      <c r="T90" s="87">
        <f t="shared" si="63"/>
        <v>142756672</v>
      </c>
      <c r="U90" s="87">
        <f t="shared" si="63"/>
        <v>142756672</v>
      </c>
      <c r="V90" s="87">
        <f t="shared" si="63"/>
        <v>142756672</v>
      </c>
      <c r="W90" s="87">
        <f t="shared" si="63"/>
        <v>142756672</v>
      </c>
      <c r="X90" s="87">
        <f t="shared" si="63"/>
        <v>142756672</v>
      </c>
      <c r="Y90" s="87">
        <f t="shared" si="63"/>
        <v>142756672</v>
      </c>
      <c r="Z90" s="87">
        <f t="shared" si="63"/>
        <v>142756672</v>
      </c>
    </row>
    <row r="91">
      <c r="B91" s="80" t="s">
        <v>145</v>
      </c>
      <c r="C91" s="16"/>
      <c r="D91" s="16" t="s">
        <v>177</v>
      </c>
      <c r="E91" s="82">
        <f t="shared" si="58"/>
        <v>2.42756672</v>
      </c>
      <c r="F91" s="74"/>
      <c r="G91" s="82">
        <f t="shared" ref="G91:Z91" si="64">iferror(G67/G53,0)</f>
        <v>0</v>
      </c>
      <c r="H91" s="82">
        <f t="shared" si="64"/>
        <v>0</v>
      </c>
      <c r="I91" s="82">
        <f t="shared" si="64"/>
        <v>0</v>
      </c>
      <c r="J91" s="82">
        <f t="shared" si="64"/>
        <v>0.004814535364</v>
      </c>
      <c r="K91" s="82">
        <f t="shared" si="64"/>
        <v>0.007695589862</v>
      </c>
      <c r="L91" s="82">
        <f t="shared" si="64"/>
        <v>0.01428291667</v>
      </c>
      <c r="M91" s="82">
        <f t="shared" si="64"/>
        <v>0.07168813333</v>
      </c>
      <c r="N91" s="82">
        <f t="shared" si="64"/>
        <v>0.1756602</v>
      </c>
      <c r="O91" s="82">
        <f t="shared" si="64"/>
        <v>0.503189245</v>
      </c>
      <c r="P91" s="82">
        <f t="shared" si="64"/>
        <v>0.9751903833</v>
      </c>
      <c r="Q91" s="82">
        <f t="shared" si="64"/>
        <v>1.491957632</v>
      </c>
      <c r="R91" s="82">
        <f t="shared" si="64"/>
        <v>1.952322176</v>
      </c>
      <c r="S91" s="82">
        <f t="shared" si="64"/>
        <v>2.269418539</v>
      </c>
      <c r="T91" s="82">
        <f t="shared" si="64"/>
        <v>2.42756672</v>
      </c>
      <c r="U91" s="82">
        <f t="shared" si="64"/>
        <v>2.42756672</v>
      </c>
      <c r="V91" s="82">
        <f t="shared" si="64"/>
        <v>2.42756672</v>
      </c>
      <c r="W91" s="82">
        <f t="shared" si="64"/>
        <v>2.42756672</v>
      </c>
      <c r="X91" s="82">
        <f t="shared" si="64"/>
        <v>2.42756672</v>
      </c>
      <c r="Y91" s="82">
        <f t="shared" si="64"/>
        <v>2.42756672</v>
      </c>
      <c r="Z91" s="82">
        <f t="shared" si="64"/>
        <v>2.42756672</v>
      </c>
    </row>
    <row r="92">
      <c r="B92" s="80" t="s">
        <v>149</v>
      </c>
      <c r="C92" s="16"/>
      <c r="D92" s="16" t="s">
        <v>177</v>
      </c>
      <c r="E92" s="45">
        <f t="shared" si="58"/>
        <v>0.1283446202</v>
      </c>
      <c r="F92" s="74"/>
      <c r="G92" s="88" t="str">
        <f t="shared" ref="G92:Z92" si="65">IFERROR(XIRR(INDIRECT(""&amp;ADDRESS(ROW($D89),COLUMN($G89)+MATCH(INDEX($G89:$Z89,MATCH(TRUE,INDEX($G89:$Z89&lt;&gt;0,),0)),$G89:$Z89,0)-1,4)&amp;":"&amp;ADDRESS(ROW($G89),COLUMN($G89)+MATCH(F$5,$G$5:$Z$5,1),4)),INDIRECT(""&amp;ADDRESS(ROW(F$5),COLUMN($G89)+MATCH(INDEX($G89:$Z89,MATCH(TRUE,INDEX($G89:$Z89&lt;&gt;0,),0)),$G89:$Z89,0)-1,4) &amp; ":" &amp; ADDRESS(ROW($G$5),COLUMN($G89)+MATCH(F$5,$G$5:$Z$5,1),4))),"na")</f>
        <v>na</v>
      </c>
      <c r="H92" s="88" t="str">
        <f t="shared" si="65"/>
        <v>na</v>
      </c>
      <c r="I92" s="88" t="str">
        <f t="shared" si="65"/>
        <v>na</v>
      </c>
      <c r="J92" s="88" t="str">
        <f t="shared" si="65"/>
        <v>na</v>
      </c>
      <c r="K92" s="88" t="str">
        <f t="shared" si="65"/>
        <v>na</v>
      </c>
      <c r="L92" s="88" t="str">
        <f t="shared" si="65"/>
        <v>na</v>
      </c>
      <c r="M92" s="88">
        <f t="shared" si="65"/>
        <v>-0.6536062584</v>
      </c>
      <c r="N92" s="88">
        <f t="shared" si="65"/>
        <v>-0.3786747264</v>
      </c>
      <c r="O92" s="88">
        <f t="shared" si="65"/>
        <v>-0.1314138159</v>
      </c>
      <c r="P92" s="88">
        <f t="shared" si="65"/>
        <v>-0.004401621714</v>
      </c>
      <c r="Q92" s="88">
        <f t="shared" si="65"/>
        <v>0.06522279255</v>
      </c>
      <c r="R92" s="88">
        <f t="shared" si="65"/>
        <v>0.1029933931</v>
      </c>
      <c r="S92" s="88">
        <f t="shared" si="65"/>
        <v>0.1212365697</v>
      </c>
      <c r="T92" s="88">
        <f t="shared" si="65"/>
        <v>0.1283446202</v>
      </c>
      <c r="U92" s="88">
        <f t="shared" si="65"/>
        <v>0.1283446202</v>
      </c>
      <c r="V92" s="88">
        <f t="shared" si="65"/>
        <v>0.1283446202</v>
      </c>
      <c r="W92" s="88">
        <f t="shared" si="65"/>
        <v>0.1283446202</v>
      </c>
      <c r="X92" s="88">
        <f t="shared" si="65"/>
        <v>0.1283446202</v>
      </c>
      <c r="Y92" s="88">
        <f t="shared" si="65"/>
        <v>0.1283446202</v>
      </c>
      <c r="Z92" s="88">
        <f t="shared" si="65"/>
        <v>0.1283446202</v>
      </c>
    </row>
    <row r="93" collapsed="1">
      <c r="B93" s="80" t="s">
        <v>211</v>
      </c>
      <c r="C93" s="16" t="s">
        <v>212</v>
      </c>
      <c r="D93" s="16" t="s">
        <v>177</v>
      </c>
      <c r="E93" s="45">
        <f t="shared" si="58"/>
        <v>0.1284370692</v>
      </c>
      <c r="F93" s="74"/>
      <c r="G93" s="45">
        <f t="shared" ref="G93:Z93" si="66">index($C94:$C113,G4)</f>
        <v>-0.4068812542</v>
      </c>
      <c r="H93" s="45">
        <f t="shared" si="66"/>
        <v>-0.5753795083</v>
      </c>
      <c r="I93" s="45">
        <f t="shared" si="66"/>
        <v>-0.1669722318</v>
      </c>
      <c r="J93" s="45">
        <f t="shared" si="66"/>
        <v>-0.03988251981</v>
      </c>
      <c r="K93" s="45">
        <f t="shared" si="66"/>
        <v>-0.0007359083605</v>
      </c>
      <c r="L93" s="45">
        <f t="shared" si="66"/>
        <v>0.02403671847</v>
      </c>
      <c r="M93" s="45">
        <f t="shared" si="66"/>
        <v>0.03546312344</v>
      </c>
      <c r="N93" s="45">
        <f t="shared" si="66"/>
        <v>0.0413757706</v>
      </c>
      <c r="O93" s="45">
        <f t="shared" si="66"/>
        <v>0.06265361461</v>
      </c>
      <c r="P93" s="45">
        <f t="shared" si="66"/>
        <v>0.08627754889</v>
      </c>
      <c r="Q93" s="45">
        <f t="shared" si="66"/>
        <v>0.1023796293</v>
      </c>
      <c r="R93" s="45">
        <f t="shared" si="66"/>
        <v>0.1143445431</v>
      </c>
      <c r="S93" s="45">
        <f t="shared" si="66"/>
        <v>0.1220790827</v>
      </c>
      <c r="T93" s="45">
        <f t="shared" si="66"/>
        <v>0.1283803785</v>
      </c>
      <c r="U93" s="45">
        <f t="shared" si="66"/>
        <v>0.1284370692</v>
      </c>
      <c r="V93" s="45">
        <f t="shared" si="66"/>
        <v>0.1284370692</v>
      </c>
      <c r="W93" s="45">
        <f t="shared" si="66"/>
        <v>0.1284370692</v>
      </c>
      <c r="X93" s="45">
        <f t="shared" si="66"/>
        <v>0.1284370692</v>
      </c>
      <c r="Y93" s="45">
        <f t="shared" si="66"/>
        <v>0.1284370692</v>
      </c>
      <c r="Z93" s="45">
        <f t="shared" si="66"/>
        <v>0.1284370692</v>
      </c>
    </row>
    <row r="94" hidden="1" outlineLevel="1">
      <c r="B94" s="89">
        <v>1.0</v>
      </c>
      <c r="C94" s="90">
        <f>iferror(irr(F94:Z94),0)</f>
        <v>-0.4068812542</v>
      </c>
      <c r="D94" s="40" t="s">
        <v>161</v>
      </c>
      <c r="E94" s="77">
        <f t="shared" si="58"/>
        <v>4656685</v>
      </c>
      <c r="F94" s="77">
        <f>ABS(G$27)*-1+G$41</f>
        <v>-7851185</v>
      </c>
      <c r="G94" s="77">
        <f>IF($B94=G$4,G$72,0)</f>
        <v>4656685</v>
      </c>
      <c r="H94" s="74">
        <f t="shared" ref="H94:Z94" si="67">IF(H$4&lt;=$B94,ABS(H$27)*-1+H$41,0)+IF($B94=H$4,H$72,0)</f>
        <v>0</v>
      </c>
      <c r="I94" s="74">
        <f t="shared" si="67"/>
        <v>0</v>
      </c>
      <c r="J94" s="74">
        <f t="shared" si="67"/>
        <v>0</v>
      </c>
      <c r="K94" s="74">
        <f t="shared" si="67"/>
        <v>0</v>
      </c>
      <c r="L94" s="74">
        <f t="shared" si="67"/>
        <v>0</v>
      </c>
      <c r="M94" s="74">
        <f t="shared" si="67"/>
        <v>0</v>
      </c>
      <c r="N94" s="74">
        <f t="shared" si="67"/>
        <v>0</v>
      </c>
      <c r="O94" s="74">
        <f t="shared" si="67"/>
        <v>0</v>
      </c>
      <c r="P94" s="74">
        <f t="shared" si="67"/>
        <v>0</v>
      </c>
      <c r="Q94" s="74">
        <f t="shared" si="67"/>
        <v>0</v>
      </c>
      <c r="R94" s="74">
        <f t="shared" si="67"/>
        <v>0</v>
      </c>
      <c r="S94" s="74">
        <f t="shared" si="67"/>
        <v>0</v>
      </c>
      <c r="T94" s="74">
        <f t="shared" si="67"/>
        <v>0</v>
      </c>
      <c r="U94" s="74">
        <f t="shared" si="67"/>
        <v>0</v>
      </c>
      <c r="V94" s="74">
        <f t="shared" si="67"/>
        <v>0</v>
      </c>
      <c r="W94" s="74">
        <f t="shared" si="67"/>
        <v>0</v>
      </c>
      <c r="X94" s="74">
        <f t="shared" si="67"/>
        <v>0</v>
      </c>
      <c r="Y94" s="74">
        <f t="shared" si="67"/>
        <v>0</v>
      </c>
      <c r="Z94" s="74">
        <f t="shared" si="67"/>
        <v>0</v>
      </c>
    </row>
    <row r="95" hidden="1" outlineLevel="1">
      <c r="B95" s="89">
        <f t="shared" ref="B95:B113" si="69">B94+1</f>
        <v>2</v>
      </c>
      <c r="C95" s="45">
        <f t="shared" ref="C95:C113" si="70">iferror(irr(G95:Z95),0)</f>
        <v>-0.5753795083</v>
      </c>
      <c r="D95" s="16" t="s">
        <v>161</v>
      </c>
      <c r="E95" s="74">
        <f t="shared" si="58"/>
        <v>-4517410.965</v>
      </c>
      <c r="F95" s="74"/>
      <c r="G95" s="74">
        <f t="shared" ref="G95:Z95" si="68">IF(G$4&lt;=$B95,ABS(G$27)*-1+G$41,0)+IF($B95=G$4,G$72,0)</f>
        <v>-7851185</v>
      </c>
      <c r="H95" s="74">
        <f t="shared" si="68"/>
        <v>3333774.035</v>
      </c>
      <c r="I95" s="74">
        <f t="shared" si="68"/>
        <v>0</v>
      </c>
      <c r="J95" s="74">
        <f t="shared" si="68"/>
        <v>0</v>
      </c>
      <c r="K95" s="74">
        <f t="shared" si="68"/>
        <v>0</v>
      </c>
      <c r="L95" s="74">
        <f t="shared" si="68"/>
        <v>0</v>
      </c>
      <c r="M95" s="74">
        <f t="shared" si="68"/>
        <v>0</v>
      </c>
      <c r="N95" s="74">
        <f t="shared" si="68"/>
        <v>0</v>
      </c>
      <c r="O95" s="74">
        <f t="shared" si="68"/>
        <v>0</v>
      </c>
      <c r="P95" s="74">
        <f t="shared" si="68"/>
        <v>0</v>
      </c>
      <c r="Q95" s="74">
        <f t="shared" si="68"/>
        <v>0</v>
      </c>
      <c r="R95" s="74">
        <f t="shared" si="68"/>
        <v>0</v>
      </c>
      <c r="S95" s="74">
        <f t="shared" si="68"/>
        <v>0</v>
      </c>
      <c r="T95" s="74">
        <f t="shared" si="68"/>
        <v>0</v>
      </c>
      <c r="U95" s="74">
        <f t="shared" si="68"/>
        <v>0</v>
      </c>
      <c r="V95" s="74">
        <f t="shared" si="68"/>
        <v>0</v>
      </c>
      <c r="W95" s="74">
        <f t="shared" si="68"/>
        <v>0</v>
      </c>
      <c r="X95" s="74">
        <f t="shared" si="68"/>
        <v>0</v>
      </c>
      <c r="Y95" s="74">
        <f t="shared" si="68"/>
        <v>0</v>
      </c>
      <c r="Z95" s="74">
        <f t="shared" si="68"/>
        <v>0</v>
      </c>
    </row>
    <row r="96" hidden="1" outlineLevel="1">
      <c r="B96" s="89">
        <f t="shared" si="69"/>
        <v>3</v>
      </c>
      <c r="C96" s="45">
        <f t="shared" si="70"/>
        <v>-0.1669722318</v>
      </c>
      <c r="D96" s="16" t="s">
        <v>161</v>
      </c>
      <c r="E96" s="74">
        <f t="shared" si="58"/>
        <v>-5116257.398</v>
      </c>
      <c r="F96" s="74"/>
      <c r="G96" s="74">
        <f t="shared" ref="G96:Z96" si="71">IF(G$4&lt;=$B96,ABS(G$27)*-1+G$41,0)+IF($B96=G$4,G$72,0)</f>
        <v>-7851185</v>
      </c>
      <c r="H96" s="74">
        <f t="shared" si="71"/>
        <v>-16249926.67</v>
      </c>
      <c r="I96" s="74">
        <f t="shared" si="71"/>
        <v>18984854.27</v>
      </c>
      <c r="J96" s="74">
        <f t="shared" si="71"/>
        <v>0</v>
      </c>
      <c r="K96" s="74">
        <f t="shared" si="71"/>
        <v>0</v>
      </c>
      <c r="L96" s="74">
        <f t="shared" si="71"/>
        <v>0</v>
      </c>
      <c r="M96" s="74">
        <f t="shared" si="71"/>
        <v>0</v>
      </c>
      <c r="N96" s="74">
        <f t="shared" si="71"/>
        <v>0</v>
      </c>
      <c r="O96" s="74">
        <f t="shared" si="71"/>
        <v>0</v>
      </c>
      <c r="P96" s="74">
        <f t="shared" si="71"/>
        <v>0</v>
      </c>
      <c r="Q96" s="74">
        <f t="shared" si="71"/>
        <v>0</v>
      </c>
      <c r="R96" s="74">
        <f t="shared" si="71"/>
        <v>0</v>
      </c>
      <c r="S96" s="74">
        <f t="shared" si="71"/>
        <v>0</v>
      </c>
      <c r="T96" s="74">
        <f t="shared" si="71"/>
        <v>0</v>
      </c>
      <c r="U96" s="74">
        <f t="shared" si="71"/>
        <v>0</v>
      </c>
      <c r="V96" s="74">
        <f t="shared" si="71"/>
        <v>0</v>
      </c>
      <c r="W96" s="74">
        <f t="shared" si="71"/>
        <v>0</v>
      </c>
      <c r="X96" s="74">
        <f t="shared" si="71"/>
        <v>0</v>
      </c>
      <c r="Y96" s="74">
        <f t="shared" si="71"/>
        <v>0</v>
      </c>
      <c r="Z96" s="74">
        <f t="shared" si="71"/>
        <v>0</v>
      </c>
    </row>
    <row r="97" hidden="1" outlineLevel="1">
      <c r="B97" s="89">
        <f t="shared" si="69"/>
        <v>4</v>
      </c>
      <c r="C97" s="45">
        <f t="shared" si="70"/>
        <v>-0.03988251981</v>
      </c>
      <c r="D97" s="16" t="s">
        <v>161</v>
      </c>
      <c r="E97" s="74">
        <f t="shared" si="58"/>
        <v>-3161770.581</v>
      </c>
      <c r="F97" s="74"/>
      <c r="G97" s="74">
        <f t="shared" ref="G97:Z97" si="72">IF(G$4&lt;=$B97,ABS(G$27)*-1+G$41,0)+IF($B97=G$4,G$72,0)</f>
        <v>-7851185</v>
      </c>
      <c r="H97" s="74">
        <f t="shared" si="72"/>
        <v>-16249926.67</v>
      </c>
      <c r="I97" s="74">
        <f t="shared" si="72"/>
        <v>-24798668.33</v>
      </c>
      <c r="J97" s="74">
        <f t="shared" si="72"/>
        <v>45738009.42</v>
      </c>
      <c r="K97" s="74">
        <f t="shared" si="72"/>
        <v>0</v>
      </c>
      <c r="L97" s="74">
        <f t="shared" si="72"/>
        <v>0</v>
      </c>
      <c r="M97" s="74">
        <f t="shared" si="72"/>
        <v>0</v>
      </c>
      <c r="N97" s="74">
        <f t="shared" si="72"/>
        <v>0</v>
      </c>
      <c r="O97" s="74">
        <f t="shared" si="72"/>
        <v>0</v>
      </c>
      <c r="P97" s="74">
        <f t="shared" si="72"/>
        <v>0</v>
      </c>
      <c r="Q97" s="74">
        <f t="shared" si="72"/>
        <v>0</v>
      </c>
      <c r="R97" s="74">
        <f t="shared" si="72"/>
        <v>0</v>
      </c>
      <c r="S97" s="74">
        <f t="shared" si="72"/>
        <v>0</v>
      </c>
      <c r="T97" s="74">
        <f t="shared" si="72"/>
        <v>0</v>
      </c>
      <c r="U97" s="74">
        <f t="shared" si="72"/>
        <v>0</v>
      </c>
      <c r="V97" s="74">
        <f t="shared" si="72"/>
        <v>0</v>
      </c>
      <c r="W97" s="74">
        <f t="shared" si="72"/>
        <v>0</v>
      </c>
      <c r="X97" s="74">
        <f t="shared" si="72"/>
        <v>0</v>
      </c>
      <c r="Y97" s="74">
        <f t="shared" si="72"/>
        <v>0</v>
      </c>
      <c r="Z97" s="74">
        <f t="shared" si="72"/>
        <v>0</v>
      </c>
    </row>
    <row r="98" hidden="1" outlineLevel="1">
      <c r="B98" s="89">
        <f t="shared" si="69"/>
        <v>5</v>
      </c>
      <c r="C98" s="45">
        <f t="shared" si="70"/>
        <v>-0.0007359083605</v>
      </c>
      <c r="D98" s="16" t="s">
        <v>161</v>
      </c>
      <c r="E98" s="74">
        <f t="shared" si="58"/>
        <v>-114095.9486</v>
      </c>
      <c r="F98" s="74"/>
      <c r="G98" s="74">
        <f t="shared" ref="G98:Z98" si="73">IF(G$4&lt;=$B98,ABS(G$27)*-1+G$41,0)+IF($B98=G$4,G$72,0)</f>
        <v>-7851185</v>
      </c>
      <c r="H98" s="74">
        <f t="shared" si="73"/>
        <v>-16249926.67</v>
      </c>
      <c r="I98" s="74">
        <f t="shared" si="73"/>
        <v>-24798668.33</v>
      </c>
      <c r="J98" s="74">
        <f t="shared" si="73"/>
        <v>-25377882.5</v>
      </c>
      <c r="K98" s="74">
        <f t="shared" si="73"/>
        <v>74163566.55</v>
      </c>
      <c r="L98" s="74">
        <f t="shared" si="73"/>
        <v>0</v>
      </c>
      <c r="M98" s="74">
        <f t="shared" si="73"/>
        <v>0</v>
      </c>
      <c r="N98" s="74">
        <f t="shared" si="73"/>
        <v>0</v>
      </c>
      <c r="O98" s="74">
        <f t="shared" si="73"/>
        <v>0</v>
      </c>
      <c r="P98" s="74">
        <f t="shared" si="73"/>
        <v>0</v>
      </c>
      <c r="Q98" s="74">
        <f t="shared" si="73"/>
        <v>0</v>
      </c>
      <c r="R98" s="74">
        <f t="shared" si="73"/>
        <v>0</v>
      </c>
      <c r="S98" s="74">
        <f t="shared" si="73"/>
        <v>0</v>
      </c>
      <c r="T98" s="74">
        <f t="shared" si="73"/>
        <v>0</v>
      </c>
      <c r="U98" s="74">
        <f t="shared" si="73"/>
        <v>0</v>
      </c>
      <c r="V98" s="74">
        <f t="shared" si="73"/>
        <v>0</v>
      </c>
      <c r="W98" s="74">
        <f t="shared" si="73"/>
        <v>0</v>
      </c>
      <c r="X98" s="74">
        <f t="shared" si="73"/>
        <v>0</v>
      </c>
      <c r="Y98" s="74">
        <f t="shared" si="73"/>
        <v>0</v>
      </c>
      <c r="Z98" s="74">
        <f t="shared" si="73"/>
        <v>0</v>
      </c>
    </row>
    <row r="99" hidden="1" outlineLevel="1">
      <c r="B99" s="89">
        <f t="shared" si="69"/>
        <v>6</v>
      </c>
      <c r="C99" s="45">
        <f t="shared" si="70"/>
        <v>0.02403671847</v>
      </c>
      <c r="D99" s="16" t="s">
        <v>161</v>
      </c>
      <c r="E99" s="74">
        <f t="shared" si="58"/>
        <v>6117999.784</v>
      </c>
      <c r="F99" s="74"/>
      <c r="G99" s="74">
        <f t="shared" ref="G99:Z99" si="74">IF(G$4&lt;=$B99,ABS(G$27)*-1+G$41,0)+IF($B99=G$4,G$72,0)</f>
        <v>-7851185</v>
      </c>
      <c r="H99" s="74">
        <f t="shared" si="74"/>
        <v>-16249926.67</v>
      </c>
      <c r="I99" s="74">
        <f t="shared" si="74"/>
        <v>-24798668.33</v>
      </c>
      <c r="J99" s="74">
        <f t="shared" si="74"/>
        <v>-25377882.5</v>
      </c>
      <c r="K99" s="74">
        <f t="shared" si="74"/>
        <v>-18392855</v>
      </c>
      <c r="L99" s="74">
        <f t="shared" si="74"/>
        <v>98788517.28</v>
      </c>
      <c r="M99" s="74">
        <f t="shared" si="74"/>
        <v>0</v>
      </c>
      <c r="N99" s="74">
        <f t="shared" si="74"/>
        <v>0</v>
      </c>
      <c r="O99" s="74">
        <f t="shared" si="74"/>
        <v>0</v>
      </c>
      <c r="P99" s="74">
        <f t="shared" si="74"/>
        <v>0</v>
      </c>
      <c r="Q99" s="74">
        <f t="shared" si="74"/>
        <v>0</v>
      </c>
      <c r="R99" s="74">
        <f t="shared" si="74"/>
        <v>0</v>
      </c>
      <c r="S99" s="74">
        <f t="shared" si="74"/>
        <v>0</v>
      </c>
      <c r="T99" s="74">
        <f t="shared" si="74"/>
        <v>0</v>
      </c>
      <c r="U99" s="74">
        <f t="shared" si="74"/>
        <v>0</v>
      </c>
      <c r="V99" s="74">
        <f t="shared" si="74"/>
        <v>0</v>
      </c>
      <c r="W99" s="74">
        <f t="shared" si="74"/>
        <v>0</v>
      </c>
      <c r="X99" s="74">
        <f t="shared" si="74"/>
        <v>0</v>
      </c>
      <c r="Y99" s="74">
        <f t="shared" si="74"/>
        <v>0</v>
      </c>
      <c r="Z99" s="74">
        <f t="shared" si="74"/>
        <v>0</v>
      </c>
    </row>
    <row r="100" hidden="1" outlineLevel="1">
      <c r="B100" s="89">
        <f t="shared" si="69"/>
        <v>7</v>
      </c>
      <c r="C100" s="45">
        <f t="shared" si="70"/>
        <v>0.03546312344</v>
      </c>
      <c r="D100" s="16" t="s">
        <v>161</v>
      </c>
      <c r="E100" s="74">
        <f t="shared" si="58"/>
        <v>12962074.33</v>
      </c>
      <c r="F100" s="74"/>
      <c r="G100" s="74">
        <f t="shared" ref="G100:Z100" si="75">IF(G$4&lt;=$B100,ABS(G$27)*-1+G$41,0)+IF($B100=G$4,G$72,0)</f>
        <v>-7851185</v>
      </c>
      <c r="H100" s="74">
        <f t="shared" si="75"/>
        <v>-16249926.67</v>
      </c>
      <c r="I100" s="74">
        <f t="shared" si="75"/>
        <v>-24798668.33</v>
      </c>
      <c r="J100" s="74">
        <f t="shared" si="75"/>
        <v>-25377882.5</v>
      </c>
      <c r="K100" s="74">
        <f t="shared" si="75"/>
        <v>-18392855</v>
      </c>
      <c r="L100" s="74">
        <f t="shared" si="75"/>
        <v>-5901190.833</v>
      </c>
      <c r="M100" s="74">
        <f t="shared" si="75"/>
        <v>111533782.7</v>
      </c>
      <c r="N100" s="74">
        <f t="shared" si="75"/>
        <v>0</v>
      </c>
      <c r="O100" s="74">
        <f t="shared" si="75"/>
        <v>0</v>
      </c>
      <c r="P100" s="74">
        <f t="shared" si="75"/>
        <v>0</v>
      </c>
      <c r="Q100" s="74">
        <f t="shared" si="75"/>
        <v>0</v>
      </c>
      <c r="R100" s="74">
        <f t="shared" si="75"/>
        <v>0</v>
      </c>
      <c r="S100" s="74">
        <f t="shared" si="75"/>
        <v>0</v>
      </c>
      <c r="T100" s="74">
        <f t="shared" si="75"/>
        <v>0</v>
      </c>
      <c r="U100" s="74">
        <f t="shared" si="75"/>
        <v>0</v>
      </c>
      <c r="V100" s="74">
        <f t="shared" si="75"/>
        <v>0</v>
      </c>
      <c r="W100" s="74">
        <f t="shared" si="75"/>
        <v>0</v>
      </c>
      <c r="X100" s="74">
        <f t="shared" si="75"/>
        <v>0</v>
      </c>
      <c r="Y100" s="74">
        <f t="shared" si="75"/>
        <v>0</v>
      </c>
      <c r="Z100" s="74">
        <f t="shared" si="75"/>
        <v>0</v>
      </c>
    </row>
    <row r="101" hidden="1" outlineLevel="1">
      <c r="B101" s="89">
        <f t="shared" si="69"/>
        <v>8</v>
      </c>
      <c r="C101" s="45">
        <f t="shared" si="70"/>
        <v>0.0413757706</v>
      </c>
      <c r="D101" s="16" t="s">
        <v>161</v>
      </c>
      <c r="E101" s="74">
        <f t="shared" si="58"/>
        <v>19732233.31</v>
      </c>
      <c r="F101" s="74"/>
      <c r="G101" s="74">
        <f t="shared" ref="G101:Z101" si="76">IF(G$4&lt;=$B101,ABS(G$27)*-1+G$41,0)+IF($B101=G$4,G$72,0)</f>
        <v>-7851185</v>
      </c>
      <c r="H101" s="74">
        <f t="shared" si="76"/>
        <v>-16249926.67</v>
      </c>
      <c r="I101" s="74">
        <f t="shared" si="76"/>
        <v>-24798668.33</v>
      </c>
      <c r="J101" s="74">
        <f t="shared" si="76"/>
        <v>-25377882.5</v>
      </c>
      <c r="K101" s="74">
        <f t="shared" si="76"/>
        <v>-18392855</v>
      </c>
      <c r="L101" s="74">
        <f t="shared" si="76"/>
        <v>-5901190.833</v>
      </c>
      <c r="M101" s="74">
        <f t="shared" si="76"/>
        <v>5740521.667</v>
      </c>
      <c r="N101" s="74">
        <f t="shared" si="76"/>
        <v>112563420</v>
      </c>
      <c r="O101" s="74">
        <f t="shared" si="76"/>
        <v>0</v>
      </c>
      <c r="P101" s="74">
        <f t="shared" si="76"/>
        <v>0</v>
      </c>
      <c r="Q101" s="74">
        <f t="shared" si="76"/>
        <v>0</v>
      </c>
      <c r="R101" s="74">
        <f t="shared" si="76"/>
        <v>0</v>
      </c>
      <c r="S101" s="74">
        <f t="shared" si="76"/>
        <v>0</v>
      </c>
      <c r="T101" s="74">
        <f t="shared" si="76"/>
        <v>0</v>
      </c>
      <c r="U101" s="74">
        <f t="shared" si="76"/>
        <v>0</v>
      </c>
      <c r="V101" s="74">
        <f t="shared" si="76"/>
        <v>0</v>
      </c>
      <c r="W101" s="74">
        <f t="shared" si="76"/>
        <v>0</v>
      </c>
      <c r="X101" s="74">
        <f t="shared" si="76"/>
        <v>0</v>
      </c>
      <c r="Y101" s="74">
        <f t="shared" si="76"/>
        <v>0</v>
      </c>
      <c r="Z101" s="74">
        <f t="shared" si="76"/>
        <v>0</v>
      </c>
    </row>
    <row r="102" hidden="1" outlineLevel="1">
      <c r="B102" s="89">
        <f t="shared" si="69"/>
        <v>9</v>
      </c>
      <c r="C102" s="45">
        <f t="shared" si="70"/>
        <v>0.06265361461</v>
      </c>
      <c r="D102" s="16" t="s">
        <v>161</v>
      </c>
      <c r="E102" s="74">
        <f t="shared" si="58"/>
        <v>38299635.79</v>
      </c>
      <c r="F102" s="74"/>
      <c r="G102" s="74">
        <f t="shared" ref="G102:Z102" si="77">IF(G$4&lt;=$B102,ABS(G$27)*-1+G$41,0)+IF($B102=G$4,G$72,0)</f>
        <v>-7851185</v>
      </c>
      <c r="H102" s="74">
        <f t="shared" si="77"/>
        <v>-16249926.67</v>
      </c>
      <c r="I102" s="74">
        <f t="shared" si="77"/>
        <v>-24798668.33</v>
      </c>
      <c r="J102" s="74">
        <f t="shared" si="77"/>
        <v>-25377882.5</v>
      </c>
      <c r="K102" s="74">
        <f t="shared" si="77"/>
        <v>-18392855</v>
      </c>
      <c r="L102" s="74">
        <f t="shared" si="77"/>
        <v>-5901190.833</v>
      </c>
      <c r="M102" s="74">
        <f t="shared" si="77"/>
        <v>5740521.667</v>
      </c>
      <c r="N102" s="74">
        <f t="shared" si="77"/>
        <v>10397206.67</v>
      </c>
      <c r="O102" s="74">
        <f t="shared" si="77"/>
        <v>120733615.8</v>
      </c>
      <c r="P102" s="74">
        <f t="shared" si="77"/>
        <v>0</v>
      </c>
      <c r="Q102" s="74">
        <f t="shared" si="77"/>
        <v>0</v>
      </c>
      <c r="R102" s="74">
        <f t="shared" si="77"/>
        <v>0</v>
      </c>
      <c r="S102" s="74">
        <f t="shared" si="77"/>
        <v>0</v>
      </c>
      <c r="T102" s="74">
        <f t="shared" si="77"/>
        <v>0</v>
      </c>
      <c r="U102" s="74">
        <f t="shared" si="77"/>
        <v>0</v>
      </c>
      <c r="V102" s="74">
        <f t="shared" si="77"/>
        <v>0</v>
      </c>
      <c r="W102" s="74">
        <f t="shared" si="77"/>
        <v>0</v>
      </c>
      <c r="X102" s="74">
        <f t="shared" si="77"/>
        <v>0</v>
      </c>
      <c r="Y102" s="74">
        <f t="shared" si="77"/>
        <v>0</v>
      </c>
      <c r="Z102" s="74">
        <f t="shared" si="77"/>
        <v>0</v>
      </c>
    </row>
    <row r="103" hidden="1" outlineLevel="1">
      <c r="B103" s="89">
        <f t="shared" si="69"/>
        <v>10</v>
      </c>
      <c r="C103" s="45">
        <f t="shared" si="70"/>
        <v>0.08627754889</v>
      </c>
      <c r="D103" s="16" t="s">
        <v>161</v>
      </c>
      <c r="E103" s="74">
        <f t="shared" si="58"/>
        <v>65146433.33</v>
      </c>
      <c r="F103" s="74"/>
      <c r="G103" s="74">
        <f t="shared" ref="G103:Z103" si="78">IF(G$4&lt;=$B103,ABS(G$27)*-1+G$41,0)+IF($B103=G$4,G$72,0)</f>
        <v>-7851185</v>
      </c>
      <c r="H103" s="74">
        <f t="shared" si="78"/>
        <v>-16249926.67</v>
      </c>
      <c r="I103" s="74">
        <f t="shared" si="78"/>
        <v>-24798668.33</v>
      </c>
      <c r="J103" s="74">
        <f t="shared" si="78"/>
        <v>-25377882.5</v>
      </c>
      <c r="K103" s="74">
        <f t="shared" si="78"/>
        <v>-18392855</v>
      </c>
      <c r="L103" s="74">
        <f t="shared" si="78"/>
        <v>-5901190.833</v>
      </c>
      <c r="M103" s="74">
        <f t="shared" si="78"/>
        <v>5740521.667</v>
      </c>
      <c r="N103" s="74">
        <f t="shared" si="78"/>
        <v>10397206.67</v>
      </c>
      <c r="O103" s="74">
        <f t="shared" si="78"/>
        <v>32752904.5</v>
      </c>
      <c r="P103" s="74">
        <f t="shared" si="78"/>
        <v>114827508.8</v>
      </c>
      <c r="Q103" s="74">
        <f t="shared" si="78"/>
        <v>0</v>
      </c>
      <c r="R103" s="74">
        <f t="shared" si="78"/>
        <v>0</v>
      </c>
      <c r="S103" s="74">
        <f t="shared" si="78"/>
        <v>0</v>
      </c>
      <c r="T103" s="74">
        <f t="shared" si="78"/>
        <v>0</v>
      </c>
      <c r="U103" s="74">
        <f t="shared" si="78"/>
        <v>0</v>
      </c>
      <c r="V103" s="74">
        <f t="shared" si="78"/>
        <v>0</v>
      </c>
      <c r="W103" s="74">
        <f t="shared" si="78"/>
        <v>0</v>
      </c>
      <c r="X103" s="74">
        <f t="shared" si="78"/>
        <v>0</v>
      </c>
      <c r="Y103" s="74">
        <f t="shared" si="78"/>
        <v>0</v>
      </c>
      <c r="Z103" s="74">
        <f t="shared" si="78"/>
        <v>0</v>
      </c>
    </row>
    <row r="104" hidden="1" outlineLevel="1">
      <c r="B104" s="89">
        <f t="shared" si="69"/>
        <v>11</v>
      </c>
      <c r="C104" s="45">
        <f t="shared" si="70"/>
        <v>0.1023796293</v>
      </c>
      <c r="D104" s="16" t="s">
        <v>161</v>
      </c>
      <c r="E104" s="74">
        <f t="shared" si="58"/>
        <v>90065018.26</v>
      </c>
      <c r="F104" s="74"/>
      <c r="G104" s="74">
        <f t="shared" ref="G104:Z104" si="79">IF(G$4&lt;=$B104,ABS(G$27)*-1+G$41,0)+IF($B104=G$4,G$72,0)</f>
        <v>-7851185</v>
      </c>
      <c r="H104" s="74">
        <f t="shared" si="79"/>
        <v>-16249926.67</v>
      </c>
      <c r="I104" s="74">
        <f t="shared" si="79"/>
        <v>-24798668.33</v>
      </c>
      <c r="J104" s="74">
        <f t="shared" si="79"/>
        <v>-25377882.5</v>
      </c>
      <c r="K104" s="74">
        <f t="shared" si="79"/>
        <v>-18392855</v>
      </c>
      <c r="L104" s="74">
        <f t="shared" si="79"/>
        <v>-5901190.833</v>
      </c>
      <c r="M104" s="74">
        <f t="shared" si="79"/>
        <v>5740521.667</v>
      </c>
      <c r="N104" s="74">
        <f t="shared" si="79"/>
        <v>10397206.67</v>
      </c>
      <c r="O104" s="74">
        <f t="shared" si="79"/>
        <v>32752904.5</v>
      </c>
      <c r="P104" s="74">
        <f t="shared" si="79"/>
        <v>47200113.83</v>
      </c>
      <c r="Q104" s="74">
        <f t="shared" si="79"/>
        <v>92545979.92</v>
      </c>
      <c r="R104" s="74">
        <f t="shared" si="79"/>
        <v>0</v>
      </c>
      <c r="S104" s="74">
        <f t="shared" si="79"/>
        <v>0</v>
      </c>
      <c r="T104" s="74">
        <f t="shared" si="79"/>
        <v>0</v>
      </c>
      <c r="U104" s="74">
        <f t="shared" si="79"/>
        <v>0</v>
      </c>
      <c r="V104" s="74">
        <f t="shared" si="79"/>
        <v>0</v>
      </c>
      <c r="W104" s="74">
        <f t="shared" si="79"/>
        <v>0</v>
      </c>
      <c r="X104" s="74">
        <f t="shared" si="79"/>
        <v>0</v>
      </c>
      <c r="Y104" s="74">
        <f t="shared" si="79"/>
        <v>0</v>
      </c>
      <c r="Z104" s="74">
        <f t="shared" si="79"/>
        <v>0</v>
      </c>
    </row>
    <row r="105" hidden="1" outlineLevel="1">
      <c r="B105" s="89">
        <f t="shared" si="69"/>
        <v>12</v>
      </c>
      <c r="C105" s="45">
        <f t="shared" si="70"/>
        <v>0.1143445431</v>
      </c>
      <c r="D105" s="16" t="s">
        <v>161</v>
      </c>
      <c r="E105" s="74">
        <f t="shared" si="58"/>
        <v>112181766.2</v>
      </c>
      <c r="F105" s="74"/>
      <c r="G105" s="74">
        <f t="shared" ref="G105:Z105" si="80">IF(G$4&lt;=$B105,ABS(G$27)*-1+G$41,0)+IF($B105=G$4,G$72,0)</f>
        <v>-7851185</v>
      </c>
      <c r="H105" s="74">
        <f t="shared" si="80"/>
        <v>-16249926.67</v>
      </c>
      <c r="I105" s="74">
        <f t="shared" si="80"/>
        <v>-24798668.33</v>
      </c>
      <c r="J105" s="74">
        <f t="shared" si="80"/>
        <v>-25377882.5</v>
      </c>
      <c r="K105" s="74">
        <f t="shared" si="80"/>
        <v>-18392855</v>
      </c>
      <c r="L105" s="74">
        <f t="shared" si="80"/>
        <v>-5901190.833</v>
      </c>
      <c r="M105" s="74">
        <f t="shared" si="80"/>
        <v>5740521.667</v>
      </c>
      <c r="N105" s="74">
        <f t="shared" si="80"/>
        <v>10397206.67</v>
      </c>
      <c r="O105" s="74">
        <f t="shared" si="80"/>
        <v>32752904.5</v>
      </c>
      <c r="P105" s="74">
        <f t="shared" si="80"/>
        <v>47200113.83</v>
      </c>
      <c r="Q105" s="74">
        <f t="shared" si="80"/>
        <v>51676724.87</v>
      </c>
      <c r="R105" s="74">
        <f t="shared" si="80"/>
        <v>62986003.01</v>
      </c>
      <c r="S105" s="74">
        <f t="shared" si="80"/>
        <v>0</v>
      </c>
      <c r="T105" s="74">
        <f t="shared" si="80"/>
        <v>0</v>
      </c>
      <c r="U105" s="74">
        <f t="shared" si="80"/>
        <v>0</v>
      </c>
      <c r="V105" s="74">
        <f t="shared" si="80"/>
        <v>0</v>
      </c>
      <c r="W105" s="74">
        <f t="shared" si="80"/>
        <v>0</v>
      </c>
      <c r="X105" s="74">
        <f t="shared" si="80"/>
        <v>0</v>
      </c>
      <c r="Y105" s="74">
        <f t="shared" si="80"/>
        <v>0</v>
      </c>
      <c r="Z105" s="74">
        <f t="shared" si="80"/>
        <v>0</v>
      </c>
    </row>
    <row r="106" hidden="1" outlineLevel="1">
      <c r="B106" s="89">
        <f t="shared" si="69"/>
        <v>13</v>
      </c>
      <c r="C106" s="45">
        <f t="shared" si="70"/>
        <v>0.1220790827</v>
      </c>
      <c r="D106" s="16" t="s">
        <v>161</v>
      </c>
      <c r="E106" s="74">
        <f t="shared" si="58"/>
        <v>128382487.1</v>
      </c>
      <c r="F106" s="74"/>
      <c r="G106" s="74">
        <f t="shared" ref="G106:Z106" si="81">IF(G$4&lt;=$B106,ABS(G$27)*-1+G$41,0)+IF($B106=G$4,G$72,0)</f>
        <v>-7851185</v>
      </c>
      <c r="H106" s="74">
        <f t="shared" si="81"/>
        <v>-16249926.67</v>
      </c>
      <c r="I106" s="74">
        <f t="shared" si="81"/>
        <v>-24798668.33</v>
      </c>
      <c r="J106" s="74">
        <f t="shared" si="81"/>
        <v>-25377882.5</v>
      </c>
      <c r="K106" s="74">
        <f t="shared" si="81"/>
        <v>-18392855</v>
      </c>
      <c r="L106" s="74">
        <f t="shared" si="81"/>
        <v>-5901190.833</v>
      </c>
      <c r="M106" s="74">
        <f t="shared" si="81"/>
        <v>5740521.667</v>
      </c>
      <c r="N106" s="74">
        <f t="shared" si="81"/>
        <v>10397206.67</v>
      </c>
      <c r="O106" s="74">
        <f t="shared" si="81"/>
        <v>32752904.5</v>
      </c>
      <c r="P106" s="74">
        <f t="shared" si="81"/>
        <v>47200113.83</v>
      </c>
      <c r="Q106" s="74">
        <f t="shared" si="81"/>
        <v>51676724.87</v>
      </c>
      <c r="R106" s="74">
        <f t="shared" si="81"/>
        <v>46036454.4</v>
      </c>
      <c r="S106" s="74">
        <f t="shared" si="81"/>
        <v>33150269.47</v>
      </c>
      <c r="T106" s="74">
        <f t="shared" si="81"/>
        <v>0</v>
      </c>
      <c r="U106" s="74">
        <f t="shared" si="81"/>
        <v>0</v>
      </c>
      <c r="V106" s="74">
        <f t="shared" si="81"/>
        <v>0</v>
      </c>
      <c r="W106" s="74">
        <f t="shared" si="81"/>
        <v>0</v>
      </c>
      <c r="X106" s="74">
        <f t="shared" si="81"/>
        <v>0</v>
      </c>
      <c r="Y106" s="74">
        <f t="shared" si="81"/>
        <v>0</v>
      </c>
      <c r="Z106" s="74">
        <f t="shared" si="81"/>
        <v>0</v>
      </c>
    </row>
    <row r="107" hidden="1" outlineLevel="1">
      <c r="B107" s="89">
        <f t="shared" si="69"/>
        <v>14</v>
      </c>
      <c r="C107" s="45">
        <f t="shared" si="70"/>
        <v>0.1283803785</v>
      </c>
      <c r="D107" s="16" t="s">
        <v>161</v>
      </c>
      <c r="E107" s="74">
        <f t="shared" si="58"/>
        <v>142625405.3</v>
      </c>
      <c r="F107" s="74"/>
      <c r="G107" s="74">
        <f t="shared" ref="G107:Z107" si="82">IF(G$4&lt;=$B107,ABS(G$27)*-1+G$41,0)+IF($B107=G$4,G$72,0)</f>
        <v>-7851185</v>
      </c>
      <c r="H107" s="74">
        <f t="shared" si="82"/>
        <v>-16249926.67</v>
      </c>
      <c r="I107" s="74">
        <f t="shared" si="82"/>
        <v>-24798668.33</v>
      </c>
      <c r="J107" s="74">
        <f t="shared" si="82"/>
        <v>-25377882.5</v>
      </c>
      <c r="K107" s="74">
        <f t="shared" si="82"/>
        <v>-18392855</v>
      </c>
      <c r="L107" s="74">
        <f t="shared" si="82"/>
        <v>-5901190.833</v>
      </c>
      <c r="M107" s="74">
        <f t="shared" si="82"/>
        <v>5740521.667</v>
      </c>
      <c r="N107" s="74">
        <f t="shared" si="82"/>
        <v>10397206.67</v>
      </c>
      <c r="O107" s="74">
        <f t="shared" si="82"/>
        <v>32752904.5</v>
      </c>
      <c r="P107" s="74">
        <f t="shared" si="82"/>
        <v>47200113.83</v>
      </c>
      <c r="Q107" s="74">
        <f t="shared" si="82"/>
        <v>51676724.87</v>
      </c>
      <c r="R107" s="74">
        <f t="shared" si="82"/>
        <v>46036454.4</v>
      </c>
      <c r="S107" s="74">
        <f t="shared" si="82"/>
        <v>31709636.27</v>
      </c>
      <c r="T107" s="74">
        <f t="shared" si="82"/>
        <v>15683551.47</v>
      </c>
      <c r="U107" s="74">
        <f t="shared" si="82"/>
        <v>0</v>
      </c>
      <c r="V107" s="74">
        <f t="shared" si="82"/>
        <v>0</v>
      </c>
      <c r="W107" s="74">
        <f t="shared" si="82"/>
        <v>0</v>
      </c>
      <c r="X107" s="74">
        <f t="shared" si="82"/>
        <v>0</v>
      </c>
      <c r="Y107" s="74">
        <f t="shared" si="82"/>
        <v>0</v>
      </c>
      <c r="Z107" s="74">
        <f t="shared" si="82"/>
        <v>0</v>
      </c>
    </row>
    <row r="108" hidden="1" outlineLevel="1">
      <c r="B108" s="89">
        <f t="shared" si="69"/>
        <v>15</v>
      </c>
      <c r="C108" s="45">
        <f t="shared" si="70"/>
        <v>0.1284370692</v>
      </c>
      <c r="D108" s="16" t="s">
        <v>161</v>
      </c>
      <c r="E108" s="74">
        <f t="shared" si="58"/>
        <v>142756672</v>
      </c>
      <c r="F108" s="74"/>
      <c r="G108" s="74">
        <f t="shared" ref="G108:Z108" si="83">IF(G$4&lt;=$B108,ABS(G$27)*-1+G$41,0)+IF($B108=G$4,G$72,0)</f>
        <v>-7851185</v>
      </c>
      <c r="H108" s="74">
        <f t="shared" si="83"/>
        <v>-16249926.67</v>
      </c>
      <c r="I108" s="74">
        <f t="shared" si="83"/>
        <v>-24798668.33</v>
      </c>
      <c r="J108" s="74">
        <f t="shared" si="83"/>
        <v>-25377882.5</v>
      </c>
      <c r="K108" s="74">
        <f t="shared" si="83"/>
        <v>-18392855</v>
      </c>
      <c r="L108" s="74">
        <f t="shared" si="83"/>
        <v>-5901190.833</v>
      </c>
      <c r="M108" s="74">
        <f t="shared" si="83"/>
        <v>5740521.667</v>
      </c>
      <c r="N108" s="74">
        <f t="shared" si="83"/>
        <v>10397206.67</v>
      </c>
      <c r="O108" s="74">
        <f t="shared" si="83"/>
        <v>32752904.5</v>
      </c>
      <c r="P108" s="74">
        <f t="shared" si="83"/>
        <v>47200113.83</v>
      </c>
      <c r="Q108" s="74">
        <f t="shared" si="83"/>
        <v>51676724.87</v>
      </c>
      <c r="R108" s="74">
        <f t="shared" si="83"/>
        <v>46036454.4</v>
      </c>
      <c r="S108" s="74">
        <f t="shared" si="83"/>
        <v>31709636.27</v>
      </c>
      <c r="T108" s="74">
        <f t="shared" si="83"/>
        <v>15814818.13</v>
      </c>
      <c r="U108" s="74">
        <f t="shared" si="83"/>
        <v>0.00000001396983862</v>
      </c>
      <c r="V108" s="74">
        <f t="shared" si="83"/>
        <v>0</v>
      </c>
      <c r="W108" s="74">
        <f t="shared" si="83"/>
        <v>0</v>
      </c>
      <c r="X108" s="74">
        <f t="shared" si="83"/>
        <v>0</v>
      </c>
      <c r="Y108" s="74">
        <f t="shared" si="83"/>
        <v>0</v>
      </c>
      <c r="Z108" s="74">
        <f t="shared" si="83"/>
        <v>0</v>
      </c>
    </row>
    <row r="109" hidden="1" outlineLevel="1">
      <c r="B109" s="89">
        <f t="shared" si="69"/>
        <v>16</v>
      </c>
      <c r="C109" s="45">
        <f t="shared" si="70"/>
        <v>0.1284370692</v>
      </c>
      <c r="D109" s="16" t="s">
        <v>161</v>
      </c>
      <c r="E109" s="74">
        <f t="shared" si="58"/>
        <v>142756672</v>
      </c>
      <c r="F109" s="74"/>
      <c r="G109" s="74">
        <f t="shared" ref="G109:Z109" si="84">IF(G$4&lt;=$B109,ABS(G$27)*-1+G$41,0)+IF($B109=G$4,G$72,0)</f>
        <v>-7851185</v>
      </c>
      <c r="H109" s="74">
        <f t="shared" si="84"/>
        <v>-16249926.67</v>
      </c>
      <c r="I109" s="74">
        <f t="shared" si="84"/>
        <v>-24798668.33</v>
      </c>
      <c r="J109" s="74">
        <f t="shared" si="84"/>
        <v>-25377882.5</v>
      </c>
      <c r="K109" s="74">
        <f t="shared" si="84"/>
        <v>-18392855</v>
      </c>
      <c r="L109" s="74">
        <f t="shared" si="84"/>
        <v>-5901190.833</v>
      </c>
      <c r="M109" s="74">
        <f t="shared" si="84"/>
        <v>5740521.667</v>
      </c>
      <c r="N109" s="74">
        <f t="shared" si="84"/>
        <v>10397206.67</v>
      </c>
      <c r="O109" s="74">
        <f t="shared" si="84"/>
        <v>32752904.5</v>
      </c>
      <c r="P109" s="74">
        <f t="shared" si="84"/>
        <v>47200113.83</v>
      </c>
      <c r="Q109" s="74">
        <f t="shared" si="84"/>
        <v>51676724.87</v>
      </c>
      <c r="R109" s="74">
        <f t="shared" si="84"/>
        <v>46036454.4</v>
      </c>
      <c r="S109" s="74">
        <f t="shared" si="84"/>
        <v>31709636.27</v>
      </c>
      <c r="T109" s="74">
        <f t="shared" si="84"/>
        <v>15814818.13</v>
      </c>
      <c r="U109" s="74">
        <f t="shared" si="84"/>
        <v>0</v>
      </c>
      <c r="V109" s="74">
        <f t="shared" si="84"/>
        <v>0.00000001396983862</v>
      </c>
      <c r="W109" s="74">
        <f t="shared" si="84"/>
        <v>0</v>
      </c>
      <c r="X109" s="74">
        <f t="shared" si="84"/>
        <v>0</v>
      </c>
      <c r="Y109" s="74">
        <f t="shared" si="84"/>
        <v>0</v>
      </c>
      <c r="Z109" s="74">
        <f t="shared" si="84"/>
        <v>0</v>
      </c>
    </row>
    <row r="110" hidden="1" outlineLevel="1">
      <c r="B110" s="89">
        <f t="shared" si="69"/>
        <v>17</v>
      </c>
      <c r="C110" s="45">
        <f t="shared" si="70"/>
        <v>0.1284370692</v>
      </c>
      <c r="D110" s="16" t="s">
        <v>161</v>
      </c>
      <c r="E110" s="74">
        <f t="shared" si="58"/>
        <v>142756672</v>
      </c>
      <c r="F110" s="74"/>
      <c r="G110" s="74">
        <f t="shared" ref="G110:Z110" si="85">IF(G$4&lt;=$B110,ABS(G$27)*-1+G$41,0)+IF($B110=G$4,G$72,0)</f>
        <v>-7851185</v>
      </c>
      <c r="H110" s="74">
        <f t="shared" si="85"/>
        <v>-16249926.67</v>
      </c>
      <c r="I110" s="74">
        <f t="shared" si="85"/>
        <v>-24798668.33</v>
      </c>
      <c r="J110" s="74">
        <f t="shared" si="85"/>
        <v>-25377882.5</v>
      </c>
      <c r="K110" s="74">
        <f t="shared" si="85"/>
        <v>-18392855</v>
      </c>
      <c r="L110" s="74">
        <f t="shared" si="85"/>
        <v>-5901190.833</v>
      </c>
      <c r="M110" s="74">
        <f t="shared" si="85"/>
        <v>5740521.667</v>
      </c>
      <c r="N110" s="74">
        <f t="shared" si="85"/>
        <v>10397206.67</v>
      </c>
      <c r="O110" s="74">
        <f t="shared" si="85"/>
        <v>32752904.5</v>
      </c>
      <c r="P110" s="74">
        <f t="shared" si="85"/>
        <v>47200113.83</v>
      </c>
      <c r="Q110" s="74">
        <f t="shared" si="85"/>
        <v>51676724.87</v>
      </c>
      <c r="R110" s="74">
        <f t="shared" si="85"/>
        <v>46036454.4</v>
      </c>
      <c r="S110" s="74">
        <f t="shared" si="85"/>
        <v>31709636.27</v>
      </c>
      <c r="T110" s="74">
        <f t="shared" si="85"/>
        <v>15814818.13</v>
      </c>
      <c r="U110" s="74">
        <f t="shared" si="85"/>
        <v>0</v>
      </c>
      <c r="V110" s="74">
        <f t="shared" si="85"/>
        <v>0</v>
      </c>
      <c r="W110" s="74">
        <f t="shared" si="85"/>
        <v>0.00000001396983862</v>
      </c>
      <c r="X110" s="74">
        <f t="shared" si="85"/>
        <v>0</v>
      </c>
      <c r="Y110" s="74">
        <f t="shared" si="85"/>
        <v>0</v>
      </c>
      <c r="Z110" s="74">
        <f t="shared" si="85"/>
        <v>0</v>
      </c>
    </row>
    <row r="111" hidden="1" outlineLevel="1">
      <c r="B111" s="89">
        <f t="shared" si="69"/>
        <v>18</v>
      </c>
      <c r="C111" s="45">
        <f t="shared" si="70"/>
        <v>0.1284370692</v>
      </c>
      <c r="D111" s="16" t="s">
        <v>161</v>
      </c>
      <c r="E111" s="74">
        <f t="shared" si="58"/>
        <v>142756672</v>
      </c>
      <c r="F111" s="74"/>
      <c r="G111" s="74">
        <f t="shared" ref="G111:Z111" si="86">IF(G$4&lt;=$B111,ABS(G$27)*-1+G$41,0)+IF($B111=G$4,G$72,0)</f>
        <v>-7851185</v>
      </c>
      <c r="H111" s="74">
        <f t="shared" si="86"/>
        <v>-16249926.67</v>
      </c>
      <c r="I111" s="74">
        <f t="shared" si="86"/>
        <v>-24798668.33</v>
      </c>
      <c r="J111" s="74">
        <f t="shared" si="86"/>
        <v>-25377882.5</v>
      </c>
      <c r="K111" s="74">
        <f t="shared" si="86"/>
        <v>-18392855</v>
      </c>
      <c r="L111" s="74">
        <f t="shared" si="86"/>
        <v>-5901190.833</v>
      </c>
      <c r="M111" s="74">
        <f t="shared" si="86"/>
        <v>5740521.667</v>
      </c>
      <c r="N111" s="74">
        <f t="shared" si="86"/>
        <v>10397206.67</v>
      </c>
      <c r="O111" s="74">
        <f t="shared" si="86"/>
        <v>32752904.5</v>
      </c>
      <c r="P111" s="74">
        <f t="shared" si="86"/>
        <v>47200113.83</v>
      </c>
      <c r="Q111" s="74">
        <f t="shared" si="86"/>
        <v>51676724.87</v>
      </c>
      <c r="R111" s="74">
        <f t="shared" si="86"/>
        <v>46036454.4</v>
      </c>
      <c r="S111" s="74">
        <f t="shared" si="86"/>
        <v>31709636.27</v>
      </c>
      <c r="T111" s="74">
        <f t="shared" si="86"/>
        <v>15814818.13</v>
      </c>
      <c r="U111" s="74">
        <f t="shared" si="86"/>
        <v>0</v>
      </c>
      <c r="V111" s="74">
        <f t="shared" si="86"/>
        <v>0</v>
      </c>
      <c r="W111" s="74">
        <f t="shared" si="86"/>
        <v>0</v>
      </c>
      <c r="X111" s="74">
        <f t="shared" si="86"/>
        <v>0.00000001396983862</v>
      </c>
      <c r="Y111" s="74">
        <f t="shared" si="86"/>
        <v>0</v>
      </c>
      <c r="Z111" s="74">
        <f t="shared" si="86"/>
        <v>0</v>
      </c>
    </row>
    <row r="112" hidden="1" outlineLevel="1">
      <c r="B112" s="89">
        <f t="shared" si="69"/>
        <v>19</v>
      </c>
      <c r="C112" s="45">
        <f t="shared" si="70"/>
        <v>0.1284370692</v>
      </c>
      <c r="D112" s="16" t="s">
        <v>161</v>
      </c>
      <c r="E112" s="74">
        <f t="shared" si="58"/>
        <v>142756672</v>
      </c>
      <c r="F112" s="74"/>
      <c r="G112" s="74">
        <f t="shared" ref="G112:Z112" si="87">IF(G$4&lt;=$B112,ABS(G$27)*-1+G$41,0)+IF($B112=G$4,G$72,0)</f>
        <v>-7851185</v>
      </c>
      <c r="H112" s="74">
        <f t="shared" si="87"/>
        <v>-16249926.67</v>
      </c>
      <c r="I112" s="74">
        <f t="shared" si="87"/>
        <v>-24798668.33</v>
      </c>
      <c r="J112" s="74">
        <f t="shared" si="87"/>
        <v>-25377882.5</v>
      </c>
      <c r="K112" s="74">
        <f t="shared" si="87"/>
        <v>-18392855</v>
      </c>
      <c r="L112" s="74">
        <f t="shared" si="87"/>
        <v>-5901190.833</v>
      </c>
      <c r="M112" s="74">
        <f t="shared" si="87"/>
        <v>5740521.667</v>
      </c>
      <c r="N112" s="74">
        <f t="shared" si="87"/>
        <v>10397206.67</v>
      </c>
      <c r="O112" s="74">
        <f t="shared" si="87"/>
        <v>32752904.5</v>
      </c>
      <c r="P112" s="74">
        <f t="shared" si="87"/>
        <v>47200113.83</v>
      </c>
      <c r="Q112" s="74">
        <f t="shared" si="87"/>
        <v>51676724.87</v>
      </c>
      <c r="R112" s="74">
        <f t="shared" si="87"/>
        <v>46036454.4</v>
      </c>
      <c r="S112" s="74">
        <f t="shared" si="87"/>
        <v>31709636.27</v>
      </c>
      <c r="T112" s="74">
        <f t="shared" si="87"/>
        <v>15814818.13</v>
      </c>
      <c r="U112" s="74">
        <f t="shared" si="87"/>
        <v>0</v>
      </c>
      <c r="V112" s="74">
        <f t="shared" si="87"/>
        <v>0</v>
      </c>
      <c r="W112" s="74">
        <f t="shared" si="87"/>
        <v>0</v>
      </c>
      <c r="X112" s="74">
        <f t="shared" si="87"/>
        <v>0</v>
      </c>
      <c r="Y112" s="74">
        <f t="shared" si="87"/>
        <v>0.00000001396983862</v>
      </c>
      <c r="Z112" s="74">
        <f t="shared" si="87"/>
        <v>0</v>
      </c>
    </row>
    <row r="113" hidden="1" outlineLevel="1">
      <c r="B113" s="89">
        <f t="shared" si="69"/>
        <v>20</v>
      </c>
      <c r="C113" s="45">
        <f t="shared" si="70"/>
        <v>0.1284370692</v>
      </c>
      <c r="D113" s="16" t="s">
        <v>161</v>
      </c>
      <c r="E113" s="74">
        <f t="shared" si="58"/>
        <v>142756672</v>
      </c>
      <c r="F113" s="74"/>
      <c r="G113" s="74">
        <f t="shared" ref="G113:Z113" si="88">IF(G$4&lt;=$B113,ABS(G$27)*-1+G$41,0)+IF($B113=G$4,G$72,0)</f>
        <v>-7851185</v>
      </c>
      <c r="H113" s="74">
        <f t="shared" si="88"/>
        <v>-16249926.67</v>
      </c>
      <c r="I113" s="74">
        <f t="shared" si="88"/>
        <v>-24798668.33</v>
      </c>
      <c r="J113" s="74">
        <f t="shared" si="88"/>
        <v>-25377882.5</v>
      </c>
      <c r="K113" s="74">
        <f t="shared" si="88"/>
        <v>-18392855</v>
      </c>
      <c r="L113" s="74">
        <f t="shared" si="88"/>
        <v>-5901190.833</v>
      </c>
      <c r="M113" s="74">
        <f t="shared" si="88"/>
        <v>5740521.667</v>
      </c>
      <c r="N113" s="74">
        <f t="shared" si="88"/>
        <v>10397206.67</v>
      </c>
      <c r="O113" s="74">
        <f t="shared" si="88"/>
        <v>32752904.5</v>
      </c>
      <c r="P113" s="74">
        <f t="shared" si="88"/>
        <v>47200113.83</v>
      </c>
      <c r="Q113" s="74">
        <f t="shared" si="88"/>
        <v>51676724.87</v>
      </c>
      <c r="R113" s="74">
        <f t="shared" si="88"/>
        <v>46036454.4</v>
      </c>
      <c r="S113" s="74">
        <f t="shared" si="88"/>
        <v>31709636.27</v>
      </c>
      <c r="T113" s="74">
        <f t="shared" si="88"/>
        <v>15814818.13</v>
      </c>
      <c r="U113" s="74">
        <f t="shared" si="88"/>
        <v>0</v>
      </c>
      <c r="V113" s="74">
        <f t="shared" si="88"/>
        <v>0</v>
      </c>
      <c r="W113" s="74">
        <f t="shared" si="88"/>
        <v>0</v>
      </c>
      <c r="X113" s="74">
        <f t="shared" si="88"/>
        <v>0</v>
      </c>
      <c r="Y113" s="74">
        <f t="shared" si="88"/>
        <v>0</v>
      </c>
      <c r="Z113" s="74">
        <f t="shared" si="88"/>
        <v>0.00000001396983862</v>
      </c>
    </row>
    <row r="114">
      <c r="C114" s="16"/>
      <c r="D114" s="16"/>
      <c r="E114" s="74"/>
      <c r="F114" s="74"/>
      <c r="G114" s="74"/>
      <c r="H114" s="74"/>
      <c r="I114" s="74"/>
      <c r="J114" s="74"/>
      <c r="K114" s="74"/>
      <c r="L114" s="74"/>
      <c r="M114" s="74"/>
      <c r="N114" s="74"/>
      <c r="O114" s="74"/>
      <c r="P114" s="74"/>
      <c r="Q114" s="74"/>
      <c r="R114" s="74"/>
      <c r="S114" s="74"/>
      <c r="T114" s="74"/>
      <c r="U114" s="74"/>
      <c r="V114" s="74"/>
      <c r="W114" s="74"/>
      <c r="X114" s="74"/>
      <c r="Y114" s="74"/>
      <c r="Z114" s="74"/>
    </row>
    <row r="115">
      <c r="B115" s="64" t="s">
        <v>213</v>
      </c>
      <c r="C115" s="16"/>
      <c r="D115" s="16"/>
      <c r="E115" s="74"/>
      <c r="F115" s="45"/>
      <c r="G115" s="74"/>
      <c r="H115" s="74"/>
      <c r="I115" s="74"/>
      <c r="J115" s="74"/>
      <c r="K115" s="74"/>
      <c r="L115" s="74"/>
      <c r="M115" s="74"/>
      <c r="N115" s="74"/>
      <c r="O115" s="74"/>
      <c r="P115" s="74"/>
      <c r="Q115" s="74"/>
      <c r="R115" s="74"/>
      <c r="S115" s="74"/>
      <c r="T115" s="74"/>
      <c r="U115" s="74"/>
      <c r="V115" s="74"/>
      <c r="W115" s="74"/>
      <c r="X115" s="74"/>
      <c r="Y115" s="74"/>
      <c r="Z115" s="74"/>
    </row>
    <row r="116">
      <c r="B116" s="16" t="s">
        <v>214</v>
      </c>
      <c r="C116" s="16" t="s">
        <v>215</v>
      </c>
      <c r="D116" s="16" t="s">
        <v>161</v>
      </c>
      <c r="E116" s="74">
        <f t="shared" ref="E116:E121" si="90">if(D116="sum",sum(G116:Z116),if(D116="final",Z116,if(D116="initial",G116,if(D116="average",average(G116:Z116),0))))</f>
        <v>278445840</v>
      </c>
      <c r="F116" s="45"/>
      <c r="G116" s="77">
        <f t="shared" ref="G116:Z116" si="89">sum(G18,G19,G20,G22,G23)</f>
        <v>0</v>
      </c>
      <c r="H116" s="77">
        <f t="shared" si="89"/>
        <v>0</v>
      </c>
      <c r="I116" s="77">
        <f t="shared" si="89"/>
        <v>0</v>
      </c>
      <c r="J116" s="77">
        <f t="shared" si="89"/>
        <v>359342.5</v>
      </c>
      <c r="K116" s="77">
        <f t="shared" si="89"/>
        <v>359342.5</v>
      </c>
      <c r="L116" s="77">
        <f t="shared" si="89"/>
        <v>709606.6667</v>
      </c>
      <c r="M116" s="77">
        <f t="shared" si="89"/>
        <v>5740521.667</v>
      </c>
      <c r="N116" s="77">
        <f t="shared" si="89"/>
        <v>10397206.67</v>
      </c>
      <c r="O116" s="77">
        <f t="shared" si="89"/>
        <v>32752904.5</v>
      </c>
      <c r="P116" s="77">
        <f t="shared" si="89"/>
        <v>47200113.83</v>
      </c>
      <c r="Q116" s="77">
        <f t="shared" si="89"/>
        <v>63975665.67</v>
      </c>
      <c r="R116" s="77">
        <f t="shared" si="89"/>
        <v>57545568</v>
      </c>
      <c r="S116" s="77">
        <f t="shared" si="89"/>
        <v>39637045.33</v>
      </c>
      <c r="T116" s="77">
        <f t="shared" si="89"/>
        <v>19768522.67</v>
      </c>
      <c r="U116" s="77">
        <f t="shared" si="89"/>
        <v>0</v>
      </c>
      <c r="V116" s="77">
        <f t="shared" si="89"/>
        <v>0</v>
      </c>
      <c r="W116" s="77">
        <f t="shared" si="89"/>
        <v>0</v>
      </c>
      <c r="X116" s="77">
        <f t="shared" si="89"/>
        <v>0</v>
      </c>
      <c r="Y116" s="77">
        <f t="shared" si="89"/>
        <v>0</v>
      </c>
      <c r="Z116" s="77">
        <f t="shared" si="89"/>
        <v>0</v>
      </c>
    </row>
    <row r="117">
      <c r="A117" s="39"/>
      <c r="B117" s="40" t="s">
        <v>216</v>
      </c>
      <c r="C117" s="40" t="s">
        <v>217</v>
      </c>
      <c r="D117" s="40" t="s">
        <v>161</v>
      </c>
      <c r="E117" s="77">
        <f t="shared" si="90"/>
        <v>100000000</v>
      </c>
      <c r="F117" s="78"/>
      <c r="G117" s="77">
        <f t="shared" ref="G117:Z117" si="91">min(G74-F118,G116)</f>
        <v>0</v>
      </c>
      <c r="H117" s="77">
        <f t="shared" si="91"/>
        <v>0</v>
      </c>
      <c r="I117" s="77">
        <f t="shared" si="91"/>
        <v>0</v>
      </c>
      <c r="J117" s="77">
        <f t="shared" si="91"/>
        <v>359342.5</v>
      </c>
      <c r="K117" s="77">
        <f t="shared" si="91"/>
        <v>359342.5</v>
      </c>
      <c r="L117" s="77">
        <f t="shared" si="91"/>
        <v>709606.6667</v>
      </c>
      <c r="M117" s="77">
        <f t="shared" si="91"/>
        <v>5740521.667</v>
      </c>
      <c r="N117" s="77">
        <f t="shared" si="91"/>
        <v>10397206.67</v>
      </c>
      <c r="O117" s="77">
        <f t="shared" si="91"/>
        <v>32752904.5</v>
      </c>
      <c r="P117" s="77">
        <f t="shared" si="91"/>
        <v>47200113.83</v>
      </c>
      <c r="Q117" s="77">
        <f t="shared" si="91"/>
        <v>2480961.667</v>
      </c>
      <c r="R117" s="77">
        <f t="shared" si="91"/>
        <v>0</v>
      </c>
      <c r="S117" s="77">
        <f t="shared" si="91"/>
        <v>0</v>
      </c>
      <c r="T117" s="77">
        <f t="shared" si="91"/>
        <v>0</v>
      </c>
      <c r="U117" s="77">
        <f t="shared" si="91"/>
        <v>0</v>
      </c>
      <c r="V117" s="77">
        <f t="shared" si="91"/>
        <v>0</v>
      </c>
      <c r="W117" s="77">
        <f t="shared" si="91"/>
        <v>0</v>
      </c>
      <c r="X117" s="77">
        <f t="shared" si="91"/>
        <v>0</v>
      </c>
      <c r="Y117" s="77">
        <f t="shared" si="91"/>
        <v>0</v>
      </c>
      <c r="Z117" s="77">
        <f t="shared" si="91"/>
        <v>0</v>
      </c>
    </row>
    <row r="118">
      <c r="A118" s="39"/>
      <c r="B118" s="40" t="s">
        <v>218</v>
      </c>
      <c r="C118" s="40" t="s">
        <v>219</v>
      </c>
      <c r="D118" s="40" t="s">
        <v>177</v>
      </c>
      <c r="E118" s="77">
        <f t="shared" si="90"/>
        <v>100000000</v>
      </c>
      <c r="F118" s="78"/>
      <c r="G118" s="77">
        <f t="shared" ref="G118:Z118" si="92">F118+G117</f>
        <v>0</v>
      </c>
      <c r="H118" s="77">
        <f t="shared" si="92"/>
        <v>0</v>
      </c>
      <c r="I118" s="77">
        <f t="shared" si="92"/>
        <v>0</v>
      </c>
      <c r="J118" s="77">
        <f t="shared" si="92"/>
        <v>359342.5</v>
      </c>
      <c r="K118" s="77">
        <f t="shared" si="92"/>
        <v>718685</v>
      </c>
      <c r="L118" s="77">
        <f t="shared" si="92"/>
        <v>1428291.667</v>
      </c>
      <c r="M118" s="77">
        <f t="shared" si="92"/>
        <v>7168813.333</v>
      </c>
      <c r="N118" s="77">
        <f t="shared" si="92"/>
        <v>17566020</v>
      </c>
      <c r="O118" s="77">
        <f t="shared" si="92"/>
        <v>50318924.5</v>
      </c>
      <c r="P118" s="77">
        <f t="shared" si="92"/>
        <v>97519038.33</v>
      </c>
      <c r="Q118" s="77">
        <f t="shared" si="92"/>
        <v>100000000</v>
      </c>
      <c r="R118" s="77">
        <f t="shared" si="92"/>
        <v>100000000</v>
      </c>
      <c r="S118" s="77">
        <f t="shared" si="92"/>
        <v>100000000</v>
      </c>
      <c r="T118" s="77">
        <f t="shared" si="92"/>
        <v>100000000</v>
      </c>
      <c r="U118" s="77">
        <f t="shared" si="92"/>
        <v>100000000</v>
      </c>
      <c r="V118" s="77">
        <f t="shared" si="92"/>
        <v>100000000</v>
      </c>
      <c r="W118" s="77">
        <f t="shared" si="92"/>
        <v>100000000</v>
      </c>
      <c r="X118" s="77">
        <f t="shared" si="92"/>
        <v>100000000</v>
      </c>
      <c r="Y118" s="77">
        <f t="shared" si="92"/>
        <v>100000000</v>
      </c>
      <c r="Z118" s="77">
        <f t="shared" si="92"/>
        <v>100000000</v>
      </c>
    </row>
    <row r="119">
      <c r="A119" s="39"/>
      <c r="B119" s="40" t="s">
        <v>220</v>
      </c>
      <c r="C119" s="40" t="s">
        <v>221</v>
      </c>
      <c r="D119" s="40" t="s">
        <v>177</v>
      </c>
      <c r="E119" s="77">
        <f t="shared" si="90"/>
        <v>0</v>
      </c>
      <c r="F119" s="78"/>
      <c r="G119" s="77">
        <f t="shared" ref="G119:Z119" si="93">G74-G118</f>
        <v>7851185</v>
      </c>
      <c r="H119" s="77">
        <f t="shared" si="93"/>
        <v>24101111.67</v>
      </c>
      <c r="I119" s="77">
        <f t="shared" si="93"/>
        <v>48899780</v>
      </c>
      <c r="J119" s="77">
        <f t="shared" si="93"/>
        <v>74277662.5</v>
      </c>
      <c r="K119" s="77">
        <f t="shared" si="93"/>
        <v>92670517.5</v>
      </c>
      <c r="L119" s="77">
        <f t="shared" si="93"/>
        <v>98571708.33</v>
      </c>
      <c r="M119" s="77">
        <f t="shared" si="93"/>
        <v>92831186.67</v>
      </c>
      <c r="N119" s="77">
        <f t="shared" si="93"/>
        <v>82433980</v>
      </c>
      <c r="O119" s="77">
        <f t="shared" si="93"/>
        <v>49681075.5</v>
      </c>
      <c r="P119" s="77">
        <f t="shared" si="93"/>
        <v>2480961.667</v>
      </c>
      <c r="Q119" s="77">
        <f t="shared" si="93"/>
        <v>0</v>
      </c>
      <c r="R119" s="77">
        <f t="shared" si="93"/>
        <v>0</v>
      </c>
      <c r="S119" s="77">
        <f t="shared" si="93"/>
        <v>0</v>
      </c>
      <c r="T119" s="77">
        <f t="shared" si="93"/>
        <v>0</v>
      </c>
      <c r="U119" s="77">
        <f t="shared" si="93"/>
        <v>0</v>
      </c>
      <c r="V119" s="77">
        <f t="shared" si="93"/>
        <v>0</v>
      </c>
      <c r="W119" s="77">
        <f t="shared" si="93"/>
        <v>0</v>
      </c>
      <c r="X119" s="77">
        <f t="shared" si="93"/>
        <v>0</v>
      </c>
      <c r="Y119" s="77">
        <f t="shared" si="93"/>
        <v>0</v>
      </c>
      <c r="Z119" s="77">
        <f t="shared" si="93"/>
        <v>0</v>
      </c>
    </row>
    <row r="120">
      <c r="B120" s="16" t="s">
        <v>222</v>
      </c>
      <c r="C120" s="16" t="s">
        <v>223</v>
      </c>
      <c r="D120" s="16" t="s">
        <v>161</v>
      </c>
      <c r="E120" s="74">
        <f t="shared" si="90"/>
        <v>178445840</v>
      </c>
      <c r="F120" s="74"/>
      <c r="G120" s="74">
        <f t="shared" ref="G120:Z120" si="94">G116-G117</f>
        <v>0</v>
      </c>
      <c r="H120" s="74">
        <f t="shared" si="94"/>
        <v>0</v>
      </c>
      <c r="I120" s="74">
        <f t="shared" si="94"/>
        <v>0</v>
      </c>
      <c r="J120" s="74">
        <f t="shared" si="94"/>
        <v>0</v>
      </c>
      <c r="K120" s="74">
        <f t="shared" si="94"/>
        <v>0</v>
      </c>
      <c r="L120" s="74">
        <f t="shared" si="94"/>
        <v>0</v>
      </c>
      <c r="M120" s="74">
        <f t="shared" si="94"/>
        <v>0</v>
      </c>
      <c r="N120" s="74">
        <f t="shared" si="94"/>
        <v>0</v>
      </c>
      <c r="O120" s="74">
        <f t="shared" si="94"/>
        <v>0</v>
      </c>
      <c r="P120" s="74">
        <f t="shared" si="94"/>
        <v>0</v>
      </c>
      <c r="Q120" s="74">
        <f t="shared" si="94"/>
        <v>61494704</v>
      </c>
      <c r="R120" s="74">
        <f t="shared" si="94"/>
        <v>57545568</v>
      </c>
      <c r="S120" s="74">
        <f t="shared" si="94"/>
        <v>39637045.33</v>
      </c>
      <c r="T120" s="74">
        <f t="shared" si="94"/>
        <v>19768522.67</v>
      </c>
      <c r="U120" s="74">
        <f t="shared" si="94"/>
        <v>0</v>
      </c>
      <c r="V120" s="74">
        <f t="shared" si="94"/>
        <v>0</v>
      </c>
      <c r="W120" s="74">
        <f t="shared" si="94"/>
        <v>0</v>
      </c>
      <c r="X120" s="74">
        <f t="shared" si="94"/>
        <v>0</v>
      </c>
      <c r="Y120" s="74">
        <f t="shared" si="94"/>
        <v>0</v>
      </c>
      <c r="Z120" s="74">
        <f t="shared" si="94"/>
        <v>0</v>
      </c>
    </row>
    <row r="121">
      <c r="B121" s="16" t="s">
        <v>141</v>
      </c>
      <c r="C121" s="16" t="s">
        <v>224</v>
      </c>
      <c r="D121" s="16" t="s">
        <v>161</v>
      </c>
      <c r="E121" s="74">
        <f t="shared" si="90"/>
        <v>35689168</v>
      </c>
      <c r="F121" s="74"/>
      <c r="G121" s="74">
        <f>G120*'Get Started'!$D15</f>
        <v>0</v>
      </c>
      <c r="H121" s="74">
        <f>H120*'Get Started'!$D15</f>
        <v>0</v>
      </c>
      <c r="I121" s="74">
        <f>I120*'Get Started'!$D15</f>
        <v>0</v>
      </c>
      <c r="J121" s="74">
        <f>J120*'Get Started'!$D15</f>
        <v>0</v>
      </c>
      <c r="K121" s="74">
        <f>K120*'Get Started'!$D15</f>
        <v>0</v>
      </c>
      <c r="L121" s="74">
        <f>L120*'Get Started'!$D15</f>
        <v>0</v>
      </c>
      <c r="M121" s="74">
        <f>M120*'Get Started'!$D15</f>
        <v>0</v>
      </c>
      <c r="N121" s="74">
        <f>N120*'Get Started'!$D15</f>
        <v>0</v>
      </c>
      <c r="O121" s="74">
        <f>O120*'Get Started'!$D15</f>
        <v>0</v>
      </c>
      <c r="P121" s="74">
        <f>P120*'Get Started'!$D15</f>
        <v>0</v>
      </c>
      <c r="Q121" s="74">
        <f>Q120*'Get Started'!$D15</f>
        <v>12298940.8</v>
      </c>
      <c r="R121" s="74">
        <f>R120*'Get Started'!$D15</f>
        <v>11509113.6</v>
      </c>
      <c r="S121" s="74">
        <f>S120*'Get Started'!$D15</f>
        <v>7927409.067</v>
      </c>
      <c r="T121" s="74">
        <f>T120*'Get Started'!$D15</f>
        <v>3953704.533</v>
      </c>
      <c r="U121" s="74">
        <f>U120*'Get Started'!$D15</f>
        <v>0</v>
      </c>
      <c r="V121" s="74">
        <f>V120*'Get Started'!$D15</f>
        <v>0</v>
      </c>
      <c r="W121" s="74">
        <f>W120*'Get Started'!$D15</f>
        <v>0</v>
      </c>
      <c r="X121" s="74">
        <f>X120*'Get Started'!$D15</f>
        <v>0</v>
      </c>
      <c r="Y121" s="74">
        <f>Y120*'Get Started'!$D15</f>
        <v>0</v>
      </c>
      <c r="Z121" s="74">
        <f>Z120*'Get Started'!$D15</f>
        <v>0</v>
      </c>
    </row>
    <row r="122">
      <c r="B122" s="16"/>
      <c r="C122" s="16"/>
      <c r="D122" s="16"/>
      <c r="E122" s="74"/>
      <c r="F122" s="74"/>
      <c r="G122" s="74"/>
      <c r="H122" s="74"/>
      <c r="I122" s="74"/>
      <c r="J122" s="74"/>
      <c r="K122" s="74"/>
      <c r="L122" s="74"/>
      <c r="M122" s="74"/>
      <c r="N122" s="74"/>
      <c r="O122" s="74"/>
      <c r="P122" s="74"/>
      <c r="Q122" s="74"/>
      <c r="R122" s="74"/>
      <c r="S122" s="74"/>
      <c r="T122" s="74"/>
      <c r="U122" s="74"/>
      <c r="V122" s="74"/>
      <c r="W122" s="74"/>
      <c r="X122" s="74"/>
      <c r="Y122" s="74"/>
      <c r="Z122" s="74"/>
    </row>
    <row r="123">
      <c r="B123" s="73" t="s">
        <v>225</v>
      </c>
      <c r="C123" s="16"/>
      <c r="D123" s="16"/>
      <c r="E123" s="74"/>
      <c r="F123" s="74"/>
      <c r="G123" s="74"/>
      <c r="H123" s="74"/>
      <c r="I123" s="74"/>
      <c r="J123" s="74"/>
      <c r="K123" s="74"/>
      <c r="L123" s="74"/>
      <c r="M123" s="74"/>
      <c r="N123" s="74"/>
      <c r="O123" s="74"/>
      <c r="P123" s="74"/>
      <c r="Q123" s="74"/>
      <c r="R123" s="74"/>
      <c r="S123" s="74"/>
      <c r="T123" s="74"/>
      <c r="U123" s="74"/>
      <c r="V123" s="74"/>
      <c r="W123" s="74"/>
      <c r="X123" s="74"/>
      <c r="Y123" s="74"/>
      <c r="Z123" s="74"/>
    </row>
    <row r="124">
      <c r="B124" s="16" t="s">
        <v>179</v>
      </c>
      <c r="C124" s="16"/>
      <c r="D124" s="16" t="s">
        <v>161</v>
      </c>
      <c r="E124" s="74">
        <f t="shared" ref="E124:E128" si="96">if(D124="sum",sum(G124:Z124),if(D124="final",Z124,if(D124="initial",G124,if(D124="average",average(G124:Z124),0))))</f>
        <v>-98450000</v>
      </c>
      <c r="F124" s="83" t="str">
        <f t="shared" ref="F124:F128" si="97">B124</f>
        <v>New Investments</v>
      </c>
      <c r="G124" s="74">
        <f t="shared" ref="G124:Z124" si="95">-1*G28</f>
        <v>-5641185</v>
      </c>
      <c r="H124" s="74">
        <f t="shared" si="95"/>
        <v>-14189926.67</v>
      </c>
      <c r="I124" s="74">
        <f t="shared" si="95"/>
        <v>-22738668.33</v>
      </c>
      <c r="J124" s="74">
        <f t="shared" si="95"/>
        <v>-23677225</v>
      </c>
      <c r="K124" s="74">
        <f t="shared" si="95"/>
        <v>-16692197.5</v>
      </c>
      <c r="L124" s="74">
        <f t="shared" si="95"/>
        <v>-8143455.833</v>
      </c>
      <c r="M124" s="74">
        <f t="shared" si="95"/>
        <v>-2351314.167</v>
      </c>
      <c r="N124" s="74">
        <f t="shared" si="95"/>
        <v>-1575200</v>
      </c>
      <c r="O124" s="74">
        <f t="shared" si="95"/>
        <v>-1934542.5</v>
      </c>
      <c r="P124" s="74">
        <f t="shared" si="95"/>
        <v>-1146942.5</v>
      </c>
      <c r="Q124" s="74">
        <f t="shared" si="95"/>
        <v>-359342.5</v>
      </c>
      <c r="R124" s="74">
        <f t="shared" si="95"/>
        <v>0</v>
      </c>
      <c r="S124" s="74">
        <f t="shared" si="95"/>
        <v>0</v>
      </c>
      <c r="T124" s="74">
        <f t="shared" si="95"/>
        <v>0</v>
      </c>
      <c r="U124" s="74">
        <f t="shared" si="95"/>
        <v>0</v>
      </c>
      <c r="V124" s="74">
        <f t="shared" si="95"/>
        <v>0</v>
      </c>
      <c r="W124" s="74">
        <f t="shared" si="95"/>
        <v>0</v>
      </c>
      <c r="X124" s="74">
        <f t="shared" si="95"/>
        <v>0</v>
      </c>
      <c r="Y124" s="74">
        <f t="shared" si="95"/>
        <v>0</v>
      </c>
      <c r="Z124" s="74">
        <f t="shared" si="95"/>
        <v>0</v>
      </c>
    </row>
    <row r="125">
      <c r="B125" s="16" t="s">
        <v>181</v>
      </c>
      <c r="C125" s="16"/>
      <c r="D125" s="16" t="s">
        <v>161</v>
      </c>
      <c r="E125" s="74">
        <f t="shared" si="96"/>
        <v>0</v>
      </c>
      <c r="F125" s="83" t="str">
        <f t="shared" si="97"/>
        <v>Follow on Investments</v>
      </c>
      <c r="G125" s="74">
        <f t="shared" ref="G125:Z125" si="98">-1*G30</f>
        <v>0</v>
      </c>
      <c r="H125" s="74">
        <f t="shared" si="98"/>
        <v>0</v>
      </c>
      <c r="I125" s="74">
        <f t="shared" si="98"/>
        <v>0</v>
      </c>
      <c r="J125" s="74">
        <f t="shared" si="98"/>
        <v>0</v>
      </c>
      <c r="K125" s="74">
        <f t="shared" si="98"/>
        <v>0</v>
      </c>
      <c r="L125" s="74">
        <f t="shared" si="98"/>
        <v>0</v>
      </c>
      <c r="M125" s="74">
        <f t="shared" si="98"/>
        <v>0</v>
      </c>
      <c r="N125" s="74">
        <f t="shared" si="98"/>
        <v>0</v>
      </c>
      <c r="O125" s="74">
        <f t="shared" si="98"/>
        <v>0</v>
      </c>
      <c r="P125" s="74">
        <f t="shared" si="98"/>
        <v>0</v>
      </c>
      <c r="Q125" s="74">
        <f t="shared" si="98"/>
        <v>0</v>
      </c>
      <c r="R125" s="74">
        <f t="shared" si="98"/>
        <v>0</v>
      </c>
      <c r="S125" s="74">
        <f t="shared" si="98"/>
        <v>0</v>
      </c>
      <c r="T125" s="74">
        <f t="shared" si="98"/>
        <v>0</v>
      </c>
      <c r="U125" s="74">
        <f t="shared" si="98"/>
        <v>0</v>
      </c>
      <c r="V125" s="74">
        <f t="shared" si="98"/>
        <v>0</v>
      </c>
      <c r="W125" s="74">
        <f t="shared" si="98"/>
        <v>0</v>
      </c>
      <c r="X125" s="74">
        <f t="shared" si="98"/>
        <v>0</v>
      </c>
      <c r="Y125" s="74">
        <f t="shared" si="98"/>
        <v>0</v>
      </c>
      <c r="Z125" s="74">
        <f t="shared" si="98"/>
        <v>0</v>
      </c>
    </row>
    <row r="126">
      <c r="B126" s="16" t="s">
        <v>174</v>
      </c>
      <c r="C126" s="16"/>
      <c r="D126" s="16" t="s">
        <v>161</v>
      </c>
      <c r="E126" s="74">
        <f t="shared" si="96"/>
        <v>-25070000</v>
      </c>
      <c r="F126" s="83" t="str">
        <f t="shared" si="97"/>
        <v>Fees</v>
      </c>
      <c r="G126" s="74">
        <f t="shared" ref="G126:Z126" si="99">sum(G33,G34,G35)*-1</f>
        <v>-2210000</v>
      </c>
      <c r="H126" s="74">
        <f t="shared" si="99"/>
        <v>-2060000</v>
      </c>
      <c r="I126" s="74">
        <f t="shared" si="99"/>
        <v>-2060000</v>
      </c>
      <c r="J126" s="74">
        <f t="shared" si="99"/>
        <v>-2060000</v>
      </c>
      <c r="K126" s="74">
        <f t="shared" si="99"/>
        <v>-2060000</v>
      </c>
      <c r="L126" s="74">
        <f t="shared" si="99"/>
        <v>-2060000</v>
      </c>
      <c r="M126" s="74">
        <f t="shared" si="99"/>
        <v>-2060000</v>
      </c>
      <c r="N126" s="74">
        <f t="shared" si="99"/>
        <v>-2060000</v>
      </c>
      <c r="O126" s="74">
        <f t="shared" si="99"/>
        <v>-2060000</v>
      </c>
      <c r="P126" s="74">
        <f t="shared" si="99"/>
        <v>-2060000</v>
      </c>
      <c r="Q126" s="74">
        <f t="shared" si="99"/>
        <v>-2060000</v>
      </c>
      <c r="R126" s="74">
        <f t="shared" si="99"/>
        <v>-2060000</v>
      </c>
      <c r="S126" s="74">
        <f t="shared" si="99"/>
        <v>-100000</v>
      </c>
      <c r="T126" s="74">
        <f t="shared" si="99"/>
        <v>-100000</v>
      </c>
      <c r="U126" s="74">
        <f t="shared" si="99"/>
        <v>0</v>
      </c>
      <c r="V126" s="74">
        <f t="shared" si="99"/>
        <v>0</v>
      </c>
      <c r="W126" s="74">
        <f t="shared" si="99"/>
        <v>0</v>
      </c>
      <c r="X126" s="74">
        <f t="shared" si="99"/>
        <v>0</v>
      </c>
      <c r="Y126" s="74">
        <f t="shared" si="99"/>
        <v>0</v>
      </c>
      <c r="Z126" s="74">
        <f t="shared" si="99"/>
        <v>0</v>
      </c>
    </row>
    <row r="127">
      <c r="B127" s="16" t="s">
        <v>142</v>
      </c>
      <c r="C127" s="16"/>
      <c r="D127" s="16" t="s">
        <v>161</v>
      </c>
      <c r="E127" s="74">
        <f t="shared" si="96"/>
        <v>242756672</v>
      </c>
      <c r="F127" s="83" t="str">
        <f t="shared" si="97"/>
        <v>Distributions</v>
      </c>
      <c r="G127" s="74">
        <f t="shared" ref="G127:Z127" si="100">G41</f>
        <v>0</v>
      </c>
      <c r="H127" s="74">
        <f t="shared" si="100"/>
        <v>0</v>
      </c>
      <c r="I127" s="74">
        <f t="shared" si="100"/>
        <v>0</v>
      </c>
      <c r="J127" s="74">
        <f t="shared" si="100"/>
        <v>359342.5</v>
      </c>
      <c r="K127" s="74">
        <f t="shared" si="100"/>
        <v>359342.5</v>
      </c>
      <c r="L127" s="74">
        <f t="shared" si="100"/>
        <v>709606.6667</v>
      </c>
      <c r="M127" s="74">
        <f t="shared" si="100"/>
        <v>5740521.667</v>
      </c>
      <c r="N127" s="74">
        <f t="shared" si="100"/>
        <v>10397206.67</v>
      </c>
      <c r="O127" s="74">
        <f t="shared" si="100"/>
        <v>32752904.5</v>
      </c>
      <c r="P127" s="74">
        <f t="shared" si="100"/>
        <v>47200113.83</v>
      </c>
      <c r="Q127" s="74">
        <f t="shared" si="100"/>
        <v>51676724.87</v>
      </c>
      <c r="R127" s="74">
        <f t="shared" si="100"/>
        <v>46036454.4</v>
      </c>
      <c r="S127" s="74">
        <f t="shared" si="100"/>
        <v>31709636.27</v>
      </c>
      <c r="T127" s="74">
        <f t="shared" si="100"/>
        <v>15814818.13</v>
      </c>
      <c r="U127" s="74">
        <f t="shared" si="100"/>
        <v>0</v>
      </c>
      <c r="V127" s="74">
        <f t="shared" si="100"/>
        <v>0</v>
      </c>
      <c r="W127" s="74">
        <f t="shared" si="100"/>
        <v>0</v>
      </c>
      <c r="X127" s="74">
        <f t="shared" si="100"/>
        <v>0</v>
      </c>
      <c r="Y127" s="74">
        <f t="shared" si="100"/>
        <v>0</v>
      </c>
      <c r="Z127" s="74">
        <f t="shared" si="100"/>
        <v>0</v>
      </c>
    </row>
    <row r="128">
      <c r="B128" s="16" t="s">
        <v>141</v>
      </c>
      <c r="C128" s="16"/>
      <c r="D128" s="16" t="s">
        <v>161</v>
      </c>
      <c r="E128" s="74">
        <f t="shared" si="96"/>
        <v>35689168</v>
      </c>
      <c r="F128" s="83" t="str">
        <f t="shared" si="97"/>
        <v>Carried Interest</v>
      </c>
      <c r="G128" s="74">
        <f t="shared" ref="G128:Z128" si="101">G40+G39</f>
        <v>0</v>
      </c>
      <c r="H128" s="74">
        <f t="shared" si="101"/>
        <v>0</v>
      </c>
      <c r="I128" s="74">
        <f t="shared" si="101"/>
        <v>0</v>
      </c>
      <c r="J128" s="74">
        <f t="shared" si="101"/>
        <v>0</v>
      </c>
      <c r="K128" s="74">
        <f t="shared" si="101"/>
        <v>0</v>
      </c>
      <c r="L128" s="74">
        <f t="shared" si="101"/>
        <v>0</v>
      </c>
      <c r="M128" s="74">
        <f t="shared" si="101"/>
        <v>0</v>
      </c>
      <c r="N128" s="74">
        <f t="shared" si="101"/>
        <v>0</v>
      </c>
      <c r="O128" s="74">
        <f t="shared" si="101"/>
        <v>0</v>
      </c>
      <c r="P128" s="74">
        <f t="shared" si="101"/>
        <v>0</v>
      </c>
      <c r="Q128" s="74">
        <f t="shared" si="101"/>
        <v>12298940.8</v>
      </c>
      <c r="R128" s="74">
        <f t="shared" si="101"/>
        <v>11509113.6</v>
      </c>
      <c r="S128" s="74">
        <f t="shared" si="101"/>
        <v>7927409.067</v>
      </c>
      <c r="T128" s="74">
        <f t="shared" si="101"/>
        <v>3953704.533</v>
      </c>
      <c r="U128" s="74">
        <f t="shared" si="101"/>
        <v>0</v>
      </c>
      <c r="V128" s="74">
        <f t="shared" si="101"/>
        <v>0</v>
      </c>
      <c r="W128" s="74">
        <f t="shared" si="101"/>
        <v>0</v>
      </c>
      <c r="X128" s="74">
        <f t="shared" si="101"/>
        <v>0</v>
      </c>
      <c r="Y128" s="74">
        <f t="shared" si="101"/>
        <v>0</v>
      </c>
      <c r="Z128" s="74">
        <f t="shared" si="101"/>
        <v>0</v>
      </c>
    </row>
    <row r="129">
      <c r="B129" s="16"/>
      <c r="C129" s="16"/>
      <c r="D129" s="16"/>
      <c r="E129" s="74"/>
      <c r="F129" s="74"/>
      <c r="G129" s="74"/>
      <c r="H129" s="45"/>
      <c r="I129" s="74"/>
      <c r="J129" s="74"/>
      <c r="K129" s="74"/>
      <c r="L129" s="74"/>
      <c r="M129" s="74"/>
      <c r="N129" s="74"/>
      <c r="O129" s="74"/>
      <c r="P129" s="74"/>
      <c r="Q129" s="74"/>
      <c r="R129" s="74"/>
      <c r="S129" s="74"/>
      <c r="T129" s="74"/>
      <c r="U129" s="74"/>
      <c r="V129" s="74"/>
      <c r="W129" s="74"/>
      <c r="X129" s="74"/>
      <c r="Y129" s="74"/>
      <c r="Z129" s="74"/>
    </row>
    <row r="130">
      <c r="B130" s="91" t="s">
        <v>226</v>
      </c>
      <c r="C130" s="92"/>
      <c r="D130" s="36" t="s">
        <v>227</v>
      </c>
      <c r="E130" s="78"/>
      <c r="F130" s="78"/>
      <c r="G130" s="78"/>
      <c r="H130" s="78"/>
      <c r="I130" s="74"/>
      <c r="J130" s="74"/>
      <c r="K130" s="74"/>
      <c r="L130" s="74"/>
      <c r="M130" s="74"/>
      <c r="N130" s="74"/>
      <c r="O130" s="74"/>
      <c r="P130" s="74"/>
      <c r="Q130" s="74"/>
      <c r="R130" s="74"/>
      <c r="S130" s="74"/>
      <c r="T130" s="74"/>
      <c r="U130" s="74"/>
      <c r="V130" s="74"/>
      <c r="W130" s="74"/>
      <c r="X130" s="74"/>
      <c r="Y130" s="74"/>
      <c r="Z130" s="74"/>
    </row>
    <row r="131">
      <c r="B131" s="36" t="s">
        <v>228</v>
      </c>
      <c r="C131" s="40"/>
      <c r="D131" s="40" t="s">
        <v>161</v>
      </c>
      <c r="E131" s="74">
        <f t="shared" ref="E131:E156" si="102">if(D131="sum",sum(G131:Z131),if(D131="final",Z131,if(D131="initial",G131,if(D131="average",average(G131:Z131),0))))</f>
        <v>98450000</v>
      </c>
      <c r="F131" s="78"/>
      <c r="G131" s="77">
        <f>if(G8=1,'Get Started'!$D56/'Get Started'!$D16,0)</f>
        <v>32816666.67</v>
      </c>
      <c r="H131" s="77">
        <f>if(H8=1,'Get Started'!$D56/'Get Started'!$D16,0)</f>
        <v>32816666.67</v>
      </c>
      <c r="I131" s="77">
        <f>if(I8=1,'Get Started'!$D56/'Get Started'!$D16,0)</f>
        <v>32816666.67</v>
      </c>
      <c r="J131" s="77">
        <f>if(J8=1,'Get Started'!$D56/'Get Started'!$D16,0)</f>
        <v>0</v>
      </c>
      <c r="K131" s="77">
        <f>if(K8=1,'Get Started'!$D56/'Get Started'!$D16,0)</f>
        <v>0</v>
      </c>
      <c r="L131" s="77">
        <f>if(L8=1,'Get Started'!$D56/'Get Started'!$D16,0)</f>
        <v>0</v>
      </c>
      <c r="M131" s="77">
        <f>if(M8=1,'Get Started'!$D56/'Get Started'!$D16,0)</f>
        <v>0</v>
      </c>
      <c r="N131" s="77">
        <f>if(N8=1,'Get Started'!$D56/'Get Started'!$D16,0)</f>
        <v>0</v>
      </c>
      <c r="O131" s="77">
        <f>if(O8=1,'Get Started'!$D56/'Get Started'!$D16,0)</f>
        <v>0</v>
      </c>
      <c r="P131" s="77">
        <f>if(P8=1,'Get Started'!$D56/'Get Started'!$D16,0)</f>
        <v>0</v>
      </c>
      <c r="Q131" s="77">
        <f>if(Q8=1,'Get Started'!$D56/'Get Started'!$D16,0)</f>
        <v>0</v>
      </c>
      <c r="R131" s="77">
        <f>if(R8=1,'Get Started'!$D56/'Get Started'!$D16,0)</f>
        <v>0</v>
      </c>
      <c r="S131" s="77">
        <f>if(S8=1,'Get Started'!$D56/'Get Started'!$D16,0)</f>
        <v>0</v>
      </c>
      <c r="T131" s="77">
        <f>if(T8=1,'Get Started'!$D56/'Get Started'!$D16,0)</f>
        <v>0</v>
      </c>
      <c r="U131" s="77">
        <f>if(U8=1,'Get Started'!$D56/'Get Started'!$D16,0)</f>
        <v>0</v>
      </c>
      <c r="V131" s="77">
        <f>if(V8=1,'Get Started'!$D56/'Get Started'!$D16,0)</f>
        <v>0</v>
      </c>
      <c r="W131" s="77">
        <f>if(W8=1,'Get Started'!$D56/'Get Started'!$D16,0)</f>
        <v>0</v>
      </c>
      <c r="X131" s="77">
        <f>if(X8=1,'Get Started'!$D56/'Get Started'!$D16,0)</f>
        <v>0</v>
      </c>
      <c r="Y131" s="77">
        <f>if(Y8=1,'Get Started'!$D56/'Get Started'!$D16,0)</f>
        <v>0</v>
      </c>
      <c r="Z131" s="77">
        <f>if(Z8=1,'Get Started'!$D56/'Get Started'!$D16,0)</f>
        <v>0</v>
      </c>
    </row>
    <row r="132">
      <c r="B132" s="36" t="s">
        <v>229</v>
      </c>
      <c r="C132" s="40"/>
      <c r="D132" s="40" t="s">
        <v>161</v>
      </c>
      <c r="E132" s="74">
        <f t="shared" si="102"/>
        <v>19.69</v>
      </c>
      <c r="F132" s="78"/>
      <c r="G132" s="77">
        <f>G131/'Get Started'!$D25</f>
        <v>6.563333333</v>
      </c>
      <c r="H132" s="77">
        <f>H131/'Get Started'!$D25</f>
        <v>6.563333333</v>
      </c>
      <c r="I132" s="77">
        <f>I131/'Get Started'!$D25</f>
        <v>6.563333333</v>
      </c>
      <c r="J132" s="77">
        <f>J131/'Get Started'!$D25</f>
        <v>0</v>
      </c>
      <c r="K132" s="77">
        <f>K131/'Get Started'!$D25</f>
        <v>0</v>
      </c>
      <c r="L132" s="77">
        <f>L131/'Get Started'!$D25</f>
        <v>0</v>
      </c>
      <c r="M132" s="77">
        <f>M131/'Get Started'!$D25</f>
        <v>0</v>
      </c>
      <c r="N132" s="77">
        <f>N131/'Get Started'!$D25</f>
        <v>0</v>
      </c>
      <c r="O132" s="77">
        <f>O131/'Get Started'!$D25</f>
        <v>0</v>
      </c>
      <c r="P132" s="77">
        <f>P131/'Get Started'!$D25</f>
        <v>0</v>
      </c>
      <c r="Q132" s="77">
        <f>Q131/'Get Started'!$D25</f>
        <v>0</v>
      </c>
      <c r="R132" s="77">
        <f>R131/'Get Started'!$D25</f>
        <v>0</v>
      </c>
      <c r="S132" s="77">
        <f>S131/'Get Started'!$D25</f>
        <v>0</v>
      </c>
      <c r="T132" s="77">
        <f>T131/'Get Started'!$D25</f>
        <v>0</v>
      </c>
      <c r="U132" s="77">
        <f>U131/'Get Started'!$D25</f>
        <v>0</v>
      </c>
      <c r="V132" s="77">
        <f>V131/'Get Started'!$D25</f>
        <v>0</v>
      </c>
      <c r="W132" s="77">
        <f>W131/'Get Started'!$D25</f>
        <v>0</v>
      </c>
      <c r="X132" s="77">
        <f>X131/'Get Started'!$D25</f>
        <v>0</v>
      </c>
      <c r="Y132" s="77">
        <f>Y131/'Get Started'!$D25</f>
        <v>0</v>
      </c>
      <c r="Z132" s="77">
        <f>Z131/'Get Started'!$D25</f>
        <v>0</v>
      </c>
    </row>
    <row r="133">
      <c r="B133" s="36" t="s">
        <v>230</v>
      </c>
      <c r="C133" s="32">
        <v>0.0</v>
      </c>
      <c r="D133" s="40" t="s">
        <v>161</v>
      </c>
      <c r="E133" s="74">
        <f t="shared" si="102"/>
        <v>93133700</v>
      </c>
      <c r="F133" s="78"/>
      <c r="G133" s="77">
        <f t="array" ref="G133">if( sumproduct(--($G135:$Z135&lt;&gt;"committed"),--($G9:$Z9=1)) = 0 , G131-index($E$264:$E$283,G4)-index($E$285:$E$304,G4)-index($E$306:$E$325,G4)*(1-'Get Started'!$D$30) , G131+if(G131&lt;&gt;0,$C133,0)-index($E$264:$E$283,G4)-index($E$285:$E$304,G4)-G131 * $E134 *(1-'Get Started'!$D$30) )+$C133</f>
        <v>31044566.67</v>
      </c>
      <c r="H133" s="77">
        <f t="array" ref="H133">if( sumproduct(--($G135:$Z135&lt;&gt;"committed"),--($G9:$Z9=1)) = 0 , H131-index($E$264:$E$283,H4)-index($E$285:$E$304,H4)-index($E$306:$E$325,H4)*(1-'Get Started'!$D$30) , H131+if(H131&lt;&gt;0,$C133,0)-index($E$264:$E$283,H4)-index($E$285:$E$304,H4)-H131 * $E134 *(1-'Get Started'!$D$30) )+$C133</f>
        <v>31044566.67</v>
      </c>
      <c r="I133" s="77">
        <f t="array" ref="I133">if( sumproduct(--($G135:$Z135&lt;&gt;"committed"),--($G9:$Z9=1)) = 0 , I131-index($E$264:$E$283,I4)-index($E$285:$E$304,I4)-index($E$306:$E$325,I4)*(1-'Get Started'!$D$30) , I131+if(I131&lt;&gt;0,$C133,0)-index($E$264:$E$283,I4)-index($E$285:$E$304,I4)-I131 * $E134 *(1-'Get Started'!$D$30) )+$C133</f>
        <v>31044566.67</v>
      </c>
      <c r="J133" s="77">
        <f t="array" ref="J133">if( sumproduct(--($G135:$Z135&lt;&gt;"committed"),--($G9:$Z9=1)) = 0 , J131-index($E$264:$E$283,J4)-index($E$285:$E$304,J4)-index($E$306:$E$325,J4)*(1-'Get Started'!$D$30) , J131+if(J131&lt;&gt;0,$C133,0)-index($E$264:$E$283,J4)-index($E$285:$E$304,J4)-J131 * $E134 *(1-'Get Started'!$D$30) )+$C133</f>
        <v>0</v>
      </c>
      <c r="K133" s="77">
        <f t="array" ref="K133">if( sumproduct(--($G135:$Z135&lt;&gt;"committed"),--($G9:$Z9=1)) = 0 , K131-index($E$264:$E$283,K4)-index($E$285:$E$304,K4)-index($E$306:$E$325,K4)*(1-'Get Started'!$D$30) , K131+if(K131&lt;&gt;0,$C133,0)-index($E$264:$E$283,K4)-index($E$285:$E$304,K4)-K131 * $E134 *(1-'Get Started'!$D$30) )+$C133</f>
        <v>0</v>
      </c>
      <c r="L133" s="77">
        <f t="array" ref="L133">if( sumproduct(--($G135:$Z135&lt;&gt;"committed"),--($G9:$Z9=1)) = 0 , L131-index($E$264:$E$283,L4)-index($E$285:$E$304,L4)-index($E$306:$E$325,L4)*(1-'Get Started'!$D$30) , L131+if(L131&lt;&gt;0,$C133,0)-index($E$264:$E$283,L4)-index($E$285:$E$304,L4)-L131 * $E134 *(1-'Get Started'!$D$30) )+$C133</f>
        <v>0</v>
      </c>
      <c r="M133" s="77">
        <f t="array" ref="M133">if( sumproduct(--($G135:$Z135&lt;&gt;"committed"),--($G9:$Z9=1)) = 0 , M131-index($E$264:$E$283,M4)-index($E$285:$E$304,M4)-index($E$306:$E$325,M4)*(1-'Get Started'!$D$30) , M131+if(M131&lt;&gt;0,$C133,0)-index($E$264:$E$283,M4)-index($E$285:$E$304,M4)-M131 * $E134 *(1-'Get Started'!$D$30) )+$C133</f>
        <v>0</v>
      </c>
      <c r="N133" s="77">
        <f t="array" ref="N133">if( sumproduct(--($G135:$Z135&lt;&gt;"committed"),--($G9:$Z9=1)) = 0 , N131-index($E$264:$E$283,N4)-index($E$285:$E$304,N4)-index($E$306:$E$325,N4)*(1-'Get Started'!$D$30) , N131+if(N131&lt;&gt;0,$C133,0)-index($E$264:$E$283,N4)-index($E$285:$E$304,N4)-N131 * $E134 *(1-'Get Started'!$D$30) )+$C133</f>
        <v>0</v>
      </c>
      <c r="O133" s="77">
        <f t="array" ref="O133">if( sumproduct(--($G135:$Z135&lt;&gt;"committed"),--($G9:$Z9=1)) = 0 , O131-index($E$264:$E$283,O4)-index($E$285:$E$304,O4)-index($E$306:$E$325,O4)*(1-'Get Started'!$D$30) , O131+if(O131&lt;&gt;0,$C133,0)-index($E$264:$E$283,O4)-index($E$285:$E$304,O4)-O131 * $E134 *(1-'Get Started'!$D$30) )+$C133</f>
        <v>0</v>
      </c>
      <c r="P133" s="77">
        <f t="array" ref="P133">if( sumproduct(--($G135:$Z135&lt;&gt;"committed"),--($G9:$Z9=1)) = 0 , P131-index($E$264:$E$283,P4)-index($E$285:$E$304,P4)-index($E$306:$E$325,P4)*(1-'Get Started'!$D$30) , P131+if(P131&lt;&gt;0,$C133,0)-index($E$264:$E$283,P4)-index($E$285:$E$304,P4)-P131 * $E134 *(1-'Get Started'!$D$30) )+$C133</f>
        <v>0</v>
      </c>
      <c r="Q133" s="77">
        <f t="array" ref="Q133">if( sumproduct(--($G135:$Z135&lt;&gt;"committed"),--($G9:$Z9=1)) = 0 , Q131-index($E$264:$E$283,Q4)-index($E$285:$E$304,Q4)-index($E$306:$E$325,Q4)*(1-'Get Started'!$D$30) , Q131+if(Q131&lt;&gt;0,$C133,0)-index($E$264:$E$283,Q4)-index($E$285:$E$304,Q4)-Q131 * $E134 *(1-'Get Started'!$D$30) )+$C133</f>
        <v>0</v>
      </c>
      <c r="R133" s="77">
        <f t="array" ref="R133">if( sumproduct(--($G135:$Z135&lt;&gt;"committed"),--($G9:$Z9=1)) = 0 , R131-index($E$264:$E$283,R4)-index($E$285:$E$304,R4)-index($E$306:$E$325,R4)*(1-'Get Started'!$D$30) , R131+if(R131&lt;&gt;0,$C133,0)-index($E$264:$E$283,R4)-index($E$285:$E$304,R4)-R131 * $E134 *(1-'Get Started'!$D$30) )+$C133</f>
        <v>0</v>
      </c>
      <c r="S133" s="77">
        <f t="array" ref="S133">if( sumproduct(--($G135:$Z135&lt;&gt;"committed"),--($G9:$Z9=1)) = 0 , S131-index($E$264:$E$283,S4)-index($E$285:$E$304,S4)-index($E$306:$E$325,S4)*(1-'Get Started'!$D$30) , S131+if(S131&lt;&gt;0,$C133,0)-index($E$264:$E$283,S4)-index($E$285:$E$304,S4)-S131 * $E134 *(1-'Get Started'!$D$30) )+$C133</f>
        <v>0</v>
      </c>
      <c r="T133" s="77">
        <f t="array" ref="T133">if( sumproduct(--($G135:$Z135&lt;&gt;"committed"),--($G9:$Z9=1)) = 0 , T131-index($E$264:$E$283,T4)-index($E$285:$E$304,T4)-index($E$306:$E$325,T4)*(1-'Get Started'!$D$30) , T131+if(T131&lt;&gt;0,$C133,0)-index($E$264:$E$283,T4)-index($E$285:$E$304,T4)-T131 * $E134 *(1-'Get Started'!$D$30) )+$C133</f>
        <v>0</v>
      </c>
      <c r="U133" s="77">
        <f t="array" ref="U133">if( sumproduct(--($G135:$Z135&lt;&gt;"committed"),--($G9:$Z9=1)) = 0 , U131-index($E$264:$E$283,U4)-index($E$285:$E$304,U4)-index($E$306:$E$325,U4)*(1-'Get Started'!$D$30) , U131+if(U131&lt;&gt;0,$C133,0)-index($E$264:$E$283,U4)-index($E$285:$E$304,U4)-U131 * $E134 *(1-'Get Started'!$D$30) )+$C133</f>
        <v>0</v>
      </c>
      <c r="V133" s="77">
        <f t="array" ref="V133">if( sumproduct(--($G135:$Z135&lt;&gt;"committed"),--($G9:$Z9=1)) = 0 , V131-index($E$264:$E$283,V4)-index($E$285:$E$304,V4)-index($E$306:$E$325,V4)*(1-'Get Started'!$D$30) , V131+if(V131&lt;&gt;0,$C133,0)-index($E$264:$E$283,V4)-index($E$285:$E$304,V4)-V131 * $E134 *(1-'Get Started'!$D$30) )+$C133</f>
        <v>0</v>
      </c>
      <c r="W133" s="77">
        <f t="array" ref="W133">if( sumproduct(--($G135:$Z135&lt;&gt;"committed"),--($G9:$Z9=1)) = 0 , W131-index($E$264:$E$283,W4)-index($E$285:$E$304,W4)-index($E$306:$E$325,W4)*(1-'Get Started'!$D$30) , W131+if(W131&lt;&gt;0,$C133,0)-index($E$264:$E$283,W4)-index($E$285:$E$304,W4)-W131 * $E134 *(1-'Get Started'!$D$30) )+$C133</f>
        <v>0</v>
      </c>
      <c r="X133" s="77">
        <f t="array" ref="X133">if( sumproduct(--($G135:$Z135&lt;&gt;"committed"),--($G9:$Z9=1)) = 0 , X131-index($E$264:$E$283,X4)-index($E$285:$E$304,X4)-index($E$306:$E$325,X4)*(1-'Get Started'!$D$30) , X131+if(X131&lt;&gt;0,$C133,0)-index($E$264:$E$283,X4)-index($E$285:$E$304,X4)-X131 * $E134 *(1-'Get Started'!$D$30) )+$C133</f>
        <v>0</v>
      </c>
      <c r="Y133" s="77">
        <f t="array" ref="Y133">if( sumproduct(--($G135:$Z135&lt;&gt;"committed"),--($G9:$Z9=1)) = 0 , Y131-index($E$264:$E$283,Y4)-index($E$285:$E$304,Y4)-index($E$306:$E$325,Y4)*(1-'Get Started'!$D$30) , Y131+if(Y131&lt;&gt;0,$C133,0)-index($E$264:$E$283,Y4)-index($E$285:$E$304,Y4)-Y131 * $E134 *(1-'Get Started'!$D$30) )+$C133</f>
        <v>0</v>
      </c>
      <c r="Z133" s="77">
        <f t="array" ref="Z133">if( sumproduct(--($G135:$Z135&lt;&gt;"committed"),--($G9:$Z9=1)) = 0 , Z131-index($E$264:$E$283,Z4)-index($E$285:$E$304,Z4)-index($E$306:$E$325,Z4)*(1-'Get Started'!$D$30) , Z131+if(Z131&lt;&gt;0,$C133,0)-index($E$264:$E$283,Z4)-index($E$285:$E$304,Z4)-Z131 * $E134 *(1-'Get Started'!$D$30) )+$C133</f>
        <v>0</v>
      </c>
    </row>
    <row r="134">
      <c r="B134" s="16" t="s">
        <v>231</v>
      </c>
      <c r="C134" s="16"/>
      <c r="D134" s="16" t="s">
        <v>161</v>
      </c>
      <c r="E134" s="45">
        <f t="shared" si="102"/>
        <v>0.2</v>
      </c>
      <c r="F134" s="78"/>
      <c r="G134" s="34">
        <f>if(G4&lt;='Get Started'!$D38,'Get Started'!$D29,0)</f>
        <v>0.02</v>
      </c>
      <c r="H134" s="34">
        <f>if(H4&lt;='Get Started'!$D38,'Get Started'!$D29,0)</f>
        <v>0.02</v>
      </c>
      <c r="I134" s="34">
        <f>if(I4&lt;='Get Started'!$D38,'Get Started'!$D29,0)</f>
        <v>0.02</v>
      </c>
      <c r="J134" s="34">
        <f>if(J4&lt;='Get Started'!$D38,'Get Started'!$D29,0)</f>
        <v>0.02</v>
      </c>
      <c r="K134" s="34">
        <f>if(K4&lt;='Get Started'!$D38,'Get Started'!$D29,0)</f>
        <v>0.02</v>
      </c>
      <c r="L134" s="34">
        <f>if(L4&lt;='Get Started'!$D38,'Get Started'!$D29,0)</f>
        <v>0.02</v>
      </c>
      <c r="M134" s="34">
        <f>if(M4&lt;='Get Started'!$D38,'Get Started'!$D29,0)</f>
        <v>0.02</v>
      </c>
      <c r="N134" s="34">
        <f>if(N4&lt;='Get Started'!$D38,'Get Started'!$D29,0)</f>
        <v>0.02</v>
      </c>
      <c r="O134" s="34">
        <f>if(O4&lt;='Get Started'!$D38,'Get Started'!$D29,0)</f>
        <v>0.02</v>
      </c>
      <c r="P134" s="34">
        <f>if(P4&lt;='Get Started'!$D38,'Get Started'!$D29,0)</f>
        <v>0.02</v>
      </c>
      <c r="Q134" s="34">
        <f>if(Q4&lt;='Get Started'!$D38,'Get Started'!$D29,0)</f>
        <v>0</v>
      </c>
      <c r="R134" s="34">
        <f>if(R4&lt;='Get Started'!$D38,'Get Started'!$D29,0)</f>
        <v>0</v>
      </c>
      <c r="S134" s="34">
        <f>if(S4&lt;='Get Started'!$D38,'Get Started'!$D29,0)</f>
        <v>0</v>
      </c>
      <c r="T134" s="34">
        <f>if(T4&lt;='Get Started'!$D38,'Get Started'!$D29,0)</f>
        <v>0</v>
      </c>
      <c r="U134" s="34">
        <f>if(U4&lt;='Get Started'!$D38,'Get Started'!$D29,0)</f>
        <v>0</v>
      </c>
      <c r="V134" s="34">
        <f>if(V4&lt;='Get Started'!$D38,'Get Started'!$D29,0)</f>
        <v>0</v>
      </c>
      <c r="W134" s="34">
        <f>if(W4&lt;='Get Started'!$D38,'Get Started'!$D29,0)</f>
        <v>0</v>
      </c>
      <c r="X134" s="34">
        <f>if(X4&lt;='Get Started'!$D38,'Get Started'!$D29,0)</f>
        <v>0</v>
      </c>
      <c r="Y134" s="34">
        <f>if(Y4&lt;='Get Started'!$D38,'Get Started'!$D29,0)</f>
        <v>0</v>
      </c>
      <c r="Z134" s="34">
        <f>if(Z4&lt;='Get Started'!$D38,'Get Started'!$D29,0)</f>
        <v>0</v>
      </c>
    </row>
    <row r="135">
      <c r="B135" s="16" t="s">
        <v>232</v>
      </c>
      <c r="D135" s="16" t="s">
        <v>161</v>
      </c>
      <c r="E135" s="74">
        <f t="shared" si="102"/>
        <v>0</v>
      </c>
      <c r="F135" s="78"/>
      <c r="G135" s="26" t="s">
        <v>167</v>
      </c>
      <c r="H135" s="26" t="s">
        <v>167</v>
      </c>
      <c r="I135" s="26" t="s">
        <v>167</v>
      </c>
      <c r="J135" s="26" t="str">
        <f t="shared" ref="J135:K135" si="103">I135</f>
        <v>committed</v>
      </c>
      <c r="K135" s="26" t="str">
        <f t="shared" si="103"/>
        <v>committed</v>
      </c>
      <c r="L135" s="26" t="s">
        <v>167</v>
      </c>
      <c r="M135" s="26" t="s">
        <v>167</v>
      </c>
      <c r="N135" s="26" t="s">
        <v>167</v>
      </c>
      <c r="O135" s="26" t="s">
        <v>167</v>
      </c>
      <c r="P135" s="26" t="s">
        <v>167</v>
      </c>
      <c r="Q135" s="26" t="s">
        <v>167</v>
      </c>
      <c r="R135" s="26" t="s">
        <v>167</v>
      </c>
      <c r="S135" s="26" t="s">
        <v>167</v>
      </c>
      <c r="T135" s="26" t="s">
        <v>167</v>
      </c>
      <c r="U135" s="26" t="s">
        <v>167</v>
      </c>
      <c r="V135" s="26" t="s">
        <v>167</v>
      </c>
      <c r="W135" s="26" t="s">
        <v>167</v>
      </c>
      <c r="X135" s="26" t="s">
        <v>167</v>
      </c>
      <c r="Y135" s="26" t="s">
        <v>167</v>
      </c>
      <c r="Z135" s="26" t="s">
        <v>167</v>
      </c>
    </row>
    <row r="136" collapsed="1">
      <c r="B136" s="36" t="s">
        <v>168</v>
      </c>
      <c r="C136" s="76" t="b">
        <v>0</v>
      </c>
      <c r="D136" s="16" t="s">
        <v>161</v>
      </c>
      <c r="E136" s="74">
        <f t="shared" si="102"/>
        <v>0</v>
      </c>
      <c r="F136" s="78"/>
      <c r="G136" s="77">
        <f t="shared" ref="G136:Z136" si="104">sum(G137:G156)</f>
        <v>0</v>
      </c>
      <c r="H136" s="77">
        <f t="shared" si="104"/>
        <v>0</v>
      </c>
      <c r="I136" s="77">
        <f t="shared" si="104"/>
        <v>0</v>
      </c>
      <c r="J136" s="77">
        <f t="shared" si="104"/>
        <v>0</v>
      </c>
      <c r="K136" s="77">
        <f t="shared" si="104"/>
        <v>0</v>
      </c>
      <c r="L136" s="77">
        <f t="shared" si="104"/>
        <v>0</v>
      </c>
      <c r="M136" s="77">
        <f t="shared" si="104"/>
        <v>0</v>
      </c>
      <c r="N136" s="77">
        <f t="shared" si="104"/>
        <v>0</v>
      </c>
      <c r="O136" s="77">
        <f t="shared" si="104"/>
        <v>0</v>
      </c>
      <c r="P136" s="77">
        <f t="shared" si="104"/>
        <v>0</v>
      </c>
      <c r="Q136" s="77">
        <f t="shared" si="104"/>
        <v>0</v>
      </c>
      <c r="R136" s="77">
        <f t="shared" si="104"/>
        <v>0</v>
      </c>
      <c r="S136" s="77">
        <f t="shared" si="104"/>
        <v>0</v>
      </c>
      <c r="T136" s="77">
        <f t="shared" si="104"/>
        <v>0</v>
      </c>
      <c r="U136" s="77">
        <f t="shared" si="104"/>
        <v>0</v>
      </c>
      <c r="V136" s="77">
        <f t="shared" si="104"/>
        <v>0</v>
      </c>
      <c r="W136" s="77">
        <f t="shared" si="104"/>
        <v>0</v>
      </c>
      <c r="X136" s="77">
        <f t="shared" si="104"/>
        <v>0</v>
      </c>
      <c r="Y136" s="77">
        <f t="shared" si="104"/>
        <v>0</v>
      </c>
      <c r="Z136" s="77">
        <f t="shared" si="104"/>
        <v>0</v>
      </c>
    </row>
    <row r="137" hidden="1" outlineLevel="1">
      <c r="B137" s="93">
        <f>G$4</f>
        <v>1</v>
      </c>
      <c r="C137" s="76" t="b">
        <f t="shared" ref="C137:C156" si="105">C$136</f>
        <v>0</v>
      </c>
      <c r="D137" s="40" t="s">
        <v>161</v>
      </c>
      <c r="E137" s="74">
        <f t="shared" si="102"/>
        <v>0</v>
      </c>
      <c r="F137" s="78"/>
      <c r="G137" s="77">
        <f>if($C137=true,G159*'Get Started'!$D$26,0)</f>
        <v>0</v>
      </c>
      <c r="H137" s="77">
        <f>if($C137=true,H159*'Get Started'!$D$26,0)</f>
        <v>0</v>
      </c>
      <c r="I137" s="77">
        <f>if($C137=true,I159*'Get Started'!$D$26,0)</f>
        <v>0</v>
      </c>
      <c r="J137" s="77">
        <f>if($C137=true,J159*'Get Started'!$D$26,0)</f>
        <v>0</v>
      </c>
      <c r="K137" s="77">
        <f>if($C137=true,K159*'Get Started'!$D$26,0)</f>
        <v>0</v>
      </c>
      <c r="L137" s="77">
        <f>if($C137=true,L159*'Get Started'!$D$26,0)</f>
        <v>0</v>
      </c>
      <c r="M137" s="77">
        <f>if($C137=true,M159*'Get Started'!$D$26,0)</f>
        <v>0</v>
      </c>
      <c r="N137" s="77">
        <f>if($C137=true,N159*'Get Started'!$D$26,0)</f>
        <v>0</v>
      </c>
      <c r="O137" s="77">
        <f>if($C137=true,O159*'Get Started'!$D$26,0)</f>
        <v>0</v>
      </c>
      <c r="P137" s="77">
        <f>if($C137=true,P159*'Get Started'!$D$26,0)</f>
        <v>0</v>
      </c>
      <c r="Q137" s="77">
        <f>if($C137=true,Q159*'Get Started'!$D$26,0)</f>
        <v>0</v>
      </c>
      <c r="R137" s="77">
        <f>if($C137=true,R159*'Get Started'!$D$26,0)</f>
        <v>0</v>
      </c>
      <c r="S137" s="77">
        <f>if($C137=true,S159*'Get Started'!$D$26,0)</f>
        <v>0</v>
      </c>
      <c r="T137" s="77">
        <f>if($C137=true,T159*'Get Started'!$D$26,0)</f>
        <v>0</v>
      </c>
      <c r="U137" s="77">
        <f>if($C137=true,U159*'Get Started'!$D$26,0)</f>
        <v>0</v>
      </c>
      <c r="V137" s="77">
        <f>if($C137=true,V159*'Get Started'!$D$26,0)</f>
        <v>0</v>
      </c>
      <c r="W137" s="77">
        <f>if($C137=true,W159*'Get Started'!$D$26,0)</f>
        <v>0</v>
      </c>
      <c r="X137" s="77">
        <f>if($C137=true,X159*'Get Started'!$D$26,0)</f>
        <v>0</v>
      </c>
      <c r="Y137" s="77">
        <f>if($C137=true,Y159*'Get Started'!$D$26,0)</f>
        <v>0</v>
      </c>
      <c r="Z137" s="77">
        <f>if($C137=true,Z159*'Get Started'!$D$26,0)</f>
        <v>0</v>
      </c>
    </row>
    <row r="138" hidden="1" outlineLevel="1">
      <c r="B138" s="93">
        <f t="shared" ref="B138:B156" si="106">B137+1</f>
        <v>2</v>
      </c>
      <c r="C138" s="76" t="b">
        <f t="shared" si="105"/>
        <v>0</v>
      </c>
      <c r="D138" s="40" t="s">
        <v>161</v>
      </c>
      <c r="E138" s="74">
        <f t="shared" si="102"/>
        <v>0</v>
      </c>
      <c r="F138" s="78"/>
      <c r="G138" s="77">
        <f>if($C138=true,G160*'Get Started'!$D$26,0)</f>
        <v>0</v>
      </c>
      <c r="H138" s="77">
        <f>if($C138=true,H160*'Get Started'!$D$26,0)</f>
        <v>0</v>
      </c>
      <c r="I138" s="77">
        <f>if($C138=true,I160*'Get Started'!$D$26,0)</f>
        <v>0</v>
      </c>
      <c r="J138" s="77">
        <f>if($C138=true,J160*'Get Started'!$D$26,0)</f>
        <v>0</v>
      </c>
      <c r="K138" s="77">
        <f>if($C138=true,K160*'Get Started'!$D$26,0)</f>
        <v>0</v>
      </c>
      <c r="L138" s="77">
        <f>if($C138=true,L160*'Get Started'!$D$26,0)</f>
        <v>0</v>
      </c>
      <c r="M138" s="77">
        <f>if($C138=true,M160*'Get Started'!$D$26,0)</f>
        <v>0</v>
      </c>
      <c r="N138" s="77">
        <f>if($C138=true,N160*'Get Started'!$D$26,0)</f>
        <v>0</v>
      </c>
      <c r="O138" s="77">
        <f>if($C138=true,O160*'Get Started'!$D$26,0)</f>
        <v>0</v>
      </c>
      <c r="P138" s="77">
        <f>if($C138=true,P160*'Get Started'!$D$26,0)</f>
        <v>0</v>
      </c>
      <c r="Q138" s="77">
        <f>if($C138=true,Q160*'Get Started'!$D$26,0)</f>
        <v>0</v>
      </c>
      <c r="R138" s="77">
        <f>if($C138=true,R160*'Get Started'!$D$26,0)</f>
        <v>0</v>
      </c>
      <c r="S138" s="77">
        <f>if($C138=true,S160*'Get Started'!$D$26,0)</f>
        <v>0</v>
      </c>
      <c r="T138" s="77">
        <f>if($C138=true,T160*'Get Started'!$D$26,0)</f>
        <v>0</v>
      </c>
      <c r="U138" s="77">
        <f>if($C138=true,U160*'Get Started'!$D$26,0)</f>
        <v>0</v>
      </c>
      <c r="V138" s="77">
        <f>if($C138=true,V160*'Get Started'!$D$26,0)</f>
        <v>0</v>
      </c>
      <c r="W138" s="77">
        <f>if($C138=true,W160*'Get Started'!$D$26,0)</f>
        <v>0</v>
      </c>
      <c r="X138" s="77">
        <f>if($C138=true,X160*'Get Started'!$D$26,0)</f>
        <v>0</v>
      </c>
      <c r="Y138" s="77">
        <f>if($C138=true,Y160*'Get Started'!$D$26,0)</f>
        <v>0</v>
      </c>
      <c r="Z138" s="77">
        <f>if($C138=true,Z160*'Get Started'!$D$26,0)</f>
        <v>0</v>
      </c>
    </row>
    <row r="139" hidden="1" outlineLevel="1">
      <c r="B139" s="93">
        <f t="shared" si="106"/>
        <v>3</v>
      </c>
      <c r="C139" s="76" t="b">
        <f t="shared" si="105"/>
        <v>0</v>
      </c>
      <c r="D139" s="40" t="s">
        <v>161</v>
      </c>
      <c r="E139" s="74">
        <f t="shared" si="102"/>
        <v>0</v>
      </c>
      <c r="F139" s="78"/>
      <c r="G139" s="77">
        <f>if($C139=true,G161*'Get Started'!$D$26,0)</f>
        <v>0</v>
      </c>
      <c r="H139" s="77">
        <f>if($C139=true,H161*'Get Started'!$D$26,0)</f>
        <v>0</v>
      </c>
      <c r="I139" s="77">
        <f>if($C139=true,I161*'Get Started'!$D$26,0)</f>
        <v>0</v>
      </c>
      <c r="J139" s="77">
        <f>if($C139=true,J161*'Get Started'!$D$26,0)</f>
        <v>0</v>
      </c>
      <c r="K139" s="77">
        <f>if($C139=true,K161*'Get Started'!$D$26,0)</f>
        <v>0</v>
      </c>
      <c r="L139" s="77">
        <f>if($C139=true,L161*'Get Started'!$D$26,0)</f>
        <v>0</v>
      </c>
      <c r="M139" s="77">
        <f>if($C139=true,M161*'Get Started'!$D$26,0)</f>
        <v>0</v>
      </c>
      <c r="N139" s="77">
        <f>if($C139=true,N161*'Get Started'!$D$26,0)</f>
        <v>0</v>
      </c>
      <c r="O139" s="77">
        <f>if($C139=true,O161*'Get Started'!$D$26,0)</f>
        <v>0</v>
      </c>
      <c r="P139" s="77">
        <f>if($C139=true,P161*'Get Started'!$D$26,0)</f>
        <v>0</v>
      </c>
      <c r="Q139" s="77">
        <f>if($C139=true,Q161*'Get Started'!$D$26,0)</f>
        <v>0</v>
      </c>
      <c r="R139" s="77">
        <f>if($C139=true,R161*'Get Started'!$D$26,0)</f>
        <v>0</v>
      </c>
      <c r="S139" s="77">
        <f>if($C139=true,S161*'Get Started'!$D$26,0)</f>
        <v>0</v>
      </c>
      <c r="T139" s="77">
        <f>if($C139=true,T161*'Get Started'!$D$26,0)</f>
        <v>0</v>
      </c>
      <c r="U139" s="77">
        <f>if($C139=true,U161*'Get Started'!$D$26,0)</f>
        <v>0</v>
      </c>
      <c r="V139" s="77">
        <f>if($C139=true,V161*'Get Started'!$D$26,0)</f>
        <v>0</v>
      </c>
      <c r="W139" s="77">
        <f>if($C139=true,W161*'Get Started'!$D$26,0)</f>
        <v>0</v>
      </c>
      <c r="X139" s="77">
        <f>if($C139=true,X161*'Get Started'!$D$26,0)</f>
        <v>0</v>
      </c>
      <c r="Y139" s="77">
        <f>if($C139=true,Y161*'Get Started'!$D$26,0)</f>
        <v>0</v>
      </c>
      <c r="Z139" s="77">
        <f>if($C139=true,Z161*'Get Started'!$D$26,0)</f>
        <v>0</v>
      </c>
    </row>
    <row r="140" hidden="1" outlineLevel="1">
      <c r="B140" s="93">
        <f t="shared" si="106"/>
        <v>4</v>
      </c>
      <c r="C140" s="76" t="b">
        <f t="shared" si="105"/>
        <v>0</v>
      </c>
      <c r="D140" s="40" t="s">
        <v>161</v>
      </c>
      <c r="E140" s="74">
        <f t="shared" si="102"/>
        <v>0</v>
      </c>
      <c r="F140" s="78"/>
      <c r="G140" s="77">
        <f>if($C140=true,G162*'Get Started'!$D$26,0)</f>
        <v>0</v>
      </c>
      <c r="H140" s="77">
        <f>if($C140=true,H162*'Get Started'!$D$26,0)</f>
        <v>0</v>
      </c>
      <c r="I140" s="77">
        <f>if($C140=true,I162*'Get Started'!$D$26,0)</f>
        <v>0</v>
      </c>
      <c r="J140" s="77">
        <f>if($C140=true,J162*'Get Started'!$D$26,0)</f>
        <v>0</v>
      </c>
      <c r="K140" s="77">
        <f>if($C140=true,K162*'Get Started'!$D$26,0)</f>
        <v>0</v>
      </c>
      <c r="L140" s="77">
        <f>if($C140=true,L162*'Get Started'!$D$26,0)</f>
        <v>0</v>
      </c>
      <c r="M140" s="77">
        <f>if($C140=true,M162*'Get Started'!$D$26,0)</f>
        <v>0</v>
      </c>
      <c r="N140" s="77">
        <f>if($C140=true,N162*'Get Started'!$D$26,0)</f>
        <v>0</v>
      </c>
      <c r="O140" s="77">
        <f>if($C140=true,O162*'Get Started'!$D$26,0)</f>
        <v>0</v>
      </c>
      <c r="P140" s="77">
        <f>if($C140=true,P162*'Get Started'!$D$26,0)</f>
        <v>0</v>
      </c>
      <c r="Q140" s="77">
        <f>if($C140=true,Q162*'Get Started'!$D$26,0)</f>
        <v>0</v>
      </c>
      <c r="R140" s="77">
        <f>if($C140=true,R162*'Get Started'!$D$26,0)</f>
        <v>0</v>
      </c>
      <c r="S140" s="77">
        <f>if($C140=true,S162*'Get Started'!$D$26,0)</f>
        <v>0</v>
      </c>
      <c r="T140" s="77">
        <f>if($C140=true,T162*'Get Started'!$D$26,0)</f>
        <v>0</v>
      </c>
      <c r="U140" s="77">
        <f>if($C140=true,U162*'Get Started'!$D$26,0)</f>
        <v>0</v>
      </c>
      <c r="V140" s="77">
        <f>if($C140=true,V162*'Get Started'!$D$26,0)</f>
        <v>0</v>
      </c>
      <c r="W140" s="77">
        <f>if($C140=true,W162*'Get Started'!$D$26,0)</f>
        <v>0</v>
      </c>
      <c r="X140" s="77">
        <f>if($C140=true,X162*'Get Started'!$D$26,0)</f>
        <v>0</v>
      </c>
      <c r="Y140" s="77">
        <f>if($C140=true,Y162*'Get Started'!$D$26,0)</f>
        <v>0</v>
      </c>
      <c r="Z140" s="77">
        <f>if($C140=true,Z162*'Get Started'!$D$26,0)</f>
        <v>0</v>
      </c>
    </row>
    <row r="141" hidden="1" outlineLevel="1">
      <c r="B141" s="93">
        <f t="shared" si="106"/>
        <v>5</v>
      </c>
      <c r="C141" s="76" t="b">
        <f t="shared" si="105"/>
        <v>0</v>
      </c>
      <c r="D141" s="40" t="s">
        <v>161</v>
      </c>
      <c r="E141" s="74">
        <f t="shared" si="102"/>
        <v>0</v>
      </c>
      <c r="F141" s="78"/>
      <c r="G141" s="77">
        <f>if($C141=true,G163*'Get Started'!$D$26,0)</f>
        <v>0</v>
      </c>
      <c r="H141" s="77">
        <f>if($C141=true,H163*'Get Started'!$D$26,0)</f>
        <v>0</v>
      </c>
      <c r="I141" s="77">
        <f>if($C141=true,I163*'Get Started'!$D$26,0)</f>
        <v>0</v>
      </c>
      <c r="J141" s="77">
        <f>if($C141=true,J163*'Get Started'!$D$26,0)</f>
        <v>0</v>
      </c>
      <c r="K141" s="77">
        <f>if($C141=true,K163*'Get Started'!$D$26,0)</f>
        <v>0</v>
      </c>
      <c r="L141" s="77">
        <f>if($C141=true,L163*'Get Started'!$D$26,0)</f>
        <v>0</v>
      </c>
      <c r="M141" s="77">
        <f>if($C141=true,M163*'Get Started'!$D$26,0)</f>
        <v>0</v>
      </c>
      <c r="N141" s="77">
        <f>if($C141=true,N163*'Get Started'!$D$26,0)</f>
        <v>0</v>
      </c>
      <c r="O141" s="77">
        <f>if($C141=true,O163*'Get Started'!$D$26,0)</f>
        <v>0</v>
      </c>
      <c r="P141" s="77">
        <f>if($C141=true,P163*'Get Started'!$D$26,0)</f>
        <v>0</v>
      </c>
      <c r="Q141" s="77">
        <f>if($C141=true,Q163*'Get Started'!$D$26,0)</f>
        <v>0</v>
      </c>
      <c r="R141" s="77">
        <f>if($C141=true,R163*'Get Started'!$D$26,0)</f>
        <v>0</v>
      </c>
      <c r="S141" s="77">
        <f>if($C141=true,S163*'Get Started'!$D$26,0)</f>
        <v>0</v>
      </c>
      <c r="T141" s="77">
        <f>if($C141=true,T163*'Get Started'!$D$26,0)</f>
        <v>0</v>
      </c>
      <c r="U141" s="77">
        <f>if($C141=true,U163*'Get Started'!$D$26,0)</f>
        <v>0</v>
      </c>
      <c r="V141" s="77">
        <f>if($C141=true,V163*'Get Started'!$D$26,0)</f>
        <v>0</v>
      </c>
      <c r="W141" s="77">
        <f>if($C141=true,W163*'Get Started'!$D$26,0)</f>
        <v>0</v>
      </c>
      <c r="X141" s="77">
        <f>if($C141=true,X163*'Get Started'!$D$26,0)</f>
        <v>0</v>
      </c>
      <c r="Y141" s="77">
        <f>if($C141=true,Y163*'Get Started'!$D$26,0)</f>
        <v>0</v>
      </c>
      <c r="Z141" s="77">
        <f>if($C141=true,Z163*'Get Started'!$D$26,0)</f>
        <v>0</v>
      </c>
    </row>
    <row r="142" hidden="1" outlineLevel="1">
      <c r="B142" s="93">
        <f t="shared" si="106"/>
        <v>6</v>
      </c>
      <c r="C142" s="76" t="b">
        <f t="shared" si="105"/>
        <v>0</v>
      </c>
      <c r="D142" s="40" t="s">
        <v>161</v>
      </c>
      <c r="E142" s="74">
        <f t="shared" si="102"/>
        <v>0</v>
      </c>
      <c r="F142" s="78"/>
      <c r="G142" s="77">
        <f>if($C142=true,G164*'Get Started'!$D$26,0)</f>
        <v>0</v>
      </c>
      <c r="H142" s="77">
        <f>if($C142=true,H164*'Get Started'!$D$26,0)</f>
        <v>0</v>
      </c>
      <c r="I142" s="77">
        <f>if($C142=true,I164*'Get Started'!$D$26,0)</f>
        <v>0</v>
      </c>
      <c r="J142" s="77">
        <f>if($C142=true,J164*'Get Started'!$D$26,0)</f>
        <v>0</v>
      </c>
      <c r="K142" s="77">
        <f>if($C142=true,K164*'Get Started'!$D$26,0)</f>
        <v>0</v>
      </c>
      <c r="L142" s="77">
        <f>if($C142=true,L164*'Get Started'!$D$26,0)</f>
        <v>0</v>
      </c>
      <c r="M142" s="77">
        <f>if($C142=true,M164*'Get Started'!$D$26,0)</f>
        <v>0</v>
      </c>
      <c r="N142" s="77">
        <f>if($C142=true,N164*'Get Started'!$D$26,0)</f>
        <v>0</v>
      </c>
      <c r="O142" s="77">
        <f>if($C142=true,O164*'Get Started'!$D$26,0)</f>
        <v>0</v>
      </c>
      <c r="P142" s="77">
        <f>if($C142=true,P164*'Get Started'!$D$26,0)</f>
        <v>0</v>
      </c>
      <c r="Q142" s="77">
        <f>if($C142=true,Q164*'Get Started'!$D$26,0)</f>
        <v>0</v>
      </c>
      <c r="R142" s="77">
        <f>if($C142=true,R164*'Get Started'!$D$26,0)</f>
        <v>0</v>
      </c>
      <c r="S142" s="77">
        <f>if($C142=true,S164*'Get Started'!$D$26,0)</f>
        <v>0</v>
      </c>
      <c r="T142" s="77">
        <f>if($C142=true,T164*'Get Started'!$D$26,0)</f>
        <v>0</v>
      </c>
      <c r="U142" s="77">
        <f>if($C142=true,U164*'Get Started'!$D$26,0)</f>
        <v>0</v>
      </c>
      <c r="V142" s="77">
        <f>if($C142=true,V164*'Get Started'!$D$26,0)</f>
        <v>0</v>
      </c>
      <c r="W142" s="77">
        <f>if($C142=true,W164*'Get Started'!$D$26,0)</f>
        <v>0</v>
      </c>
      <c r="X142" s="77">
        <f>if($C142=true,X164*'Get Started'!$D$26,0)</f>
        <v>0</v>
      </c>
      <c r="Y142" s="77">
        <f>if($C142=true,Y164*'Get Started'!$D$26,0)</f>
        <v>0</v>
      </c>
      <c r="Z142" s="77">
        <f>if($C142=true,Z164*'Get Started'!$D$26,0)</f>
        <v>0</v>
      </c>
    </row>
    <row r="143" hidden="1" outlineLevel="1">
      <c r="B143" s="93">
        <f t="shared" si="106"/>
        <v>7</v>
      </c>
      <c r="C143" s="76" t="b">
        <f t="shared" si="105"/>
        <v>0</v>
      </c>
      <c r="D143" s="40" t="s">
        <v>161</v>
      </c>
      <c r="E143" s="74">
        <f t="shared" si="102"/>
        <v>0</v>
      </c>
      <c r="F143" s="78"/>
      <c r="G143" s="77">
        <f>if($C143=true,G165*'Get Started'!$D$26,0)</f>
        <v>0</v>
      </c>
      <c r="H143" s="77">
        <f>if($C143=true,H165*'Get Started'!$D$26,0)</f>
        <v>0</v>
      </c>
      <c r="I143" s="77">
        <f>if($C143=true,I165*'Get Started'!$D$26,0)</f>
        <v>0</v>
      </c>
      <c r="J143" s="77">
        <f>if($C143=true,J165*'Get Started'!$D$26,0)</f>
        <v>0</v>
      </c>
      <c r="K143" s="77">
        <f>if($C143=true,K165*'Get Started'!$D$26,0)</f>
        <v>0</v>
      </c>
      <c r="L143" s="77">
        <f>if($C143=true,L165*'Get Started'!$D$26,0)</f>
        <v>0</v>
      </c>
      <c r="M143" s="77">
        <f>if($C143=true,M165*'Get Started'!$D$26,0)</f>
        <v>0</v>
      </c>
      <c r="N143" s="77">
        <f>if($C143=true,N165*'Get Started'!$D$26,0)</f>
        <v>0</v>
      </c>
      <c r="O143" s="77">
        <f>if($C143=true,O165*'Get Started'!$D$26,0)</f>
        <v>0</v>
      </c>
      <c r="P143" s="77">
        <f>if($C143=true,P165*'Get Started'!$D$26,0)</f>
        <v>0</v>
      </c>
      <c r="Q143" s="77">
        <f>if($C143=true,Q165*'Get Started'!$D$26,0)</f>
        <v>0</v>
      </c>
      <c r="R143" s="77">
        <f>if($C143=true,R165*'Get Started'!$D$26,0)</f>
        <v>0</v>
      </c>
      <c r="S143" s="77">
        <f>if($C143=true,S165*'Get Started'!$D$26,0)</f>
        <v>0</v>
      </c>
      <c r="T143" s="77">
        <f>if($C143=true,T165*'Get Started'!$D$26,0)</f>
        <v>0</v>
      </c>
      <c r="U143" s="77">
        <f>if($C143=true,U165*'Get Started'!$D$26,0)</f>
        <v>0</v>
      </c>
      <c r="V143" s="77">
        <f>if($C143=true,V165*'Get Started'!$D$26,0)</f>
        <v>0</v>
      </c>
      <c r="W143" s="77">
        <f>if($C143=true,W165*'Get Started'!$D$26,0)</f>
        <v>0</v>
      </c>
      <c r="X143" s="77">
        <f>if($C143=true,X165*'Get Started'!$D$26,0)</f>
        <v>0</v>
      </c>
      <c r="Y143" s="77">
        <f>if($C143=true,Y165*'Get Started'!$D$26,0)</f>
        <v>0</v>
      </c>
      <c r="Z143" s="77">
        <f>if($C143=true,Z165*'Get Started'!$D$26,0)</f>
        <v>0</v>
      </c>
    </row>
    <row r="144" hidden="1" outlineLevel="1">
      <c r="B144" s="93">
        <f t="shared" si="106"/>
        <v>8</v>
      </c>
      <c r="C144" s="76" t="b">
        <f t="shared" si="105"/>
        <v>0</v>
      </c>
      <c r="D144" s="40" t="s">
        <v>161</v>
      </c>
      <c r="E144" s="74">
        <f t="shared" si="102"/>
        <v>0</v>
      </c>
      <c r="F144" s="78"/>
      <c r="G144" s="77">
        <f>if($C144=true,G166*'Get Started'!$D$26,0)</f>
        <v>0</v>
      </c>
      <c r="H144" s="77">
        <f>if($C144=true,H166*'Get Started'!$D$26,0)</f>
        <v>0</v>
      </c>
      <c r="I144" s="77">
        <f>if($C144=true,I166*'Get Started'!$D$26,0)</f>
        <v>0</v>
      </c>
      <c r="J144" s="77">
        <f>if($C144=true,J166*'Get Started'!$D$26,0)</f>
        <v>0</v>
      </c>
      <c r="K144" s="77">
        <f>if($C144=true,K166*'Get Started'!$D$26,0)</f>
        <v>0</v>
      </c>
      <c r="L144" s="77">
        <f>if($C144=true,L166*'Get Started'!$D$26,0)</f>
        <v>0</v>
      </c>
      <c r="M144" s="77">
        <f>if($C144=true,M166*'Get Started'!$D$26,0)</f>
        <v>0</v>
      </c>
      <c r="N144" s="77">
        <f>if($C144=true,N166*'Get Started'!$D$26,0)</f>
        <v>0</v>
      </c>
      <c r="O144" s="77">
        <f>if($C144=true,O166*'Get Started'!$D$26,0)</f>
        <v>0</v>
      </c>
      <c r="P144" s="77">
        <f>if($C144=true,P166*'Get Started'!$D$26,0)</f>
        <v>0</v>
      </c>
      <c r="Q144" s="77">
        <f>if($C144=true,Q166*'Get Started'!$D$26,0)</f>
        <v>0</v>
      </c>
      <c r="R144" s="77">
        <f>if($C144=true,R166*'Get Started'!$D$26,0)</f>
        <v>0</v>
      </c>
      <c r="S144" s="77">
        <f>if($C144=true,S166*'Get Started'!$D$26,0)</f>
        <v>0</v>
      </c>
      <c r="T144" s="77">
        <f>if($C144=true,T166*'Get Started'!$D$26,0)</f>
        <v>0</v>
      </c>
      <c r="U144" s="77">
        <f>if($C144=true,U166*'Get Started'!$D$26,0)</f>
        <v>0</v>
      </c>
      <c r="V144" s="77">
        <f>if($C144=true,V166*'Get Started'!$D$26,0)</f>
        <v>0</v>
      </c>
      <c r="W144" s="77">
        <f>if($C144=true,W166*'Get Started'!$D$26,0)</f>
        <v>0</v>
      </c>
      <c r="X144" s="77">
        <f>if($C144=true,X166*'Get Started'!$D$26,0)</f>
        <v>0</v>
      </c>
      <c r="Y144" s="77">
        <f>if($C144=true,Y166*'Get Started'!$D$26,0)</f>
        <v>0</v>
      </c>
      <c r="Z144" s="77">
        <f>if($C144=true,Z166*'Get Started'!$D$26,0)</f>
        <v>0</v>
      </c>
    </row>
    <row r="145" hidden="1" outlineLevel="1">
      <c r="B145" s="93">
        <f t="shared" si="106"/>
        <v>9</v>
      </c>
      <c r="C145" s="76" t="b">
        <f t="shared" si="105"/>
        <v>0</v>
      </c>
      <c r="D145" s="40" t="s">
        <v>161</v>
      </c>
      <c r="E145" s="74">
        <f t="shared" si="102"/>
        <v>0</v>
      </c>
      <c r="F145" s="78"/>
      <c r="G145" s="77">
        <f>if($C145=true,G167*'Get Started'!$D$26,0)</f>
        <v>0</v>
      </c>
      <c r="H145" s="77">
        <f>if($C145=true,H167*'Get Started'!$D$26,0)</f>
        <v>0</v>
      </c>
      <c r="I145" s="77">
        <f>if($C145=true,I167*'Get Started'!$D$26,0)</f>
        <v>0</v>
      </c>
      <c r="J145" s="77">
        <f>if($C145=true,J167*'Get Started'!$D$26,0)</f>
        <v>0</v>
      </c>
      <c r="K145" s="77">
        <f>if($C145=true,K167*'Get Started'!$D$26,0)</f>
        <v>0</v>
      </c>
      <c r="L145" s="77">
        <f>if($C145=true,L167*'Get Started'!$D$26,0)</f>
        <v>0</v>
      </c>
      <c r="M145" s="77">
        <f>if($C145=true,M167*'Get Started'!$D$26,0)</f>
        <v>0</v>
      </c>
      <c r="N145" s="77">
        <f>if($C145=true,N167*'Get Started'!$D$26,0)</f>
        <v>0</v>
      </c>
      <c r="O145" s="77">
        <f>if($C145=true,O167*'Get Started'!$D$26,0)</f>
        <v>0</v>
      </c>
      <c r="P145" s="77">
        <f>if($C145=true,P167*'Get Started'!$D$26,0)</f>
        <v>0</v>
      </c>
      <c r="Q145" s="77">
        <f>if($C145=true,Q167*'Get Started'!$D$26,0)</f>
        <v>0</v>
      </c>
      <c r="R145" s="77">
        <f>if($C145=true,R167*'Get Started'!$D$26,0)</f>
        <v>0</v>
      </c>
      <c r="S145" s="77">
        <f>if($C145=true,S167*'Get Started'!$D$26,0)</f>
        <v>0</v>
      </c>
      <c r="T145" s="77">
        <f>if($C145=true,T167*'Get Started'!$D$26,0)</f>
        <v>0</v>
      </c>
      <c r="U145" s="77">
        <f>if($C145=true,U167*'Get Started'!$D$26,0)</f>
        <v>0</v>
      </c>
      <c r="V145" s="77">
        <f>if($C145=true,V167*'Get Started'!$D$26,0)</f>
        <v>0</v>
      </c>
      <c r="W145" s="77">
        <f>if($C145=true,W167*'Get Started'!$D$26,0)</f>
        <v>0</v>
      </c>
      <c r="X145" s="77">
        <f>if($C145=true,X167*'Get Started'!$D$26,0)</f>
        <v>0</v>
      </c>
      <c r="Y145" s="77">
        <f>if($C145=true,Y167*'Get Started'!$D$26,0)</f>
        <v>0</v>
      </c>
      <c r="Z145" s="77">
        <f>if($C145=true,Z167*'Get Started'!$D$26,0)</f>
        <v>0</v>
      </c>
    </row>
    <row r="146" hidden="1" outlineLevel="1">
      <c r="B146" s="93">
        <f t="shared" si="106"/>
        <v>10</v>
      </c>
      <c r="C146" s="76" t="b">
        <f t="shared" si="105"/>
        <v>0</v>
      </c>
      <c r="D146" s="40" t="s">
        <v>161</v>
      </c>
      <c r="E146" s="74">
        <f t="shared" si="102"/>
        <v>0</v>
      </c>
      <c r="F146" s="78"/>
      <c r="G146" s="77">
        <f>if($C146=true,G168*'Get Started'!$D$26,0)</f>
        <v>0</v>
      </c>
      <c r="H146" s="77">
        <f>if($C146=true,H168*'Get Started'!$D$26,0)</f>
        <v>0</v>
      </c>
      <c r="I146" s="77">
        <f>if($C146=true,I168*'Get Started'!$D$26,0)</f>
        <v>0</v>
      </c>
      <c r="J146" s="77">
        <f>if($C146=true,J168*'Get Started'!$D$26,0)</f>
        <v>0</v>
      </c>
      <c r="K146" s="77">
        <f>if($C146=true,K168*'Get Started'!$D$26,0)</f>
        <v>0</v>
      </c>
      <c r="L146" s="77">
        <f>if($C146=true,L168*'Get Started'!$D$26,0)</f>
        <v>0</v>
      </c>
      <c r="M146" s="77">
        <f>if($C146=true,M168*'Get Started'!$D$26,0)</f>
        <v>0</v>
      </c>
      <c r="N146" s="77">
        <f>if($C146=true,N168*'Get Started'!$D$26,0)</f>
        <v>0</v>
      </c>
      <c r="O146" s="77">
        <f>if($C146=true,O168*'Get Started'!$D$26,0)</f>
        <v>0</v>
      </c>
      <c r="P146" s="77">
        <f>if($C146=true,P168*'Get Started'!$D$26,0)</f>
        <v>0</v>
      </c>
      <c r="Q146" s="77">
        <f>if($C146=true,Q168*'Get Started'!$D$26,0)</f>
        <v>0</v>
      </c>
      <c r="R146" s="77">
        <f>if($C146=true,R168*'Get Started'!$D$26,0)</f>
        <v>0</v>
      </c>
      <c r="S146" s="77">
        <f>if($C146=true,S168*'Get Started'!$D$26,0)</f>
        <v>0</v>
      </c>
      <c r="T146" s="77">
        <f>if($C146=true,T168*'Get Started'!$D$26,0)</f>
        <v>0</v>
      </c>
      <c r="U146" s="77">
        <f>if($C146=true,U168*'Get Started'!$D$26,0)</f>
        <v>0</v>
      </c>
      <c r="V146" s="77">
        <f>if($C146=true,V168*'Get Started'!$D$26,0)</f>
        <v>0</v>
      </c>
      <c r="W146" s="77">
        <f>if($C146=true,W168*'Get Started'!$D$26,0)</f>
        <v>0</v>
      </c>
      <c r="X146" s="77">
        <f>if($C146=true,X168*'Get Started'!$D$26,0)</f>
        <v>0</v>
      </c>
      <c r="Y146" s="77">
        <f>if($C146=true,Y168*'Get Started'!$D$26,0)</f>
        <v>0</v>
      </c>
      <c r="Z146" s="77">
        <f>if($C146=true,Z168*'Get Started'!$D$26,0)</f>
        <v>0</v>
      </c>
    </row>
    <row r="147" hidden="1" outlineLevel="1">
      <c r="B147" s="93">
        <f t="shared" si="106"/>
        <v>11</v>
      </c>
      <c r="C147" s="76" t="b">
        <f t="shared" si="105"/>
        <v>0</v>
      </c>
      <c r="D147" s="40" t="s">
        <v>161</v>
      </c>
      <c r="E147" s="74">
        <f t="shared" si="102"/>
        <v>0</v>
      </c>
      <c r="F147" s="78"/>
      <c r="G147" s="77">
        <f>if($C147=true,G169*'Get Started'!$D$26,0)</f>
        <v>0</v>
      </c>
      <c r="H147" s="77">
        <f>if($C147=true,H169*'Get Started'!$D$26,0)</f>
        <v>0</v>
      </c>
      <c r="I147" s="77">
        <f>if($C147=true,I169*'Get Started'!$D$26,0)</f>
        <v>0</v>
      </c>
      <c r="J147" s="77">
        <f>if($C147=true,J169*'Get Started'!$D$26,0)</f>
        <v>0</v>
      </c>
      <c r="K147" s="77">
        <f>if($C147=true,K169*'Get Started'!$D$26,0)</f>
        <v>0</v>
      </c>
      <c r="L147" s="77">
        <f>if($C147=true,L169*'Get Started'!$D$26,0)</f>
        <v>0</v>
      </c>
      <c r="M147" s="77">
        <f>if($C147=true,M169*'Get Started'!$D$26,0)</f>
        <v>0</v>
      </c>
      <c r="N147" s="77">
        <f>if($C147=true,N169*'Get Started'!$D$26,0)</f>
        <v>0</v>
      </c>
      <c r="O147" s="77">
        <f>if($C147=true,O169*'Get Started'!$D$26,0)</f>
        <v>0</v>
      </c>
      <c r="P147" s="77">
        <f>if($C147=true,P169*'Get Started'!$D$26,0)</f>
        <v>0</v>
      </c>
      <c r="Q147" s="77">
        <f>if($C147=true,Q169*'Get Started'!$D$26,0)</f>
        <v>0</v>
      </c>
      <c r="R147" s="77">
        <f>if($C147=true,R169*'Get Started'!$D$26,0)</f>
        <v>0</v>
      </c>
      <c r="S147" s="77">
        <f>if($C147=true,S169*'Get Started'!$D$26,0)</f>
        <v>0</v>
      </c>
      <c r="T147" s="77">
        <f>if($C147=true,T169*'Get Started'!$D$26,0)</f>
        <v>0</v>
      </c>
      <c r="U147" s="77">
        <f>if($C147=true,U169*'Get Started'!$D$26,0)</f>
        <v>0</v>
      </c>
      <c r="V147" s="77">
        <f>if($C147=true,V169*'Get Started'!$D$26,0)</f>
        <v>0</v>
      </c>
      <c r="W147" s="77">
        <f>if($C147=true,W169*'Get Started'!$D$26,0)</f>
        <v>0</v>
      </c>
      <c r="X147" s="77">
        <f>if($C147=true,X169*'Get Started'!$D$26,0)</f>
        <v>0</v>
      </c>
      <c r="Y147" s="77">
        <f>if($C147=true,Y169*'Get Started'!$D$26,0)</f>
        <v>0</v>
      </c>
      <c r="Z147" s="77">
        <f>if($C147=true,Z169*'Get Started'!$D$26,0)</f>
        <v>0</v>
      </c>
    </row>
    <row r="148" hidden="1" outlineLevel="1">
      <c r="B148" s="93">
        <f t="shared" si="106"/>
        <v>12</v>
      </c>
      <c r="C148" s="76" t="b">
        <f t="shared" si="105"/>
        <v>0</v>
      </c>
      <c r="D148" s="40" t="s">
        <v>161</v>
      </c>
      <c r="E148" s="74">
        <f t="shared" si="102"/>
        <v>0</v>
      </c>
      <c r="F148" s="78"/>
      <c r="G148" s="77">
        <f>if($C148=true,G170*'Get Started'!$D$26,0)</f>
        <v>0</v>
      </c>
      <c r="H148" s="77">
        <f>if($C148=true,H170*'Get Started'!$D$26,0)</f>
        <v>0</v>
      </c>
      <c r="I148" s="77">
        <f>if($C148=true,I170*'Get Started'!$D$26,0)</f>
        <v>0</v>
      </c>
      <c r="J148" s="77">
        <f>if($C148=true,J170*'Get Started'!$D$26,0)</f>
        <v>0</v>
      </c>
      <c r="K148" s="77">
        <f>if($C148=true,K170*'Get Started'!$D$26,0)</f>
        <v>0</v>
      </c>
      <c r="L148" s="77">
        <f>if($C148=true,L170*'Get Started'!$D$26,0)</f>
        <v>0</v>
      </c>
      <c r="M148" s="77">
        <f>if($C148=true,M170*'Get Started'!$D$26,0)</f>
        <v>0</v>
      </c>
      <c r="N148" s="77">
        <f>if($C148=true,N170*'Get Started'!$D$26,0)</f>
        <v>0</v>
      </c>
      <c r="O148" s="77">
        <f>if($C148=true,O170*'Get Started'!$D$26,0)</f>
        <v>0</v>
      </c>
      <c r="P148" s="77">
        <f>if($C148=true,P170*'Get Started'!$D$26,0)</f>
        <v>0</v>
      </c>
      <c r="Q148" s="77">
        <f>if($C148=true,Q170*'Get Started'!$D$26,0)</f>
        <v>0</v>
      </c>
      <c r="R148" s="77">
        <f>if($C148=true,R170*'Get Started'!$D$26,0)</f>
        <v>0</v>
      </c>
      <c r="S148" s="77">
        <f>if($C148=true,S170*'Get Started'!$D$26,0)</f>
        <v>0</v>
      </c>
      <c r="T148" s="77">
        <f>if($C148=true,T170*'Get Started'!$D$26,0)</f>
        <v>0</v>
      </c>
      <c r="U148" s="77">
        <f>if($C148=true,U170*'Get Started'!$D$26,0)</f>
        <v>0</v>
      </c>
      <c r="V148" s="77">
        <f>if($C148=true,V170*'Get Started'!$D$26,0)</f>
        <v>0</v>
      </c>
      <c r="W148" s="77">
        <f>if($C148=true,W170*'Get Started'!$D$26,0)</f>
        <v>0</v>
      </c>
      <c r="X148" s="77">
        <f>if($C148=true,X170*'Get Started'!$D$26,0)</f>
        <v>0</v>
      </c>
      <c r="Y148" s="77">
        <f>if($C148=true,Y170*'Get Started'!$D$26,0)</f>
        <v>0</v>
      </c>
      <c r="Z148" s="77">
        <f>if($C148=true,Z170*'Get Started'!$D$26,0)</f>
        <v>0</v>
      </c>
    </row>
    <row r="149" hidden="1" outlineLevel="1">
      <c r="B149" s="93">
        <f t="shared" si="106"/>
        <v>13</v>
      </c>
      <c r="C149" s="76" t="b">
        <f t="shared" si="105"/>
        <v>0</v>
      </c>
      <c r="D149" s="40" t="s">
        <v>161</v>
      </c>
      <c r="E149" s="74">
        <f t="shared" si="102"/>
        <v>0</v>
      </c>
      <c r="F149" s="78"/>
      <c r="G149" s="77">
        <f>if($C149=true,G171*'Get Started'!$D$26,0)</f>
        <v>0</v>
      </c>
      <c r="H149" s="77">
        <f>if($C149=true,H171*'Get Started'!$D$26,0)</f>
        <v>0</v>
      </c>
      <c r="I149" s="77">
        <f>if($C149=true,I171*'Get Started'!$D$26,0)</f>
        <v>0</v>
      </c>
      <c r="J149" s="77">
        <f>if($C149=true,J171*'Get Started'!$D$26,0)</f>
        <v>0</v>
      </c>
      <c r="K149" s="77">
        <f>if($C149=true,K171*'Get Started'!$D$26,0)</f>
        <v>0</v>
      </c>
      <c r="L149" s="77">
        <f>if($C149=true,L171*'Get Started'!$D$26,0)</f>
        <v>0</v>
      </c>
      <c r="M149" s="77">
        <f>if($C149=true,M171*'Get Started'!$D$26,0)</f>
        <v>0</v>
      </c>
      <c r="N149" s="77">
        <f>if($C149=true,N171*'Get Started'!$D$26,0)</f>
        <v>0</v>
      </c>
      <c r="O149" s="77">
        <f>if($C149=true,O171*'Get Started'!$D$26,0)</f>
        <v>0</v>
      </c>
      <c r="P149" s="77">
        <f>if($C149=true,P171*'Get Started'!$D$26,0)</f>
        <v>0</v>
      </c>
      <c r="Q149" s="77">
        <f>if($C149=true,Q171*'Get Started'!$D$26,0)</f>
        <v>0</v>
      </c>
      <c r="R149" s="77">
        <f>if($C149=true,R171*'Get Started'!$D$26,0)</f>
        <v>0</v>
      </c>
      <c r="S149" s="77">
        <f>if($C149=true,S171*'Get Started'!$D$26,0)</f>
        <v>0</v>
      </c>
      <c r="T149" s="77">
        <f>if($C149=true,T171*'Get Started'!$D$26,0)</f>
        <v>0</v>
      </c>
      <c r="U149" s="77">
        <f>if($C149=true,U171*'Get Started'!$D$26,0)</f>
        <v>0</v>
      </c>
      <c r="V149" s="77">
        <f>if($C149=true,V171*'Get Started'!$D$26,0)</f>
        <v>0</v>
      </c>
      <c r="W149" s="77">
        <f>if($C149=true,W171*'Get Started'!$D$26,0)</f>
        <v>0</v>
      </c>
      <c r="X149" s="77">
        <f>if($C149=true,X171*'Get Started'!$D$26,0)</f>
        <v>0</v>
      </c>
      <c r="Y149" s="77">
        <f>if($C149=true,Y171*'Get Started'!$D$26,0)</f>
        <v>0</v>
      </c>
      <c r="Z149" s="77">
        <f>if($C149=true,Z171*'Get Started'!$D$26,0)</f>
        <v>0</v>
      </c>
    </row>
    <row r="150" hidden="1" outlineLevel="1">
      <c r="B150" s="93">
        <f t="shared" si="106"/>
        <v>14</v>
      </c>
      <c r="C150" s="76" t="b">
        <f t="shared" si="105"/>
        <v>0</v>
      </c>
      <c r="D150" s="40" t="s">
        <v>161</v>
      </c>
      <c r="E150" s="74">
        <f t="shared" si="102"/>
        <v>0</v>
      </c>
      <c r="F150" s="78"/>
      <c r="G150" s="77">
        <f>if($C150=true,G172*'Get Started'!$D$26,0)</f>
        <v>0</v>
      </c>
      <c r="H150" s="77">
        <f>if($C150=true,H172*'Get Started'!$D$26,0)</f>
        <v>0</v>
      </c>
      <c r="I150" s="77">
        <f>if($C150=true,I172*'Get Started'!$D$26,0)</f>
        <v>0</v>
      </c>
      <c r="J150" s="77">
        <f>if($C150=true,J172*'Get Started'!$D$26,0)</f>
        <v>0</v>
      </c>
      <c r="K150" s="77">
        <f>if($C150=true,K172*'Get Started'!$D$26,0)</f>
        <v>0</v>
      </c>
      <c r="L150" s="77">
        <f>if($C150=true,L172*'Get Started'!$D$26,0)</f>
        <v>0</v>
      </c>
      <c r="M150" s="77">
        <f>if($C150=true,M172*'Get Started'!$D$26,0)</f>
        <v>0</v>
      </c>
      <c r="N150" s="77">
        <f>if($C150=true,N172*'Get Started'!$D$26,0)</f>
        <v>0</v>
      </c>
      <c r="O150" s="77">
        <f>if($C150=true,O172*'Get Started'!$D$26,0)</f>
        <v>0</v>
      </c>
      <c r="P150" s="77">
        <f>if($C150=true,P172*'Get Started'!$D$26,0)</f>
        <v>0</v>
      </c>
      <c r="Q150" s="77">
        <f>if($C150=true,Q172*'Get Started'!$D$26,0)</f>
        <v>0</v>
      </c>
      <c r="R150" s="77">
        <f>if($C150=true,R172*'Get Started'!$D$26,0)</f>
        <v>0</v>
      </c>
      <c r="S150" s="77">
        <f>if($C150=true,S172*'Get Started'!$D$26,0)</f>
        <v>0</v>
      </c>
      <c r="T150" s="77">
        <f>if($C150=true,T172*'Get Started'!$D$26,0)</f>
        <v>0</v>
      </c>
      <c r="U150" s="77">
        <f>if($C150=true,U172*'Get Started'!$D$26,0)</f>
        <v>0</v>
      </c>
      <c r="V150" s="77">
        <f>if($C150=true,V172*'Get Started'!$D$26,0)</f>
        <v>0</v>
      </c>
      <c r="W150" s="77">
        <f>if($C150=true,W172*'Get Started'!$D$26,0)</f>
        <v>0</v>
      </c>
      <c r="X150" s="77">
        <f>if($C150=true,X172*'Get Started'!$D$26,0)</f>
        <v>0</v>
      </c>
      <c r="Y150" s="77">
        <f>if($C150=true,Y172*'Get Started'!$D$26,0)</f>
        <v>0</v>
      </c>
      <c r="Z150" s="77">
        <f>if($C150=true,Z172*'Get Started'!$D$26,0)</f>
        <v>0</v>
      </c>
    </row>
    <row r="151" hidden="1" outlineLevel="1">
      <c r="B151" s="93">
        <f t="shared" si="106"/>
        <v>15</v>
      </c>
      <c r="C151" s="76" t="b">
        <f t="shared" si="105"/>
        <v>0</v>
      </c>
      <c r="D151" s="40" t="s">
        <v>161</v>
      </c>
      <c r="E151" s="74">
        <f t="shared" si="102"/>
        <v>0</v>
      </c>
      <c r="F151" s="78"/>
      <c r="G151" s="77">
        <f>if($C151=true,G173*'Get Started'!$D$26,0)</f>
        <v>0</v>
      </c>
      <c r="H151" s="77">
        <f>if($C151=true,H173*'Get Started'!$D$26,0)</f>
        <v>0</v>
      </c>
      <c r="I151" s="77">
        <f>if($C151=true,I173*'Get Started'!$D$26,0)</f>
        <v>0</v>
      </c>
      <c r="J151" s="77">
        <f>if($C151=true,J173*'Get Started'!$D$26,0)</f>
        <v>0</v>
      </c>
      <c r="K151" s="77">
        <f>if($C151=true,K173*'Get Started'!$D$26,0)</f>
        <v>0</v>
      </c>
      <c r="L151" s="77">
        <f>if($C151=true,L173*'Get Started'!$D$26,0)</f>
        <v>0</v>
      </c>
      <c r="M151" s="77">
        <f>if($C151=true,M173*'Get Started'!$D$26,0)</f>
        <v>0</v>
      </c>
      <c r="N151" s="77">
        <f>if($C151=true,N173*'Get Started'!$D$26,0)</f>
        <v>0</v>
      </c>
      <c r="O151" s="77">
        <f>if($C151=true,O173*'Get Started'!$D$26,0)</f>
        <v>0</v>
      </c>
      <c r="P151" s="77">
        <f>if($C151=true,P173*'Get Started'!$D$26,0)</f>
        <v>0</v>
      </c>
      <c r="Q151" s="77">
        <f>if($C151=true,Q173*'Get Started'!$D$26,0)</f>
        <v>0</v>
      </c>
      <c r="R151" s="77">
        <f>if($C151=true,R173*'Get Started'!$D$26,0)</f>
        <v>0</v>
      </c>
      <c r="S151" s="77">
        <f>if($C151=true,S173*'Get Started'!$D$26,0)</f>
        <v>0</v>
      </c>
      <c r="T151" s="77">
        <f>if($C151=true,T173*'Get Started'!$D$26,0)</f>
        <v>0</v>
      </c>
      <c r="U151" s="77">
        <f>if($C151=true,U173*'Get Started'!$D$26,0)</f>
        <v>0</v>
      </c>
      <c r="V151" s="77">
        <f>if($C151=true,V173*'Get Started'!$D$26,0)</f>
        <v>0</v>
      </c>
      <c r="W151" s="77">
        <f>if($C151=true,W173*'Get Started'!$D$26,0)</f>
        <v>0</v>
      </c>
      <c r="X151" s="77">
        <f>if($C151=true,X173*'Get Started'!$D$26,0)</f>
        <v>0</v>
      </c>
      <c r="Y151" s="77">
        <f>if($C151=true,Y173*'Get Started'!$D$26,0)</f>
        <v>0</v>
      </c>
      <c r="Z151" s="77">
        <f>if($C151=true,Z173*'Get Started'!$D$26,0)</f>
        <v>0</v>
      </c>
    </row>
    <row r="152" hidden="1" outlineLevel="1">
      <c r="B152" s="93">
        <f t="shared" si="106"/>
        <v>16</v>
      </c>
      <c r="C152" s="76" t="b">
        <f t="shared" si="105"/>
        <v>0</v>
      </c>
      <c r="D152" s="40" t="s">
        <v>161</v>
      </c>
      <c r="E152" s="74">
        <f t="shared" si="102"/>
        <v>0</v>
      </c>
      <c r="F152" s="78"/>
      <c r="G152" s="77">
        <f>if($C152=true,G174*'Get Started'!$D$26,0)</f>
        <v>0</v>
      </c>
      <c r="H152" s="77">
        <f>if($C152=true,H174*'Get Started'!$D$26,0)</f>
        <v>0</v>
      </c>
      <c r="I152" s="77">
        <f>if($C152=true,I174*'Get Started'!$D$26,0)</f>
        <v>0</v>
      </c>
      <c r="J152" s="77">
        <f>if($C152=true,J174*'Get Started'!$D$26,0)</f>
        <v>0</v>
      </c>
      <c r="K152" s="77">
        <f>if($C152=true,K174*'Get Started'!$D$26,0)</f>
        <v>0</v>
      </c>
      <c r="L152" s="77">
        <f>if($C152=true,L174*'Get Started'!$D$26,0)</f>
        <v>0</v>
      </c>
      <c r="M152" s="77">
        <f>if($C152=true,M174*'Get Started'!$D$26,0)</f>
        <v>0</v>
      </c>
      <c r="N152" s="77">
        <f>if($C152=true,N174*'Get Started'!$D$26,0)</f>
        <v>0</v>
      </c>
      <c r="O152" s="77">
        <f>if($C152=true,O174*'Get Started'!$D$26,0)</f>
        <v>0</v>
      </c>
      <c r="P152" s="77">
        <f>if($C152=true,P174*'Get Started'!$D$26,0)</f>
        <v>0</v>
      </c>
      <c r="Q152" s="77">
        <f>if($C152=true,Q174*'Get Started'!$D$26,0)</f>
        <v>0</v>
      </c>
      <c r="R152" s="77">
        <f>if($C152=true,R174*'Get Started'!$D$26,0)</f>
        <v>0</v>
      </c>
      <c r="S152" s="77">
        <f>if($C152=true,S174*'Get Started'!$D$26,0)</f>
        <v>0</v>
      </c>
      <c r="T152" s="77">
        <f>if($C152=true,T174*'Get Started'!$D$26,0)</f>
        <v>0</v>
      </c>
      <c r="U152" s="77">
        <f>if($C152=true,U174*'Get Started'!$D$26,0)</f>
        <v>0</v>
      </c>
      <c r="V152" s="77">
        <f>if($C152=true,V174*'Get Started'!$D$26,0)</f>
        <v>0</v>
      </c>
      <c r="W152" s="77">
        <f>if($C152=true,W174*'Get Started'!$D$26,0)</f>
        <v>0</v>
      </c>
      <c r="X152" s="77">
        <f>if($C152=true,X174*'Get Started'!$D$26,0)</f>
        <v>0</v>
      </c>
      <c r="Y152" s="77">
        <f>if($C152=true,Y174*'Get Started'!$D$26,0)</f>
        <v>0</v>
      </c>
      <c r="Z152" s="77">
        <f>if($C152=true,Z174*'Get Started'!$D$26,0)</f>
        <v>0</v>
      </c>
    </row>
    <row r="153" hidden="1" outlineLevel="1">
      <c r="B153" s="93">
        <f t="shared" si="106"/>
        <v>17</v>
      </c>
      <c r="C153" s="76" t="b">
        <f t="shared" si="105"/>
        <v>0</v>
      </c>
      <c r="D153" s="40" t="s">
        <v>161</v>
      </c>
      <c r="E153" s="74">
        <f t="shared" si="102"/>
        <v>0</v>
      </c>
      <c r="F153" s="78"/>
      <c r="G153" s="77">
        <f>if($C153=true,G175*'Get Started'!$D$26,0)</f>
        <v>0</v>
      </c>
      <c r="H153" s="77">
        <f>if($C153=true,H175*'Get Started'!$D$26,0)</f>
        <v>0</v>
      </c>
      <c r="I153" s="77">
        <f>if($C153=true,I175*'Get Started'!$D$26,0)</f>
        <v>0</v>
      </c>
      <c r="J153" s="77">
        <f>if($C153=true,J175*'Get Started'!$D$26,0)</f>
        <v>0</v>
      </c>
      <c r="K153" s="77">
        <f>if($C153=true,K175*'Get Started'!$D$26,0)</f>
        <v>0</v>
      </c>
      <c r="L153" s="77">
        <f>if($C153=true,L175*'Get Started'!$D$26,0)</f>
        <v>0</v>
      </c>
      <c r="M153" s="77">
        <f>if($C153=true,M175*'Get Started'!$D$26,0)</f>
        <v>0</v>
      </c>
      <c r="N153" s="77">
        <f>if($C153=true,N175*'Get Started'!$D$26,0)</f>
        <v>0</v>
      </c>
      <c r="O153" s="77">
        <f>if($C153=true,O175*'Get Started'!$D$26,0)</f>
        <v>0</v>
      </c>
      <c r="P153" s="77">
        <f>if($C153=true,P175*'Get Started'!$D$26,0)</f>
        <v>0</v>
      </c>
      <c r="Q153" s="77">
        <f>if($C153=true,Q175*'Get Started'!$D$26,0)</f>
        <v>0</v>
      </c>
      <c r="R153" s="77">
        <f>if($C153=true,R175*'Get Started'!$D$26,0)</f>
        <v>0</v>
      </c>
      <c r="S153" s="77">
        <f>if($C153=true,S175*'Get Started'!$D$26,0)</f>
        <v>0</v>
      </c>
      <c r="T153" s="77">
        <f>if($C153=true,T175*'Get Started'!$D$26,0)</f>
        <v>0</v>
      </c>
      <c r="U153" s="77">
        <f>if($C153=true,U175*'Get Started'!$D$26,0)</f>
        <v>0</v>
      </c>
      <c r="V153" s="77">
        <f>if($C153=true,V175*'Get Started'!$D$26,0)</f>
        <v>0</v>
      </c>
      <c r="W153" s="77">
        <f>if($C153=true,W175*'Get Started'!$D$26,0)</f>
        <v>0</v>
      </c>
      <c r="X153" s="77">
        <f>if($C153=true,X175*'Get Started'!$D$26,0)</f>
        <v>0</v>
      </c>
      <c r="Y153" s="77">
        <f>if($C153=true,Y175*'Get Started'!$D$26,0)</f>
        <v>0</v>
      </c>
      <c r="Z153" s="77">
        <f>if($C153=true,Z175*'Get Started'!$D$26,0)</f>
        <v>0</v>
      </c>
    </row>
    <row r="154" hidden="1" outlineLevel="1">
      <c r="B154" s="93">
        <f t="shared" si="106"/>
        <v>18</v>
      </c>
      <c r="C154" s="76" t="b">
        <f t="shared" si="105"/>
        <v>0</v>
      </c>
      <c r="D154" s="40" t="s">
        <v>161</v>
      </c>
      <c r="E154" s="74">
        <f t="shared" si="102"/>
        <v>0</v>
      </c>
      <c r="F154" s="78"/>
      <c r="G154" s="77">
        <f>if($C154=true,G176*'Get Started'!$D$26,0)</f>
        <v>0</v>
      </c>
      <c r="H154" s="77">
        <f>if($C154=true,H176*'Get Started'!$D$26,0)</f>
        <v>0</v>
      </c>
      <c r="I154" s="77">
        <f>if($C154=true,I176*'Get Started'!$D$26,0)</f>
        <v>0</v>
      </c>
      <c r="J154" s="77">
        <f>if($C154=true,J176*'Get Started'!$D$26,0)</f>
        <v>0</v>
      </c>
      <c r="K154" s="77">
        <f>if($C154=true,K176*'Get Started'!$D$26,0)</f>
        <v>0</v>
      </c>
      <c r="L154" s="77">
        <f>if($C154=true,L176*'Get Started'!$D$26,0)</f>
        <v>0</v>
      </c>
      <c r="M154" s="77">
        <f>if($C154=true,M176*'Get Started'!$D$26,0)</f>
        <v>0</v>
      </c>
      <c r="N154" s="77">
        <f>if($C154=true,N176*'Get Started'!$D$26,0)</f>
        <v>0</v>
      </c>
      <c r="O154" s="77">
        <f>if($C154=true,O176*'Get Started'!$D$26,0)</f>
        <v>0</v>
      </c>
      <c r="P154" s="77">
        <f>if($C154=true,P176*'Get Started'!$D$26,0)</f>
        <v>0</v>
      </c>
      <c r="Q154" s="77">
        <f>if($C154=true,Q176*'Get Started'!$D$26,0)</f>
        <v>0</v>
      </c>
      <c r="R154" s="77">
        <f>if($C154=true,R176*'Get Started'!$D$26,0)</f>
        <v>0</v>
      </c>
      <c r="S154" s="77">
        <f>if($C154=true,S176*'Get Started'!$D$26,0)</f>
        <v>0</v>
      </c>
      <c r="T154" s="77">
        <f>if($C154=true,T176*'Get Started'!$D$26,0)</f>
        <v>0</v>
      </c>
      <c r="U154" s="77">
        <f>if($C154=true,U176*'Get Started'!$D$26,0)</f>
        <v>0</v>
      </c>
      <c r="V154" s="77">
        <f>if($C154=true,V176*'Get Started'!$D$26,0)</f>
        <v>0</v>
      </c>
      <c r="W154" s="77">
        <f>if($C154=true,W176*'Get Started'!$D$26,0)</f>
        <v>0</v>
      </c>
      <c r="X154" s="77">
        <f>if($C154=true,X176*'Get Started'!$D$26,0)</f>
        <v>0</v>
      </c>
      <c r="Y154" s="77">
        <f>if($C154=true,Y176*'Get Started'!$D$26,0)</f>
        <v>0</v>
      </c>
      <c r="Z154" s="77">
        <f>if($C154=true,Z176*'Get Started'!$D$26,0)</f>
        <v>0</v>
      </c>
    </row>
    <row r="155" hidden="1" outlineLevel="1">
      <c r="B155" s="93">
        <f t="shared" si="106"/>
        <v>19</v>
      </c>
      <c r="C155" s="76" t="b">
        <f t="shared" si="105"/>
        <v>0</v>
      </c>
      <c r="D155" s="40" t="s">
        <v>161</v>
      </c>
      <c r="E155" s="74">
        <f t="shared" si="102"/>
        <v>0</v>
      </c>
      <c r="F155" s="78"/>
      <c r="G155" s="77">
        <f>if($C155=true,G177*'Get Started'!$D$26,0)</f>
        <v>0</v>
      </c>
      <c r="H155" s="77">
        <f>if($C155=true,H177*'Get Started'!$D$26,0)</f>
        <v>0</v>
      </c>
      <c r="I155" s="77">
        <f>if($C155=true,I177*'Get Started'!$D$26,0)</f>
        <v>0</v>
      </c>
      <c r="J155" s="77">
        <f>if($C155=true,J177*'Get Started'!$D$26,0)</f>
        <v>0</v>
      </c>
      <c r="K155" s="77">
        <f>if($C155=true,K177*'Get Started'!$D$26,0)</f>
        <v>0</v>
      </c>
      <c r="L155" s="77">
        <f>if($C155=true,L177*'Get Started'!$D$26,0)</f>
        <v>0</v>
      </c>
      <c r="M155" s="77">
        <f>if($C155=true,M177*'Get Started'!$D$26,0)</f>
        <v>0</v>
      </c>
      <c r="N155" s="77">
        <f>if($C155=true,N177*'Get Started'!$D$26,0)</f>
        <v>0</v>
      </c>
      <c r="O155" s="77">
        <f>if($C155=true,O177*'Get Started'!$D$26,0)</f>
        <v>0</v>
      </c>
      <c r="P155" s="77">
        <f>if($C155=true,P177*'Get Started'!$D$26,0)</f>
        <v>0</v>
      </c>
      <c r="Q155" s="77">
        <f>if($C155=true,Q177*'Get Started'!$D$26,0)</f>
        <v>0</v>
      </c>
      <c r="R155" s="77">
        <f>if($C155=true,R177*'Get Started'!$D$26,0)</f>
        <v>0</v>
      </c>
      <c r="S155" s="77">
        <f>if($C155=true,S177*'Get Started'!$D$26,0)</f>
        <v>0</v>
      </c>
      <c r="T155" s="77">
        <f>if($C155=true,T177*'Get Started'!$D$26,0)</f>
        <v>0</v>
      </c>
      <c r="U155" s="77">
        <f>if($C155=true,U177*'Get Started'!$D$26,0)</f>
        <v>0</v>
      </c>
      <c r="V155" s="77">
        <f>if($C155=true,V177*'Get Started'!$D$26,0)</f>
        <v>0</v>
      </c>
      <c r="W155" s="77">
        <f>if($C155=true,W177*'Get Started'!$D$26,0)</f>
        <v>0</v>
      </c>
      <c r="X155" s="77">
        <f>if($C155=true,X177*'Get Started'!$D$26,0)</f>
        <v>0</v>
      </c>
      <c r="Y155" s="77">
        <f>if($C155=true,Y177*'Get Started'!$D$26,0)</f>
        <v>0</v>
      </c>
      <c r="Z155" s="77">
        <f>if($C155=true,Z177*'Get Started'!$D$26,0)</f>
        <v>0</v>
      </c>
    </row>
    <row r="156" hidden="1" outlineLevel="1">
      <c r="B156" s="93">
        <f t="shared" si="106"/>
        <v>20</v>
      </c>
      <c r="C156" s="76" t="b">
        <f t="shared" si="105"/>
        <v>0</v>
      </c>
      <c r="D156" s="40" t="s">
        <v>161</v>
      </c>
      <c r="E156" s="74">
        <f t="shared" si="102"/>
        <v>0</v>
      </c>
      <c r="F156" s="78"/>
      <c r="G156" s="77">
        <f>if($C156=true,G178*'Get Started'!$D$26,0)</f>
        <v>0</v>
      </c>
      <c r="H156" s="77">
        <f>if($C156=true,H178*'Get Started'!$D$26,0)</f>
        <v>0</v>
      </c>
      <c r="I156" s="77">
        <f>if($C156=true,I178*'Get Started'!$D$26,0)</f>
        <v>0</v>
      </c>
      <c r="J156" s="77">
        <f>if($C156=true,J178*'Get Started'!$D$26,0)</f>
        <v>0</v>
      </c>
      <c r="K156" s="77">
        <f>if($C156=true,K178*'Get Started'!$D$26,0)</f>
        <v>0</v>
      </c>
      <c r="L156" s="77">
        <f>if($C156=true,L178*'Get Started'!$D$26,0)</f>
        <v>0</v>
      </c>
      <c r="M156" s="77">
        <f>if($C156=true,M178*'Get Started'!$D$26,0)</f>
        <v>0</v>
      </c>
      <c r="N156" s="77">
        <f>if($C156=true,N178*'Get Started'!$D$26,0)</f>
        <v>0</v>
      </c>
      <c r="O156" s="77">
        <f>if($C156=true,O178*'Get Started'!$D$26,0)</f>
        <v>0</v>
      </c>
      <c r="P156" s="77">
        <f>if($C156=true,P178*'Get Started'!$D$26,0)</f>
        <v>0</v>
      </c>
      <c r="Q156" s="77">
        <f>if($C156=true,Q178*'Get Started'!$D$26,0)</f>
        <v>0</v>
      </c>
      <c r="R156" s="77">
        <f>if($C156=true,R178*'Get Started'!$D$26,0)</f>
        <v>0</v>
      </c>
      <c r="S156" s="77">
        <f>if($C156=true,S178*'Get Started'!$D$26,0)</f>
        <v>0</v>
      </c>
      <c r="T156" s="77">
        <f>if($C156=true,T178*'Get Started'!$D$26,0)</f>
        <v>0</v>
      </c>
      <c r="U156" s="77">
        <f>if($C156=true,U178*'Get Started'!$D$26,0)</f>
        <v>0</v>
      </c>
      <c r="V156" s="77">
        <f>if($C156=true,V178*'Get Started'!$D$26,0)</f>
        <v>0</v>
      </c>
      <c r="W156" s="77">
        <f>if($C156=true,W178*'Get Started'!$D$26,0)</f>
        <v>0</v>
      </c>
      <c r="X156" s="77">
        <f>if($C156=true,X178*'Get Started'!$D$26,0)</f>
        <v>0</v>
      </c>
      <c r="Y156" s="77">
        <f>if($C156=true,Y178*'Get Started'!$D$26,0)</f>
        <v>0</v>
      </c>
      <c r="Z156" s="77">
        <f>if($C156=true,Z178*'Get Started'!$D$26,0)</f>
        <v>0</v>
      </c>
    </row>
    <row r="157">
      <c r="B157" s="36"/>
      <c r="C157" s="40"/>
      <c r="D157" s="40"/>
      <c r="E157" s="74"/>
      <c r="F157" s="78"/>
      <c r="G157" s="94"/>
      <c r="H157" s="94"/>
      <c r="I157" s="77"/>
      <c r="J157" s="77"/>
      <c r="K157" s="77"/>
      <c r="L157" s="77"/>
      <c r="M157" s="77"/>
      <c r="N157" s="77"/>
      <c r="O157" s="77"/>
      <c r="P157" s="77"/>
      <c r="Q157" s="77"/>
      <c r="R157" s="77"/>
      <c r="S157" s="77"/>
      <c r="T157" s="77"/>
      <c r="U157" s="77"/>
      <c r="V157" s="77"/>
      <c r="W157" s="77"/>
      <c r="X157" s="77"/>
      <c r="Y157" s="77"/>
      <c r="Z157" s="77"/>
    </row>
    <row r="158" collapsed="1">
      <c r="B158" s="36" t="s">
        <v>172</v>
      </c>
      <c r="C158" s="40"/>
      <c r="D158" s="16" t="s">
        <v>161</v>
      </c>
      <c r="E158" s="74">
        <f t="shared" ref="E158:E811" si="108">if(D158="sum",sum(G158:Z158),if(D158="final",Z158,if(D158="initial",G158,if(D158="average",average(G158:Z158),0))))</f>
        <v>98450000</v>
      </c>
      <c r="F158" s="78"/>
      <c r="G158" s="77">
        <f t="shared" ref="G158:Z158" si="107">sum(G159:G178)</f>
        <v>5641185</v>
      </c>
      <c r="H158" s="77">
        <f t="shared" si="107"/>
        <v>14189926.67</v>
      </c>
      <c r="I158" s="77">
        <f t="shared" si="107"/>
        <v>22738668.33</v>
      </c>
      <c r="J158" s="77">
        <f t="shared" si="107"/>
        <v>23677225</v>
      </c>
      <c r="K158" s="77">
        <f t="shared" si="107"/>
        <v>16692197.5</v>
      </c>
      <c r="L158" s="77">
        <f t="shared" si="107"/>
        <v>8143455.833</v>
      </c>
      <c r="M158" s="77">
        <f t="shared" si="107"/>
        <v>2351314.167</v>
      </c>
      <c r="N158" s="77">
        <f t="shared" si="107"/>
        <v>1575200</v>
      </c>
      <c r="O158" s="77">
        <f t="shared" si="107"/>
        <v>1934542.5</v>
      </c>
      <c r="P158" s="77">
        <f t="shared" si="107"/>
        <v>1146942.5</v>
      </c>
      <c r="Q158" s="77">
        <f t="shared" si="107"/>
        <v>359342.5</v>
      </c>
      <c r="R158" s="77">
        <f t="shared" si="107"/>
        <v>0</v>
      </c>
      <c r="S158" s="77">
        <f t="shared" si="107"/>
        <v>0</v>
      </c>
      <c r="T158" s="77">
        <f t="shared" si="107"/>
        <v>0</v>
      </c>
      <c r="U158" s="77">
        <f t="shared" si="107"/>
        <v>0</v>
      </c>
      <c r="V158" s="77">
        <f t="shared" si="107"/>
        <v>0</v>
      </c>
      <c r="W158" s="77">
        <f t="shared" si="107"/>
        <v>0</v>
      </c>
      <c r="X158" s="77">
        <f t="shared" si="107"/>
        <v>0</v>
      </c>
      <c r="Y158" s="77">
        <f t="shared" si="107"/>
        <v>0</v>
      </c>
      <c r="Z158" s="77">
        <f t="shared" si="107"/>
        <v>0</v>
      </c>
    </row>
    <row r="159" hidden="1" outlineLevel="1">
      <c r="B159" s="93">
        <f>G$4</f>
        <v>1</v>
      </c>
      <c r="C159" s="40"/>
      <c r="D159" s="16" t="s">
        <v>161</v>
      </c>
      <c r="E159" s="74">
        <f t="shared" si="108"/>
        <v>32816666.67</v>
      </c>
      <c r="F159" s="78"/>
      <c r="G159" s="77">
        <f t="shared" ref="G159:Z159" si="109">min(index($G$131:$Z$131,,$B159)-sum($F159:F159), max(0,G180+G201+G264+G285+G306-G327))</f>
        <v>5641185</v>
      </c>
      <c r="H159" s="77">
        <f t="shared" si="109"/>
        <v>8548741.667</v>
      </c>
      <c r="I159" s="77">
        <f t="shared" si="109"/>
        <v>8548741.667</v>
      </c>
      <c r="J159" s="77">
        <f t="shared" si="109"/>
        <v>6579741.667</v>
      </c>
      <c r="K159" s="77">
        <f t="shared" si="109"/>
        <v>1563714.167</v>
      </c>
      <c r="L159" s="77">
        <f t="shared" si="109"/>
        <v>0</v>
      </c>
      <c r="M159" s="77">
        <f t="shared" si="109"/>
        <v>787600</v>
      </c>
      <c r="N159" s="77">
        <f t="shared" si="109"/>
        <v>787600</v>
      </c>
      <c r="O159" s="77">
        <f t="shared" si="109"/>
        <v>359342.5</v>
      </c>
      <c r="P159" s="77">
        <f t="shared" si="109"/>
        <v>0</v>
      </c>
      <c r="Q159" s="77">
        <f t="shared" si="109"/>
        <v>0</v>
      </c>
      <c r="R159" s="77">
        <f t="shared" si="109"/>
        <v>0</v>
      </c>
      <c r="S159" s="77">
        <f t="shared" si="109"/>
        <v>0</v>
      </c>
      <c r="T159" s="77">
        <f t="shared" si="109"/>
        <v>0</v>
      </c>
      <c r="U159" s="77">
        <f t="shared" si="109"/>
        <v>0</v>
      </c>
      <c r="V159" s="77">
        <f t="shared" si="109"/>
        <v>0</v>
      </c>
      <c r="W159" s="77">
        <f t="shared" si="109"/>
        <v>0</v>
      </c>
      <c r="X159" s="77">
        <f t="shared" si="109"/>
        <v>0</v>
      </c>
      <c r="Y159" s="77">
        <f t="shared" si="109"/>
        <v>0</v>
      </c>
      <c r="Z159" s="77">
        <f t="shared" si="109"/>
        <v>0</v>
      </c>
    </row>
    <row r="160" hidden="1" outlineLevel="1">
      <c r="B160" s="93">
        <f t="shared" ref="B160:B178" si="111">B159+1</f>
        <v>2</v>
      </c>
      <c r="C160" s="40"/>
      <c r="D160" s="16" t="s">
        <v>161</v>
      </c>
      <c r="E160" s="74">
        <f t="shared" si="108"/>
        <v>32816666.67</v>
      </c>
      <c r="F160" s="78"/>
      <c r="G160" s="77">
        <f t="shared" ref="G160:Z160" si="110">min(index($G$131:$Z$131,,$B160)-sum($F160:F160), max(0,G181+G202+G265+G286+G307-G328))</f>
        <v>0</v>
      </c>
      <c r="H160" s="77">
        <f t="shared" si="110"/>
        <v>5641185</v>
      </c>
      <c r="I160" s="77">
        <f t="shared" si="110"/>
        <v>8548741.667</v>
      </c>
      <c r="J160" s="77">
        <f t="shared" si="110"/>
        <v>8548741.667</v>
      </c>
      <c r="K160" s="77">
        <f t="shared" si="110"/>
        <v>6579741.667</v>
      </c>
      <c r="L160" s="77">
        <f t="shared" si="110"/>
        <v>1563714.167</v>
      </c>
      <c r="M160" s="77">
        <f t="shared" si="110"/>
        <v>0</v>
      </c>
      <c r="N160" s="77">
        <f t="shared" si="110"/>
        <v>787600</v>
      </c>
      <c r="O160" s="77">
        <f t="shared" si="110"/>
        <v>787600</v>
      </c>
      <c r="P160" s="77">
        <f t="shared" si="110"/>
        <v>359342.5</v>
      </c>
      <c r="Q160" s="77">
        <f t="shared" si="110"/>
        <v>0</v>
      </c>
      <c r="R160" s="77">
        <f t="shared" si="110"/>
        <v>0</v>
      </c>
      <c r="S160" s="77">
        <f t="shared" si="110"/>
        <v>0</v>
      </c>
      <c r="T160" s="77">
        <f t="shared" si="110"/>
        <v>0</v>
      </c>
      <c r="U160" s="77">
        <f t="shared" si="110"/>
        <v>0</v>
      </c>
      <c r="V160" s="77">
        <f t="shared" si="110"/>
        <v>0</v>
      </c>
      <c r="W160" s="77">
        <f t="shared" si="110"/>
        <v>0</v>
      </c>
      <c r="X160" s="77">
        <f t="shared" si="110"/>
        <v>0</v>
      </c>
      <c r="Y160" s="77">
        <f t="shared" si="110"/>
        <v>0</v>
      </c>
      <c r="Z160" s="77">
        <f t="shared" si="110"/>
        <v>0</v>
      </c>
    </row>
    <row r="161" hidden="1" outlineLevel="1">
      <c r="B161" s="93">
        <f t="shared" si="111"/>
        <v>3</v>
      </c>
      <c r="C161" s="40"/>
      <c r="D161" s="16" t="s">
        <v>161</v>
      </c>
      <c r="E161" s="74">
        <f t="shared" si="108"/>
        <v>32816666.67</v>
      </c>
      <c r="F161" s="78"/>
      <c r="G161" s="77">
        <f t="shared" ref="G161:Z161" si="112">min(index($G$131:$Z$131,,$B161)-sum($F161:F161), max(0,G182+G203+G266+G287+G308-G329))</f>
        <v>0</v>
      </c>
      <c r="H161" s="77">
        <f t="shared" si="112"/>
        <v>0</v>
      </c>
      <c r="I161" s="77">
        <f t="shared" si="112"/>
        <v>5641185</v>
      </c>
      <c r="J161" s="77">
        <f t="shared" si="112"/>
        <v>8548741.667</v>
      </c>
      <c r="K161" s="77">
        <f t="shared" si="112"/>
        <v>8548741.667</v>
      </c>
      <c r="L161" s="77">
        <f t="shared" si="112"/>
        <v>6579741.667</v>
      </c>
      <c r="M161" s="77">
        <f t="shared" si="112"/>
        <v>1563714.167</v>
      </c>
      <c r="N161" s="77">
        <f t="shared" si="112"/>
        <v>0</v>
      </c>
      <c r="O161" s="77">
        <f t="shared" si="112"/>
        <v>787600</v>
      </c>
      <c r="P161" s="77">
        <f t="shared" si="112"/>
        <v>787600</v>
      </c>
      <c r="Q161" s="77">
        <f t="shared" si="112"/>
        <v>359342.5</v>
      </c>
      <c r="R161" s="77">
        <f t="shared" si="112"/>
        <v>0</v>
      </c>
      <c r="S161" s="77">
        <f t="shared" si="112"/>
        <v>0</v>
      </c>
      <c r="T161" s="77">
        <f t="shared" si="112"/>
        <v>0</v>
      </c>
      <c r="U161" s="77">
        <f t="shared" si="112"/>
        <v>0</v>
      </c>
      <c r="V161" s="77">
        <f t="shared" si="112"/>
        <v>0</v>
      </c>
      <c r="W161" s="77">
        <f t="shared" si="112"/>
        <v>0</v>
      </c>
      <c r="X161" s="77">
        <f t="shared" si="112"/>
        <v>0</v>
      </c>
      <c r="Y161" s="77">
        <f t="shared" si="112"/>
        <v>0</v>
      </c>
      <c r="Z161" s="77">
        <f t="shared" si="112"/>
        <v>0</v>
      </c>
    </row>
    <row r="162" hidden="1" outlineLevel="1">
      <c r="B162" s="93">
        <f t="shared" si="111"/>
        <v>4</v>
      </c>
      <c r="C162" s="40"/>
      <c r="D162" s="16" t="s">
        <v>161</v>
      </c>
      <c r="E162" s="74">
        <f t="shared" si="108"/>
        <v>0</v>
      </c>
      <c r="F162" s="78"/>
      <c r="G162" s="77">
        <f t="shared" ref="G162:Z162" si="113">min(index($G$131:$Z$131,,$B162)-sum($F162:F162), max(0,G183+G204+G267+G288+G309-G330))</f>
        <v>0</v>
      </c>
      <c r="H162" s="77">
        <f t="shared" si="113"/>
        <v>0</v>
      </c>
      <c r="I162" s="77">
        <f t="shared" si="113"/>
        <v>0</v>
      </c>
      <c r="J162" s="77">
        <f t="shared" si="113"/>
        <v>0</v>
      </c>
      <c r="K162" s="77">
        <f t="shared" si="113"/>
        <v>0</v>
      </c>
      <c r="L162" s="77">
        <f t="shared" si="113"/>
        <v>0</v>
      </c>
      <c r="M162" s="77">
        <f t="shared" si="113"/>
        <v>0</v>
      </c>
      <c r="N162" s="77">
        <f t="shared" si="113"/>
        <v>0</v>
      </c>
      <c r="O162" s="77">
        <f t="shared" si="113"/>
        <v>0</v>
      </c>
      <c r="P162" s="77">
        <f t="shared" si="113"/>
        <v>0</v>
      </c>
      <c r="Q162" s="77">
        <f t="shared" si="113"/>
        <v>0</v>
      </c>
      <c r="R162" s="77">
        <f t="shared" si="113"/>
        <v>0</v>
      </c>
      <c r="S162" s="77">
        <f t="shared" si="113"/>
        <v>0</v>
      </c>
      <c r="T162" s="77">
        <f t="shared" si="113"/>
        <v>0</v>
      </c>
      <c r="U162" s="77">
        <f t="shared" si="113"/>
        <v>0</v>
      </c>
      <c r="V162" s="77">
        <f t="shared" si="113"/>
        <v>0</v>
      </c>
      <c r="W162" s="77">
        <f t="shared" si="113"/>
        <v>0</v>
      </c>
      <c r="X162" s="77">
        <f t="shared" si="113"/>
        <v>0</v>
      </c>
      <c r="Y162" s="77">
        <f t="shared" si="113"/>
        <v>0</v>
      </c>
      <c r="Z162" s="77">
        <f t="shared" si="113"/>
        <v>0</v>
      </c>
    </row>
    <row r="163" hidden="1" outlineLevel="1">
      <c r="B163" s="93">
        <f t="shared" si="111"/>
        <v>5</v>
      </c>
      <c r="C163" s="40"/>
      <c r="D163" s="16" t="s">
        <v>161</v>
      </c>
      <c r="E163" s="74">
        <f t="shared" si="108"/>
        <v>0</v>
      </c>
      <c r="F163" s="78"/>
      <c r="G163" s="77">
        <f t="shared" ref="G163:Z163" si="114">min(index($G$131:$Z$131,,$B163)-sum($F163:F163), max(0,G184+G205+G268+G289+G310-G331))</f>
        <v>0</v>
      </c>
      <c r="H163" s="77">
        <f t="shared" si="114"/>
        <v>0</v>
      </c>
      <c r="I163" s="77">
        <f t="shared" si="114"/>
        <v>0</v>
      </c>
      <c r="J163" s="77">
        <f t="shared" si="114"/>
        <v>0</v>
      </c>
      <c r="K163" s="77">
        <f t="shared" si="114"/>
        <v>0</v>
      </c>
      <c r="L163" s="77">
        <f t="shared" si="114"/>
        <v>0</v>
      </c>
      <c r="M163" s="77">
        <f t="shared" si="114"/>
        <v>0</v>
      </c>
      <c r="N163" s="77">
        <f t="shared" si="114"/>
        <v>0</v>
      </c>
      <c r="O163" s="77">
        <f t="shared" si="114"/>
        <v>0</v>
      </c>
      <c r="P163" s="77">
        <f t="shared" si="114"/>
        <v>0</v>
      </c>
      <c r="Q163" s="77">
        <f t="shared" si="114"/>
        <v>0</v>
      </c>
      <c r="R163" s="77">
        <f t="shared" si="114"/>
        <v>0</v>
      </c>
      <c r="S163" s="77">
        <f t="shared" si="114"/>
        <v>0</v>
      </c>
      <c r="T163" s="77">
        <f t="shared" si="114"/>
        <v>0</v>
      </c>
      <c r="U163" s="77">
        <f t="shared" si="114"/>
        <v>0</v>
      </c>
      <c r="V163" s="77">
        <f t="shared" si="114"/>
        <v>0</v>
      </c>
      <c r="W163" s="77">
        <f t="shared" si="114"/>
        <v>0</v>
      </c>
      <c r="X163" s="77">
        <f t="shared" si="114"/>
        <v>0</v>
      </c>
      <c r="Y163" s="77">
        <f t="shared" si="114"/>
        <v>0</v>
      </c>
      <c r="Z163" s="77">
        <f t="shared" si="114"/>
        <v>0</v>
      </c>
    </row>
    <row r="164" hidden="1" outlineLevel="1">
      <c r="B164" s="93">
        <f t="shared" si="111"/>
        <v>6</v>
      </c>
      <c r="C164" s="40"/>
      <c r="D164" s="16" t="s">
        <v>161</v>
      </c>
      <c r="E164" s="74">
        <f t="shared" si="108"/>
        <v>0</v>
      </c>
      <c r="F164" s="78"/>
      <c r="G164" s="77">
        <f t="shared" ref="G164:Z164" si="115">min(index($G$131:$Z$131,,$B164)-sum($F164:F164), max(0,G185+G206+G269+G290+G311-G332))</f>
        <v>0</v>
      </c>
      <c r="H164" s="77">
        <f t="shared" si="115"/>
        <v>0</v>
      </c>
      <c r="I164" s="77">
        <f t="shared" si="115"/>
        <v>0</v>
      </c>
      <c r="J164" s="77">
        <f t="shared" si="115"/>
        <v>0</v>
      </c>
      <c r="K164" s="77">
        <f t="shared" si="115"/>
        <v>0</v>
      </c>
      <c r="L164" s="77">
        <f t="shared" si="115"/>
        <v>0</v>
      </c>
      <c r="M164" s="77">
        <f t="shared" si="115"/>
        <v>0</v>
      </c>
      <c r="N164" s="77">
        <f t="shared" si="115"/>
        <v>0</v>
      </c>
      <c r="O164" s="77">
        <f t="shared" si="115"/>
        <v>0</v>
      </c>
      <c r="P164" s="77">
        <f t="shared" si="115"/>
        <v>0</v>
      </c>
      <c r="Q164" s="77">
        <f t="shared" si="115"/>
        <v>0</v>
      </c>
      <c r="R164" s="77">
        <f t="shared" si="115"/>
        <v>0</v>
      </c>
      <c r="S164" s="77">
        <f t="shared" si="115"/>
        <v>0</v>
      </c>
      <c r="T164" s="77">
        <f t="shared" si="115"/>
        <v>0</v>
      </c>
      <c r="U164" s="77">
        <f t="shared" si="115"/>
        <v>0</v>
      </c>
      <c r="V164" s="77">
        <f t="shared" si="115"/>
        <v>0</v>
      </c>
      <c r="W164" s="77">
        <f t="shared" si="115"/>
        <v>0</v>
      </c>
      <c r="X164" s="77">
        <f t="shared" si="115"/>
        <v>0</v>
      </c>
      <c r="Y164" s="77">
        <f t="shared" si="115"/>
        <v>0</v>
      </c>
      <c r="Z164" s="77">
        <f t="shared" si="115"/>
        <v>0</v>
      </c>
    </row>
    <row r="165" hidden="1" outlineLevel="1">
      <c r="B165" s="93">
        <f t="shared" si="111"/>
        <v>7</v>
      </c>
      <c r="C165" s="40"/>
      <c r="D165" s="16" t="s">
        <v>161</v>
      </c>
      <c r="E165" s="74">
        <f t="shared" si="108"/>
        <v>0</v>
      </c>
      <c r="F165" s="78"/>
      <c r="G165" s="77">
        <f t="shared" ref="G165:Z165" si="116">min(index($G$131:$Z$131,,$B165)-sum($F165:F165), max(0,G186+G207+G270+G291+G312-G333))</f>
        <v>0</v>
      </c>
      <c r="H165" s="77">
        <f t="shared" si="116"/>
        <v>0</v>
      </c>
      <c r="I165" s="77">
        <f t="shared" si="116"/>
        <v>0</v>
      </c>
      <c r="J165" s="77">
        <f t="shared" si="116"/>
        <v>0</v>
      </c>
      <c r="K165" s="77">
        <f t="shared" si="116"/>
        <v>0</v>
      </c>
      <c r="L165" s="77">
        <f t="shared" si="116"/>
        <v>0</v>
      </c>
      <c r="M165" s="77">
        <f t="shared" si="116"/>
        <v>0</v>
      </c>
      <c r="N165" s="77">
        <f t="shared" si="116"/>
        <v>0</v>
      </c>
      <c r="O165" s="77">
        <f t="shared" si="116"/>
        <v>0</v>
      </c>
      <c r="P165" s="77">
        <f t="shared" si="116"/>
        <v>0</v>
      </c>
      <c r="Q165" s="77">
        <f t="shared" si="116"/>
        <v>0</v>
      </c>
      <c r="R165" s="77">
        <f t="shared" si="116"/>
        <v>0</v>
      </c>
      <c r="S165" s="77">
        <f t="shared" si="116"/>
        <v>0</v>
      </c>
      <c r="T165" s="77">
        <f t="shared" si="116"/>
        <v>0</v>
      </c>
      <c r="U165" s="77">
        <f t="shared" si="116"/>
        <v>0</v>
      </c>
      <c r="V165" s="77">
        <f t="shared" si="116"/>
        <v>0</v>
      </c>
      <c r="W165" s="77">
        <f t="shared" si="116"/>
        <v>0</v>
      </c>
      <c r="X165" s="77">
        <f t="shared" si="116"/>
        <v>0</v>
      </c>
      <c r="Y165" s="77">
        <f t="shared" si="116"/>
        <v>0</v>
      </c>
      <c r="Z165" s="77">
        <f t="shared" si="116"/>
        <v>0</v>
      </c>
    </row>
    <row r="166" hidden="1" outlineLevel="1">
      <c r="B166" s="93">
        <f t="shared" si="111"/>
        <v>8</v>
      </c>
      <c r="C166" s="40"/>
      <c r="D166" s="16" t="s">
        <v>161</v>
      </c>
      <c r="E166" s="74">
        <f t="shared" si="108"/>
        <v>0</v>
      </c>
      <c r="F166" s="78"/>
      <c r="G166" s="77">
        <f t="shared" ref="G166:Z166" si="117">min(index($G$131:$Z$131,,$B166)-sum($F166:F166), max(0,G187+G208+G271+G292+G313-G334))</f>
        <v>0</v>
      </c>
      <c r="H166" s="77">
        <f t="shared" si="117"/>
        <v>0</v>
      </c>
      <c r="I166" s="77">
        <f t="shared" si="117"/>
        <v>0</v>
      </c>
      <c r="J166" s="77">
        <f t="shared" si="117"/>
        <v>0</v>
      </c>
      <c r="K166" s="77">
        <f t="shared" si="117"/>
        <v>0</v>
      </c>
      <c r="L166" s="77">
        <f t="shared" si="117"/>
        <v>0</v>
      </c>
      <c r="M166" s="77">
        <f t="shared" si="117"/>
        <v>0</v>
      </c>
      <c r="N166" s="77">
        <f t="shared" si="117"/>
        <v>0</v>
      </c>
      <c r="O166" s="77">
        <f t="shared" si="117"/>
        <v>0</v>
      </c>
      <c r="P166" s="77">
        <f t="shared" si="117"/>
        <v>0</v>
      </c>
      <c r="Q166" s="77">
        <f t="shared" si="117"/>
        <v>0</v>
      </c>
      <c r="R166" s="77">
        <f t="shared" si="117"/>
        <v>0</v>
      </c>
      <c r="S166" s="77">
        <f t="shared" si="117"/>
        <v>0</v>
      </c>
      <c r="T166" s="77">
        <f t="shared" si="117"/>
        <v>0</v>
      </c>
      <c r="U166" s="77">
        <f t="shared" si="117"/>
        <v>0</v>
      </c>
      <c r="V166" s="77">
        <f t="shared" si="117"/>
        <v>0</v>
      </c>
      <c r="W166" s="77">
        <f t="shared" si="117"/>
        <v>0</v>
      </c>
      <c r="X166" s="77">
        <f t="shared" si="117"/>
        <v>0</v>
      </c>
      <c r="Y166" s="77">
        <f t="shared" si="117"/>
        <v>0</v>
      </c>
      <c r="Z166" s="77">
        <f t="shared" si="117"/>
        <v>0</v>
      </c>
    </row>
    <row r="167" hidden="1" outlineLevel="1">
      <c r="B167" s="93">
        <f t="shared" si="111"/>
        <v>9</v>
      </c>
      <c r="C167" s="40"/>
      <c r="D167" s="16" t="s">
        <v>161</v>
      </c>
      <c r="E167" s="74">
        <f t="shared" si="108"/>
        <v>0</v>
      </c>
      <c r="F167" s="78"/>
      <c r="G167" s="77">
        <f t="shared" ref="G167:Z167" si="118">min(index($G$131:$Z$131,,$B167)-sum($F167:F167), max(0,G188+G209+G272+G293+G314-G335))</f>
        <v>0</v>
      </c>
      <c r="H167" s="77">
        <f t="shared" si="118"/>
        <v>0</v>
      </c>
      <c r="I167" s="77">
        <f t="shared" si="118"/>
        <v>0</v>
      </c>
      <c r="J167" s="77">
        <f t="shared" si="118"/>
        <v>0</v>
      </c>
      <c r="K167" s="77">
        <f t="shared" si="118"/>
        <v>0</v>
      </c>
      <c r="L167" s="77">
        <f t="shared" si="118"/>
        <v>0</v>
      </c>
      <c r="M167" s="77">
        <f t="shared" si="118"/>
        <v>0</v>
      </c>
      <c r="N167" s="77">
        <f t="shared" si="118"/>
        <v>0</v>
      </c>
      <c r="O167" s="77">
        <f t="shared" si="118"/>
        <v>0</v>
      </c>
      <c r="P167" s="77">
        <f t="shared" si="118"/>
        <v>0</v>
      </c>
      <c r="Q167" s="77">
        <f t="shared" si="118"/>
        <v>0</v>
      </c>
      <c r="R167" s="77">
        <f t="shared" si="118"/>
        <v>0</v>
      </c>
      <c r="S167" s="77">
        <f t="shared" si="118"/>
        <v>0</v>
      </c>
      <c r="T167" s="77">
        <f t="shared" si="118"/>
        <v>0</v>
      </c>
      <c r="U167" s="77">
        <f t="shared" si="118"/>
        <v>0</v>
      </c>
      <c r="V167" s="77">
        <f t="shared" si="118"/>
        <v>0</v>
      </c>
      <c r="W167" s="77">
        <f t="shared" si="118"/>
        <v>0</v>
      </c>
      <c r="X167" s="77">
        <f t="shared" si="118"/>
        <v>0</v>
      </c>
      <c r="Y167" s="77">
        <f t="shared" si="118"/>
        <v>0</v>
      </c>
      <c r="Z167" s="77">
        <f t="shared" si="118"/>
        <v>0</v>
      </c>
    </row>
    <row r="168" hidden="1" outlineLevel="1">
      <c r="B168" s="93">
        <f t="shared" si="111"/>
        <v>10</v>
      </c>
      <c r="C168" s="40"/>
      <c r="D168" s="16" t="s">
        <v>161</v>
      </c>
      <c r="E168" s="74">
        <f t="shared" si="108"/>
        <v>0</v>
      </c>
      <c r="F168" s="78"/>
      <c r="G168" s="77">
        <f t="shared" ref="G168:Z168" si="119">min(index($G$131:$Z$131,,$B168)-sum($F168:F168), max(0,G189+G210+G273+G294+G315-G336))</f>
        <v>0</v>
      </c>
      <c r="H168" s="77">
        <f t="shared" si="119"/>
        <v>0</v>
      </c>
      <c r="I168" s="77">
        <f t="shared" si="119"/>
        <v>0</v>
      </c>
      <c r="J168" s="77">
        <f t="shared" si="119"/>
        <v>0</v>
      </c>
      <c r="K168" s="77">
        <f t="shared" si="119"/>
        <v>0</v>
      </c>
      <c r="L168" s="77">
        <f t="shared" si="119"/>
        <v>0</v>
      </c>
      <c r="M168" s="77">
        <f t="shared" si="119"/>
        <v>0</v>
      </c>
      <c r="N168" s="77">
        <f t="shared" si="119"/>
        <v>0</v>
      </c>
      <c r="O168" s="77">
        <f t="shared" si="119"/>
        <v>0</v>
      </c>
      <c r="P168" s="77">
        <f t="shared" si="119"/>
        <v>0</v>
      </c>
      <c r="Q168" s="77">
        <f t="shared" si="119"/>
        <v>0</v>
      </c>
      <c r="R168" s="77">
        <f t="shared" si="119"/>
        <v>0</v>
      </c>
      <c r="S168" s="77">
        <f t="shared" si="119"/>
        <v>0</v>
      </c>
      <c r="T168" s="77">
        <f t="shared" si="119"/>
        <v>0</v>
      </c>
      <c r="U168" s="77">
        <f t="shared" si="119"/>
        <v>0</v>
      </c>
      <c r="V168" s="77">
        <f t="shared" si="119"/>
        <v>0</v>
      </c>
      <c r="W168" s="77">
        <f t="shared" si="119"/>
        <v>0</v>
      </c>
      <c r="X168" s="77">
        <f t="shared" si="119"/>
        <v>0</v>
      </c>
      <c r="Y168" s="77">
        <f t="shared" si="119"/>
        <v>0</v>
      </c>
      <c r="Z168" s="77">
        <f t="shared" si="119"/>
        <v>0</v>
      </c>
    </row>
    <row r="169" hidden="1" outlineLevel="1">
      <c r="B169" s="93">
        <f t="shared" si="111"/>
        <v>11</v>
      </c>
      <c r="C169" s="40"/>
      <c r="D169" s="16" t="s">
        <v>161</v>
      </c>
      <c r="E169" s="74">
        <f t="shared" si="108"/>
        <v>0</v>
      </c>
      <c r="F169" s="78"/>
      <c r="G169" s="77">
        <f t="shared" ref="G169:Z169" si="120">min(index($G$131:$Z$131,,$B169)-sum($F169:F169), max(0,G190+G211+G274+G295+G316-G337))</f>
        <v>0</v>
      </c>
      <c r="H169" s="77">
        <f t="shared" si="120"/>
        <v>0</v>
      </c>
      <c r="I169" s="77">
        <f t="shared" si="120"/>
        <v>0</v>
      </c>
      <c r="J169" s="77">
        <f t="shared" si="120"/>
        <v>0</v>
      </c>
      <c r="K169" s="77">
        <f t="shared" si="120"/>
        <v>0</v>
      </c>
      <c r="L169" s="77">
        <f t="shared" si="120"/>
        <v>0</v>
      </c>
      <c r="M169" s="77">
        <f t="shared" si="120"/>
        <v>0</v>
      </c>
      <c r="N169" s="77">
        <f t="shared" si="120"/>
        <v>0</v>
      </c>
      <c r="O169" s="77">
        <f t="shared" si="120"/>
        <v>0</v>
      </c>
      <c r="P169" s="77">
        <f t="shared" si="120"/>
        <v>0</v>
      </c>
      <c r="Q169" s="77">
        <f t="shared" si="120"/>
        <v>0</v>
      </c>
      <c r="R169" s="77">
        <f t="shared" si="120"/>
        <v>0</v>
      </c>
      <c r="S169" s="77">
        <f t="shared" si="120"/>
        <v>0</v>
      </c>
      <c r="T169" s="77">
        <f t="shared" si="120"/>
        <v>0</v>
      </c>
      <c r="U169" s="77">
        <f t="shared" si="120"/>
        <v>0</v>
      </c>
      <c r="V169" s="77">
        <f t="shared" si="120"/>
        <v>0</v>
      </c>
      <c r="W169" s="77">
        <f t="shared" si="120"/>
        <v>0</v>
      </c>
      <c r="X169" s="77">
        <f t="shared" si="120"/>
        <v>0</v>
      </c>
      <c r="Y169" s="77">
        <f t="shared" si="120"/>
        <v>0</v>
      </c>
      <c r="Z169" s="77">
        <f t="shared" si="120"/>
        <v>0</v>
      </c>
    </row>
    <row r="170" hidden="1" outlineLevel="1">
      <c r="B170" s="93">
        <f t="shared" si="111"/>
        <v>12</v>
      </c>
      <c r="C170" s="40"/>
      <c r="D170" s="16" t="s">
        <v>161</v>
      </c>
      <c r="E170" s="74">
        <f t="shared" si="108"/>
        <v>0</v>
      </c>
      <c r="F170" s="78"/>
      <c r="G170" s="77">
        <f t="shared" ref="G170:Z170" si="121">min(index($G$131:$Z$131,,$B170)-sum($F170:F170), max(0,G191+G212+G275+G296+G317-G338))</f>
        <v>0</v>
      </c>
      <c r="H170" s="77">
        <f t="shared" si="121"/>
        <v>0</v>
      </c>
      <c r="I170" s="77">
        <f t="shared" si="121"/>
        <v>0</v>
      </c>
      <c r="J170" s="77">
        <f t="shared" si="121"/>
        <v>0</v>
      </c>
      <c r="K170" s="77">
        <f t="shared" si="121"/>
        <v>0</v>
      </c>
      <c r="L170" s="77">
        <f t="shared" si="121"/>
        <v>0</v>
      </c>
      <c r="M170" s="77">
        <f t="shared" si="121"/>
        <v>0</v>
      </c>
      <c r="N170" s="77">
        <f t="shared" si="121"/>
        <v>0</v>
      </c>
      <c r="O170" s="77">
        <f t="shared" si="121"/>
        <v>0</v>
      </c>
      <c r="P170" s="77">
        <f t="shared" si="121"/>
        <v>0</v>
      </c>
      <c r="Q170" s="77">
        <f t="shared" si="121"/>
        <v>0</v>
      </c>
      <c r="R170" s="77">
        <f t="shared" si="121"/>
        <v>0</v>
      </c>
      <c r="S170" s="77">
        <f t="shared" si="121"/>
        <v>0</v>
      </c>
      <c r="T170" s="77">
        <f t="shared" si="121"/>
        <v>0</v>
      </c>
      <c r="U170" s="77">
        <f t="shared" si="121"/>
        <v>0</v>
      </c>
      <c r="V170" s="77">
        <f t="shared" si="121"/>
        <v>0</v>
      </c>
      <c r="W170" s="77">
        <f t="shared" si="121"/>
        <v>0</v>
      </c>
      <c r="X170" s="77">
        <f t="shared" si="121"/>
        <v>0</v>
      </c>
      <c r="Y170" s="77">
        <f t="shared" si="121"/>
        <v>0</v>
      </c>
      <c r="Z170" s="77">
        <f t="shared" si="121"/>
        <v>0</v>
      </c>
    </row>
    <row r="171" hidden="1" outlineLevel="1">
      <c r="B171" s="93">
        <f t="shared" si="111"/>
        <v>13</v>
      </c>
      <c r="C171" s="40"/>
      <c r="D171" s="16" t="s">
        <v>161</v>
      </c>
      <c r="E171" s="74">
        <f t="shared" si="108"/>
        <v>0</v>
      </c>
      <c r="F171" s="78"/>
      <c r="G171" s="77">
        <f t="shared" ref="G171:Z171" si="122">min(index($G$131:$Z$131,,$B171)-sum($F171:F171), max(0,G192+G213+G276+G297+G318-G339))</f>
        <v>0</v>
      </c>
      <c r="H171" s="77">
        <f t="shared" si="122"/>
        <v>0</v>
      </c>
      <c r="I171" s="77">
        <f t="shared" si="122"/>
        <v>0</v>
      </c>
      <c r="J171" s="77">
        <f t="shared" si="122"/>
        <v>0</v>
      </c>
      <c r="K171" s="77">
        <f t="shared" si="122"/>
        <v>0</v>
      </c>
      <c r="L171" s="77">
        <f t="shared" si="122"/>
        <v>0</v>
      </c>
      <c r="M171" s="77">
        <f t="shared" si="122"/>
        <v>0</v>
      </c>
      <c r="N171" s="77">
        <f t="shared" si="122"/>
        <v>0</v>
      </c>
      <c r="O171" s="77">
        <f t="shared" si="122"/>
        <v>0</v>
      </c>
      <c r="P171" s="77">
        <f t="shared" si="122"/>
        <v>0</v>
      </c>
      <c r="Q171" s="77">
        <f t="shared" si="122"/>
        <v>0</v>
      </c>
      <c r="R171" s="77">
        <f t="shared" si="122"/>
        <v>0</v>
      </c>
      <c r="S171" s="77">
        <f t="shared" si="122"/>
        <v>0</v>
      </c>
      <c r="T171" s="77">
        <f t="shared" si="122"/>
        <v>0</v>
      </c>
      <c r="U171" s="77">
        <f t="shared" si="122"/>
        <v>0</v>
      </c>
      <c r="V171" s="77">
        <f t="shared" si="122"/>
        <v>0</v>
      </c>
      <c r="W171" s="77">
        <f t="shared" si="122"/>
        <v>0</v>
      </c>
      <c r="X171" s="77">
        <f t="shared" si="122"/>
        <v>0</v>
      </c>
      <c r="Y171" s="77">
        <f t="shared" si="122"/>
        <v>0</v>
      </c>
      <c r="Z171" s="77">
        <f t="shared" si="122"/>
        <v>0</v>
      </c>
    </row>
    <row r="172" hidden="1" outlineLevel="1">
      <c r="B172" s="93">
        <f t="shared" si="111"/>
        <v>14</v>
      </c>
      <c r="C172" s="40"/>
      <c r="D172" s="16" t="s">
        <v>161</v>
      </c>
      <c r="E172" s="74">
        <f t="shared" si="108"/>
        <v>0</v>
      </c>
      <c r="F172" s="78"/>
      <c r="G172" s="77">
        <f t="shared" ref="G172:Z172" si="123">min(index($G$131:$Z$131,,$B172)-sum($F172:F172), max(0,G193+G214+G277+G298+G319-G340))</f>
        <v>0</v>
      </c>
      <c r="H172" s="77">
        <f t="shared" si="123"/>
        <v>0</v>
      </c>
      <c r="I172" s="77">
        <f t="shared" si="123"/>
        <v>0</v>
      </c>
      <c r="J172" s="77">
        <f t="shared" si="123"/>
        <v>0</v>
      </c>
      <c r="K172" s="77">
        <f t="shared" si="123"/>
        <v>0</v>
      </c>
      <c r="L172" s="77">
        <f t="shared" si="123"/>
        <v>0</v>
      </c>
      <c r="M172" s="77">
        <f t="shared" si="123"/>
        <v>0</v>
      </c>
      <c r="N172" s="77">
        <f t="shared" si="123"/>
        <v>0</v>
      </c>
      <c r="O172" s="77">
        <f t="shared" si="123"/>
        <v>0</v>
      </c>
      <c r="P172" s="77">
        <f t="shared" si="123"/>
        <v>0</v>
      </c>
      <c r="Q172" s="77">
        <f t="shared" si="123"/>
        <v>0</v>
      </c>
      <c r="R172" s="77">
        <f t="shared" si="123"/>
        <v>0</v>
      </c>
      <c r="S172" s="77">
        <f t="shared" si="123"/>
        <v>0</v>
      </c>
      <c r="T172" s="77">
        <f t="shared" si="123"/>
        <v>0</v>
      </c>
      <c r="U172" s="77">
        <f t="shared" si="123"/>
        <v>0</v>
      </c>
      <c r="V172" s="77">
        <f t="shared" si="123"/>
        <v>0</v>
      </c>
      <c r="W172" s="77">
        <f t="shared" si="123"/>
        <v>0</v>
      </c>
      <c r="X172" s="77">
        <f t="shared" si="123"/>
        <v>0</v>
      </c>
      <c r="Y172" s="77">
        <f t="shared" si="123"/>
        <v>0</v>
      </c>
      <c r="Z172" s="77">
        <f t="shared" si="123"/>
        <v>0</v>
      </c>
    </row>
    <row r="173" hidden="1" outlineLevel="1">
      <c r="B173" s="93">
        <f t="shared" si="111"/>
        <v>15</v>
      </c>
      <c r="C173" s="40"/>
      <c r="D173" s="16" t="s">
        <v>161</v>
      </c>
      <c r="E173" s="74">
        <f t="shared" si="108"/>
        <v>0</v>
      </c>
      <c r="F173" s="78"/>
      <c r="G173" s="77">
        <f t="shared" ref="G173:Z173" si="124">min(index($G$131:$Z$131,,$B173)-sum($F173:F173), max(0,G194+G215+G278+G299+G320-G341))</f>
        <v>0</v>
      </c>
      <c r="H173" s="77">
        <f t="shared" si="124"/>
        <v>0</v>
      </c>
      <c r="I173" s="77">
        <f t="shared" si="124"/>
        <v>0</v>
      </c>
      <c r="J173" s="77">
        <f t="shared" si="124"/>
        <v>0</v>
      </c>
      <c r="K173" s="77">
        <f t="shared" si="124"/>
        <v>0</v>
      </c>
      <c r="L173" s="77">
        <f t="shared" si="124"/>
        <v>0</v>
      </c>
      <c r="M173" s="77">
        <f t="shared" si="124"/>
        <v>0</v>
      </c>
      <c r="N173" s="77">
        <f t="shared" si="124"/>
        <v>0</v>
      </c>
      <c r="O173" s="77">
        <f t="shared" si="124"/>
        <v>0</v>
      </c>
      <c r="P173" s="77">
        <f t="shared" si="124"/>
        <v>0</v>
      </c>
      <c r="Q173" s="77">
        <f t="shared" si="124"/>
        <v>0</v>
      </c>
      <c r="R173" s="77">
        <f t="shared" si="124"/>
        <v>0</v>
      </c>
      <c r="S173" s="77">
        <f t="shared" si="124"/>
        <v>0</v>
      </c>
      <c r="T173" s="77">
        <f t="shared" si="124"/>
        <v>0</v>
      </c>
      <c r="U173" s="77">
        <f t="shared" si="124"/>
        <v>0</v>
      </c>
      <c r="V173" s="77">
        <f t="shared" si="124"/>
        <v>0</v>
      </c>
      <c r="W173" s="77">
        <f t="shared" si="124"/>
        <v>0</v>
      </c>
      <c r="X173" s="77">
        <f t="shared" si="124"/>
        <v>0</v>
      </c>
      <c r="Y173" s="77">
        <f t="shared" si="124"/>
        <v>0</v>
      </c>
      <c r="Z173" s="77">
        <f t="shared" si="124"/>
        <v>0</v>
      </c>
    </row>
    <row r="174" hidden="1" outlineLevel="1">
      <c r="B174" s="93">
        <f t="shared" si="111"/>
        <v>16</v>
      </c>
      <c r="C174" s="40"/>
      <c r="D174" s="16" t="s">
        <v>161</v>
      </c>
      <c r="E174" s="74">
        <f t="shared" si="108"/>
        <v>0</v>
      </c>
      <c r="F174" s="78"/>
      <c r="G174" s="77">
        <f t="shared" ref="G174:Z174" si="125">min(index($G$131:$Z$131,,$B174)-sum($F174:F174), max(0,G195+G216+G279+G300+G321-G342))</f>
        <v>0</v>
      </c>
      <c r="H174" s="77">
        <f t="shared" si="125"/>
        <v>0</v>
      </c>
      <c r="I174" s="77">
        <f t="shared" si="125"/>
        <v>0</v>
      </c>
      <c r="J174" s="77">
        <f t="shared" si="125"/>
        <v>0</v>
      </c>
      <c r="K174" s="77">
        <f t="shared" si="125"/>
        <v>0</v>
      </c>
      <c r="L174" s="77">
        <f t="shared" si="125"/>
        <v>0</v>
      </c>
      <c r="M174" s="77">
        <f t="shared" si="125"/>
        <v>0</v>
      </c>
      <c r="N174" s="77">
        <f t="shared" si="125"/>
        <v>0</v>
      </c>
      <c r="O174" s="77">
        <f t="shared" si="125"/>
        <v>0</v>
      </c>
      <c r="P174" s="77">
        <f t="shared" si="125"/>
        <v>0</v>
      </c>
      <c r="Q174" s="77">
        <f t="shared" si="125"/>
        <v>0</v>
      </c>
      <c r="R174" s="77">
        <f t="shared" si="125"/>
        <v>0</v>
      </c>
      <c r="S174" s="77">
        <f t="shared" si="125"/>
        <v>0</v>
      </c>
      <c r="T174" s="77">
        <f t="shared" si="125"/>
        <v>0</v>
      </c>
      <c r="U174" s="77">
        <f t="shared" si="125"/>
        <v>0</v>
      </c>
      <c r="V174" s="77">
        <f t="shared" si="125"/>
        <v>0</v>
      </c>
      <c r="W174" s="77">
        <f t="shared" si="125"/>
        <v>0</v>
      </c>
      <c r="X174" s="77">
        <f t="shared" si="125"/>
        <v>0</v>
      </c>
      <c r="Y174" s="77">
        <f t="shared" si="125"/>
        <v>0</v>
      </c>
      <c r="Z174" s="77">
        <f t="shared" si="125"/>
        <v>0</v>
      </c>
    </row>
    <row r="175" hidden="1" outlineLevel="1">
      <c r="B175" s="93">
        <f t="shared" si="111"/>
        <v>17</v>
      </c>
      <c r="C175" s="40"/>
      <c r="D175" s="16" t="s">
        <v>161</v>
      </c>
      <c r="E175" s="74">
        <f t="shared" si="108"/>
        <v>0</v>
      </c>
      <c r="F175" s="78"/>
      <c r="G175" s="77">
        <f t="shared" ref="G175:Z175" si="126">min(index($G$131:$Z$131,,$B175)-sum($F175:F175), max(0,G196+G217+G280+G301+G322-G343))</f>
        <v>0</v>
      </c>
      <c r="H175" s="77">
        <f t="shared" si="126"/>
        <v>0</v>
      </c>
      <c r="I175" s="77">
        <f t="shared" si="126"/>
        <v>0</v>
      </c>
      <c r="J175" s="77">
        <f t="shared" si="126"/>
        <v>0</v>
      </c>
      <c r="K175" s="77">
        <f t="shared" si="126"/>
        <v>0</v>
      </c>
      <c r="L175" s="77">
        <f t="shared" si="126"/>
        <v>0</v>
      </c>
      <c r="M175" s="77">
        <f t="shared" si="126"/>
        <v>0</v>
      </c>
      <c r="N175" s="77">
        <f t="shared" si="126"/>
        <v>0</v>
      </c>
      <c r="O175" s="77">
        <f t="shared" si="126"/>
        <v>0</v>
      </c>
      <c r="P175" s="77">
        <f t="shared" si="126"/>
        <v>0</v>
      </c>
      <c r="Q175" s="77">
        <f t="shared" si="126"/>
        <v>0</v>
      </c>
      <c r="R175" s="77">
        <f t="shared" si="126"/>
        <v>0</v>
      </c>
      <c r="S175" s="77">
        <f t="shared" si="126"/>
        <v>0</v>
      </c>
      <c r="T175" s="77">
        <f t="shared" si="126"/>
        <v>0</v>
      </c>
      <c r="U175" s="77">
        <f t="shared" si="126"/>
        <v>0</v>
      </c>
      <c r="V175" s="77">
        <f t="shared" si="126"/>
        <v>0</v>
      </c>
      <c r="W175" s="77">
        <f t="shared" si="126"/>
        <v>0</v>
      </c>
      <c r="X175" s="77">
        <f t="shared" si="126"/>
        <v>0</v>
      </c>
      <c r="Y175" s="77">
        <f t="shared" si="126"/>
        <v>0</v>
      </c>
      <c r="Z175" s="77">
        <f t="shared" si="126"/>
        <v>0</v>
      </c>
    </row>
    <row r="176" hidden="1" outlineLevel="1">
      <c r="B176" s="93">
        <f t="shared" si="111"/>
        <v>18</v>
      </c>
      <c r="C176" s="40"/>
      <c r="D176" s="16" t="s">
        <v>161</v>
      </c>
      <c r="E176" s="74">
        <f t="shared" si="108"/>
        <v>0</v>
      </c>
      <c r="F176" s="78"/>
      <c r="G176" s="77">
        <f t="shared" ref="G176:Z176" si="127">min(index($G$131:$Z$131,,$B176)-sum($F176:F176), max(0,G197+G218+G281+G302+G323-G344))</f>
        <v>0</v>
      </c>
      <c r="H176" s="77">
        <f t="shared" si="127"/>
        <v>0</v>
      </c>
      <c r="I176" s="77">
        <f t="shared" si="127"/>
        <v>0</v>
      </c>
      <c r="J176" s="77">
        <f t="shared" si="127"/>
        <v>0</v>
      </c>
      <c r="K176" s="77">
        <f t="shared" si="127"/>
        <v>0</v>
      </c>
      <c r="L176" s="77">
        <f t="shared" si="127"/>
        <v>0</v>
      </c>
      <c r="M176" s="77">
        <f t="shared" si="127"/>
        <v>0</v>
      </c>
      <c r="N176" s="77">
        <f t="shared" si="127"/>
        <v>0</v>
      </c>
      <c r="O176" s="77">
        <f t="shared" si="127"/>
        <v>0</v>
      </c>
      <c r="P176" s="77">
        <f t="shared" si="127"/>
        <v>0</v>
      </c>
      <c r="Q176" s="77">
        <f t="shared" si="127"/>
        <v>0</v>
      </c>
      <c r="R176" s="77">
        <f t="shared" si="127"/>
        <v>0</v>
      </c>
      <c r="S176" s="77">
        <f t="shared" si="127"/>
        <v>0</v>
      </c>
      <c r="T176" s="77">
        <f t="shared" si="127"/>
        <v>0</v>
      </c>
      <c r="U176" s="77">
        <f t="shared" si="127"/>
        <v>0</v>
      </c>
      <c r="V176" s="77">
        <f t="shared" si="127"/>
        <v>0</v>
      </c>
      <c r="W176" s="77">
        <f t="shared" si="127"/>
        <v>0</v>
      </c>
      <c r="X176" s="77">
        <f t="shared" si="127"/>
        <v>0</v>
      </c>
      <c r="Y176" s="77">
        <f t="shared" si="127"/>
        <v>0</v>
      </c>
      <c r="Z176" s="77">
        <f t="shared" si="127"/>
        <v>0</v>
      </c>
    </row>
    <row r="177" hidden="1" outlineLevel="1">
      <c r="B177" s="93">
        <f t="shared" si="111"/>
        <v>19</v>
      </c>
      <c r="C177" s="40"/>
      <c r="D177" s="16" t="s">
        <v>161</v>
      </c>
      <c r="E177" s="74">
        <f t="shared" si="108"/>
        <v>0</v>
      </c>
      <c r="F177" s="78"/>
      <c r="G177" s="77">
        <f t="shared" ref="G177:Z177" si="128">min(index($G$131:$Z$131,,$B177)-sum($F177:F177), max(0,G198+G219+G282+G303+G324-G345))</f>
        <v>0</v>
      </c>
      <c r="H177" s="77">
        <f t="shared" si="128"/>
        <v>0</v>
      </c>
      <c r="I177" s="77">
        <f t="shared" si="128"/>
        <v>0</v>
      </c>
      <c r="J177" s="77">
        <f t="shared" si="128"/>
        <v>0</v>
      </c>
      <c r="K177" s="77">
        <f t="shared" si="128"/>
        <v>0</v>
      </c>
      <c r="L177" s="77">
        <f t="shared" si="128"/>
        <v>0</v>
      </c>
      <c r="M177" s="77">
        <f t="shared" si="128"/>
        <v>0</v>
      </c>
      <c r="N177" s="77">
        <f t="shared" si="128"/>
        <v>0</v>
      </c>
      <c r="O177" s="77">
        <f t="shared" si="128"/>
        <v>0</v>
      </c>
      <c r="P177" s="77">
        <f t="shared" si="128"/>
        <v>0</v>
      </c>
      <c r="Q177" s="77">
        <f t="shared" si="128"/>
        <v>0</v>
      </c>
      <c r="R177" s="77">
        <f t="shared" si="128"/>
        <v>0</v>
      </c>
      <c r="S177" s="77">
        <f t="shared" si="128"/>
        <v>0</v>
      </c>
      <c r="T177" s="77">
        <f t="shared" si="128"/>
        <v>0</v>
      </c>
      <c r="U177" s="77">
        <f t="shared" si="128"/>
        <v>0</v>
      </c>
      <c r="V177" s="77">
        <f t="shared" si="128"/>
        <v>0</v>
      </c>
      <c r="W177" s="77">
        <f t="shared" si="128"/>
        <v>0</v>
      </c>
      <c r="X177" s="77">
        <f t="shared" si="128"/>
        <v>0</v>
      </c>
      <c r="Y177" s="77">
        <f t="shared" si="128"/>
        <v>0</v>
      </c>
      <c r="Z177" s="77">
        <f t="shared" si="128"/>
        <v>0</v>
      </c>
    </row>
    <row r="178" hidden="1" outlineLevel="1">
      <c r="B178" s="93">
        <f t="shared" si="111"/>
        <v>20</v>
      </c>
      <c r="C178" s="40"/>
      <c r="D178" s="16" t="s">
        <v>161</v>
      </c>
      <c r="E178" s="74">
        <f t="shared" si="108"/>
        <v>0</v>
      </c>
      <c r="F178" s="78"/>
      <c r="G178" s="77">
        <f t="shared" ref="G178:Z178" si="129">min(index($G$131:$Z$131,,$B178)-sum($F178:F178), max(0,G199+G220+G283+G304+G325-G346))</f>
        <v>0</v>
      </c>
      <c r="H178" s="77">
        <f t="shared" si="129"/>
        <v>0</v>
      </c>
      <c r="I178" s="77">
        <f t="shared" si="129"/>
        <v>0</v>
      </c>
      <c r="J178" s="77">
        <f t="shared" si="129"/>
        <v>0</v>
      </c>
      <c r="K178" s="77">
        <f t="shared" si="129"/>
        <v>0</v>
      </c>
      <c r="L178" s="77">
        <f t="shared" si="129"/>
        <v>0</v>
      </c>
      <c r="M178" s="77">
        <f t="shared" si="129"/>
        <v>0</v>
      </c>
      <c r="N178" s="77">
        <f t="shared" si="129"/>
        <v>0</v>
      </c>
      <c r="O178" s="77">
        <f t="shared" si="129"/>
        <v>0</v>
      </c>
      <c r="P178" s="77">
        <f t="shared" si="129"/>
        <v>0</v>
      </c>
      <c r="Q178" s="77">
        <f t="shared" si="129"/>
        <v>0</v>
      </c>
      <c r="R178" s="77">
        <f t="shared" si="129"/>
        <v>0</v>
      </c>
      <c r="S178" s="77">
        <f t="shared" si="129"/>
        <v>0</v>
      </c>
      <c r="T178" s="77">
        <f t="shared" si="129"/>
        <v>0</v>
      </c>
      <c r="U178" s="77">
        <f t="shared" si="129"/>
        <v>0</v>
      </c>
      <c r="V178" s="77">
        <f t="shared" si="129"/>
        <v>0</v>
      </c>
      <c r="W178" s="77">
        <f t="shared" si="129"/>
        <v>0</v>
      </c>
      <c r="X178" s="77">
        <f t="shared" si="129"/>
        <v>0</v>
      </c>
      <c r="Y178" s="77">
        <f t="shared" si="129"/>
        <v>0</v>
      </c>
      <c r="Z178" s="77">
        <f t="shared" si="129"/>
        <v>0</v>
      </c>
    </row>
    <row r="179" collapsed="1">
      <c r="B179" s="16" t="s">
        <v>179</v>
      </c>
      <c r="C179" s="16"/>
      <c r="D179" s="16" t="s">
        <v>161</v>
      </c>
      <c r="E179" s="74">
        <f t="shared" si="108"/>
        <v>55880220</v>
      </c>
      <c r="F179" s="78"/>
      <c r="G179" s="77">
        <f t="shared" ref="G179:Z179" si="130">sum(G180:G199)</f>
        <v>4656685</v>
      </c>
      <c r="H179" s="77">
        <f t="shared" si="130"/>
        <v>9313370</v>
      </c>
      <c r="I179" s="77">
        <f t="shared" si="130"/>
        <v>13970055</v>
      </c>
      <c r="J179" s="77">
        <f t="shared" si="130"/>
        <v>13970055</v>
      </c>
      <c r="K179" s="77">
        <f t="shared" si="130"/>
        <v>9313370</v>
      </c>
      <c r="L179" s="77">
        <f t="shared" si="130"/>
        <v>4656685</v>
      </c>
      <c r="M179" s="77">
        <f t="shared" si="130"/>
        <v>0</v>
      </c>
      <c r="N179" s="77">
        <f t="shared" si="130"/>
        <v>0</v>
      </c>
      <c r="O179" s="77">
        <f t="shared" si="130"/>
        <v>0</v>
      </c>
      <c r="P179" s="77">
        <f t="shared" si="130"/>
        <v>0</v>
      </c>
      <c r="Q179" s="77">
        <f t="shared" si="130"/>
        <v>0</v>
      </c>
      <c r="R179" s="77">
        <f t="shared" si="130"/>
        <v>0</v>
      </c>
      <c r="S179" s="77">
        <f t="shared" si="130"/>
        <v>0</v>
      </c>
      <c r="T179" s="77">
        <f t="shared" si="130"/>
        <v>0</v>
      </c>
      <c r="U179" s="77">
        <f t="shared" si="130"/>
        <v>0</v>
      </c>
      <c r="V179" s="77">
        <f t="shared" si="130"/>
        <v>0</v>
      </c>
      <c r="W179" s="77">
        <f t="shared" si="130"/>
        <v>0</v>
      </c>
      <c r="X179" s="77">
        <f t="shared" si="130"/>
        <v>0</v>
      </c>
      <c r="Y179" s="77">
        <f t="shared" si="130"/>
        <v>0</v>
      </c>
      <c r="Z179" s="77">
        <f t="shared" si="130"/>
        <v>0</v>
      </c>
    </row>
    <row r="180" hidden="1" outlineLevel="1">
      <c r="B180" s="93">
        <f>G$4</f>
        <v>1</v>
      </c>
      <c r="C180" s="40"/>
      <c r="D180" s="16" t="s">
        <v>161</v>
      </c>
      <c r="E180" s="74">
        <f t="shared" si="108"/>
        <v>18626740</v>
      </c>
      <c r="F180" s="74"/>
      <c r="G180" s="77">
        <f t="array" ref="G180">iferror(if(and(G$4&gt;=$B180,G$4&lt;=($B180+'Get Started'!$D$37-1)),index($G$133:$Z$133,,$B180)/'Get Started'!$D$37*'Get Started'!$D$35,0),0)</f>
        <v>4656685</v>
      </c>
      <c r="H180" s="77">
        <f t="array" ref="H180">iferror(if(and(H$4&gt;=$B180,H$4&lt;=($B180+'Get Started'!$D$37-1)),index($G$133:$Z$133,,$B180)/'Get Started'!$D$37*'Get Started'!$D$35,0),0)</f>
        <v>4656685</v>
      </c>
      <c r="I180" s="77">
        <f t="array" ref="I180">iferror(if(and(I$4&gt;=$B180,I$4&lt;=($B180+'Get Started'!$D$37-1)),index($G$133:$Z$133,,$B180)/'Get Started'!$D$37*'Get Started'!$D$35,0),0)</f>
        <v>4656685</v>
      </c>
      <c r="J180" s="77">
        <f t="array" ref="J180">iferror(if(and(J$4&gt;=$B180,J$4&lt;=($B180+'Get Started'!$D$37-1)),index($G$133:$Z$133,,$B180)/'Get Started'!$D$37*'Get Started'!$D$35,0),0)</f>
        <v>4656685</v>
      </c>
      <c r="K180" s="77">
        <f t="array" ref="K180">iferror(if(and(K$4&gt;=$B180,K$4&lt;=($B180+'Get Started'!$D$37-1)),index($G$133:$Z$133,,$B180)/'Get Started'!$D$37*'Get Started'!$D$35,0),0)</f>
        <v>0</v>
      </c>
      <c r="L180" s="77">
        <f t="array" ref="L180">iferror(if(and(L$4&gt;=$B180,L$4&lt;=($B180+'Get Started'!$D$37-1)),index($G$133:$Z$133,,$B180)/'Get Started'!$D$37*'Get Started'!$D$35,0),0)</f>
        <v>0</v>
      </c>
      <c r="M180" s="77">
        <f t="array" ref="M180">iferror(if(and(M$4&gt;=$B180,M$4&lt;=($B180+'Get Started'!$D$37-1)),index($G$133:$Z$133,,$B180)/'Get Started'!$D$37*'Get Started'!$D$35,0),0)</f>
        <v>0</v>
      </c>
      <c r="N180" s="77">
        <f t="array" ref="N180">iferror(if(and(N$4&gt;=$B180,N$4&lt;=($B180+'Get Started'!$D$37-1)),index($G$133:$Z$133,,$B180)/'Get Started'!$D$37*'Get Started'!$D$35,0),0)</f>
        <v>0</v>
      </c>
      <c r="O180" s="77">
        <f t="array" ref="O180">iferror(if(and(O$4&gt;=$B180,O$4&lt;=($B180+'Get Started'!$D$37-1)),index($G$133:$Z$133,,$B180)/'Get Started'!$D$37*'Get Started'!$D$35,0),0)</f>
        <v>0</v>
      </c>
      <c r="P180" s="77">
        <f t="array" ref="P180">iferror(if(and(P$4&gt;=$B180,P$4&lt;=($B180+'Get Started'!$D$37-1)),index($G$133:$Z$133,,$B180)/'Get Started'!$D$37*'Get Started'!$D$35,0),0)</f>
        <v>0</v>
      </c>
      <c r="Q180" s="77">
        <f t="array" ref="Q180">iferror(if(and(Q$4&gt;=$B180,Q$4&lt;=($B180+'Get Started'!$D$37-1)),index($G$133:$Z$133,,$B180)/'Get Started'!$D$37*'Get Started'!$D$35,0),0)</f>
        <v>0</v>
      </c>
      <c r="R180" s="77">
        <f t="array" ref="R180">iferror(if(and(R$4&gt;=$B180,R$4&lt;=($B180+'Get Started'!$D$37-1)),index($G$133:$Z$133,,$B180)/'Get Started'!$D$37*'Get Started'!$D$35,0),0)</f>
        <v>0</v>
      </c>
      <c r="S180" s="77">
        <f t="array" ref="S180">iferror(if(and(S$4&gt;=$B180,S$4&lt;=($B180+'Get Started'!$D$37-1)),index($G$133:$Z$133,,$B180)/'Get Started'!$D$37*'Get Started'!$D$35,0),0)</f>
        <v>0</v>
      </c>
      <c r="T180" s="77">
        <f t="array" ref="T180">iferror(if(and(T$4&gt;=$B180,T$4&lt;=($B180+'Get Started'!$D$37-1)),index($G$133:$Z$133,,$B180)/'Get Started'!$D$37*'Get Started'!$D$35,0),0)</f>
        <v>0</v>
      </c>
      <c r="U180" s="77">
        <f t="array" ref="U180">iferror(if(and(U$4&gt;=$B180,U$4&lt;=($B180+'Get Started'!$D$37-1)),index($G$133:$Z$133,,$B180)/'Get Started'!$D$37*'Get Started'!$D$35,0),0)</f>
        <v>0</v>
      </c>
      <c r="V180" s="77">
        <f t="array" ref="V180">iferror(if(and(V$4&gt;=$B180,V$4&lt;=($B180+'Get Started'!$D$37-1)),index($G$133:$Z$133,,$B180)/'Get Started'!$D$37*'Get Started'!$D$35,0),0)</f>
        <v>0</v>
      </c>
      <c r="W180" s="77">
        <f t="array" ref="W180">iferror(if(and(W$4&gt;=$B180,W$4&lt;=($B180+'Get Started'!$D$37-1)),index($G$133:$Z$133,,$B180)/'Get Started'!$D$37*'Get Started'!$D$35,0),0)</f>
        <v>0</v>
      </c>
      <c r="X180" s="77">
        <f t="array" ref="X180">iferror(if(and(X$4&gt;=$B180,X$4&lt;=($B180+'Get Started'!$D$37-1)),index($G$133:$Z$133,,$B180)/'Get Started'!$D$37*'Get Started'!$D$35,0),0)</f>
        <v>0</v>
      </c>
      <c r="Y180" s="77">
        <f t="array" ref="Y180">iferror(if(and(Y$4&gt;=$B180,Y$4&lt;=($B180+'Get Started'!$D$37-1)),index($G$133:$Z$133,,$B180)/'Get Started'!$D$37*'Get Started'!$D$35,0),0)</f>
        <v>0</v>
      </c>
      <c r="Z180" s="77">
        <f t="array" ref="Z180">iferror(if(and(Z$4&gt;=$B180,Z$4&lt;=($B180+'Get Started'!$D$37-1)),index($G$133:$Z$133,,$B180)/'Get Started'!$D$37*'Get Started'!$D$35,0),0)</f>
        <v>0</v>
      </c>
    </row>
    <row r="181" hidden="1" outlineLevel="1">
      <c r="B181" s="93">
        <f t="shared" ref="B181:B199" si="131">B180+1</f>
        <v>2</v>
      </c>
      <c r="C181" s="40"/>
      <c r="D181" s="16" t="s">
        <v>161</v>
      </c>
      <c r="E181" s="74">
        <f t="shared" si="108"/>
        <v>18626740</v>
      </c>
      <c r="F181" s="74"/>
      <c r="G181" s="77">
        <f t="array" ref="G181">iferror(if(and(G$4&gt;=$B181,G$4&lt;=($B181+'Get Started'!$D$37-1)),index($G$133:$Z$133,,$B181)/'Get Started'!$D$37*'Get Started'!$D$35,0),0)</f>
        <v>0</v>
      </c>
      <c r="H181" s="77">
        <f t="array" ref="H181">iferror(if(and(H$4&gt;=$B181,H$4&lt;=($B181+'Get Started'!$D$37-1)),index($G$133:$Z$133,,$B181)/'Get Started'!$D$37*'Get Started'!$D$35,0),0)</f>
        <v>4656685</v>
      </c>
      <c r="I181" s="77">
        <f t="array" ref="I181">iferror(if(and(I$4&gt;=$B181,I$4&lt;=($B181+'Get Started'!$D$37-1)),index($G$133:$Z$133,,$B181)/'Get Started'!$D$37*'Get Started'!$D$35,0),0)</f>
        <v>4656685</v>
      </c>
      <c r="J181" s="77">
        <f t="array" ref="J181">iferror(if(and(J$4&gt;=$B181,J$4&lt;=($B181+'Get Started'!$D$37-1)),index($G$133:$Z$133,,$B181)/'Get Started'!$D$37*'Get Started'!$D$35,0),0)</f>
        <v>4656685</v>
      </c>
      <c r="K181" s="77">
        <f t="array" ref="K181">iferror(if(and(K$4&gt;=$B181,K$4&lt;=($B181+'Get Started'!$D$37-1)),index($G$133:$Z$133,,$B181)/'Get Started'!$D$37*'Get Started'!$D$35,0),0)</f>
        <v>4656685</v>
      </c>
      <c r="L181" s="77">
        <f t="array" ref="L181">iferror(if(and(L$4&gt;=$B181,L$4&lt;=($B181+'Get Started'!$D$37-1)),index($G$133:$Z$133,,$B181)/'Get Started'!$D$37*'Get Started'!$D$35,0),0)</f>
        <v>0</v>
      </c>
      <c r="M181" s="77">
        <f t="array" ref="M181">iferror(if(and(M$4&gt;=$B181,M$4&lt;=($B181+'Get Started'!$D$37-1)),index($G$133:$Z$133,,$B181)/'Get Started'!$D$37*'Get Started'!$D$35,0),0)</f>
        <v>0</v>
      </c>
      <c r="N181" s="77">
        <f t="array" ref="N181">iferror(if(and(N$4&gt;=$B181,N$4&lt;=($B181+'Get Started'!$D$37-1)),index($G$133:$Z$133,,$B181)/'Get Started'!$D$37*'Get Started'!$D$35,0),0)</f>
        <v>0</v>
      </c>
      <c r="O181" s="77">
        <f t="array" ref="O181">iferror(if(and(O$4&gt;=$B181,O$4&lt;=($B181+'Get Started'!$D$37-1)),index($G$133:$Z$133,,$B181)/'Get Started'!$D$37*'Get Started'!$D$35,0),0)</f>
        <v>0</v>
      </c>
      <c r="P181" s="77">
        <f t="array" ref="P181">iferror(if(and(P$4&gt;=$B181,P$4&lt;=($B181+'Get Started'!$D$37-1)),index($G$133:$Z$133,,$B181)/'Get Started'!$D$37*'Get Started'!$D$35,0),0)</f>
        <v>0</v>
      </c>
      <c r="Q181" s="77">
        <f t="array" ref="Q181">iferror(if(and(Q$4&gt;=$B181,Q$4&lt;=($B181+'Get Started'!$D$37-1)),index($G$133:$Z$133,,$B181)/'Get Started'!$D$37*'Get Started'!$D$35,0),0)</f>
        <v>0</v>
      </c>
      <c r="R181" s="77">
        <f t="array" ref="R181">iferror(if(and(R$4&gt;=$B181,R$4&lt;=($B181+'Get Started'!$D$37-1)),index($G$133:$Z$133,,$B181)/'Get Started'!$D$37*'Get Started'!$D$35,0),0)</f>
        <v>0</v>
      </c>
      <c r="S181" s="77">
        <f t="array" ref="S181">iferror(if(and(S$4&gt;=$B181,S$4&lt;=($B181+'Get Started'!$D$37-1)),index($G$133:$Z$133,,$B181)/'Get Started'!$D$37*'Get Started'!$D$35,0),0)</f>
        <v>0</v>
      </c>
      <c r="T181" s="77">
        <f t="array" ref="T181">iferror(if(and(T$4&gt;=$B181,T$4&lt;=($B181+'Get Started'!$D$37-1)),index($G$133:$Z$133,,$B181)/'Get Started'!$D$37*'Get Started'!$D$35,0),0)</f>
        <v>0</v>
      </c>
      <c r="U181" s="77">
        <f t="array" ref="U181">iferror(if(and(U$4&gt;=$B181,U$4&lt;=($B181+'Get Started'!$D$37-1)),index($G$133:$Z$133,,$B181)/'Get Started'!$D$37*'Get Started'!$D$35,0),0)</f>
        <v>0</v>
      </c>
      <c r="V181" s="77">
        <f t="array" ref="V181">iferror(if(and(V$4&gt;=$B181,V$4&lt;=($B181+'Get Started'!$D$37-1)),index($G$133:$Z$133,,$B181)/'Get Started'!$D$37*'Get Started'!$D$35,0),0)</f>
        <v>0</v>
      </c>
      <c r="W181" s="77">
        <f t="array" ref="W181">iferror(if(and(W$4&gt;=$B181,W$4&lt;=($B181+'Get Started'!$D$37-1)),index($G$133:$Z$133,,$B181)/'Get Started'!$D$37*'Get Started'!$D$35,0),0)</f>
        <v>0</v>
      </c>
      <c r="X181" s="77">
        <f t="array" ref="X181">iferror(if(and(X$4&gt;=$B181,X$4&lt;=($B181+'Get Started'!$D$37-1)),index($G$133:$Z$133,,$B181)/'Get Started'!$D$37*'Get Started'!$D$35,0),0)</f>
        <v>0</v>
      </c>
      <c r="Y181" s="77">
        <f t="array" ref="Y181">iferror(if(and(Y$4&gt;=$B181,Y$4&lt;=($B181+'Get Started'!$D$37-1)),index($G$133:$Z$133,,$B181)/'Get Started'!$D$37*'Get Started'!$D$35,0),0)</f>
        <v>0</v>
      </c>
      <c r="Z181" s="77">
        <f t="array" ref="Z181">iferror(if(and(Z$4&gt;=$B181,Z$4&lt;=($B181+'Get Started'!$D$37-1)),index($G$133:$Z$133,,$B181)/'Get Started'!$D$37*'Get Started'!$D$35,0),0)</f>
        <v>0</v>
      </c>
    </row>
    <row r="182" hidden="1" outlineLevel="1">
      <c r="B182" s="93">
        <f t="shared" si="131"/>
        <v>3</v>
      </c>
      <c r="C182" s="40"/>
      <c r="D182" s="16" t="s">
        <v>161</v>
      </c>
      <c r="E182" s="74">
        <f t="shared" si="108"/>
        <v>18626740</v>
      </c>
      <c r="F182" s="74"/>
      <c r="G182" s="77">
        <f t="array" ref="G182">iferror(if(and(G$4&gt;=$B182,G$4&lt;=($B182+'Get Started'!$D$37-1)),index($G$133:$Z$133,,$B182)/'Get Started'!$D$37*'Get Started'!$D$35,0),0)</f>
        <v>0</v>
      </c>
      <c r="H182" s="77">
        <f t="array" ref="H182">iferror(if(and(H$4&gt;=$B182,H$4&lt;=($B182+'Get Started'!$D$37-1)),index($G$133:$Z$133,,$B182)/'Get Started'!$D$37*'Get Started'!$D$35,0),0)</f>
        <v>0</v>
      </c>
      <c r="I182" s="77">
        <f t="array" ref="I182">iferror(if(and(I$4&gt;=$B182,I$4&lt;=($B182+'Get Started'!$D$37-1)),index($G$133:$Z$133,,$B182)/'Get Started'!$D$37*'Get Started'!$D$35,0),0)</f>
        <v>4656685</v>
      </c>
      <c r="J182" s="77">
        <f t="array" ref="J182">iferror(if(and(J$4&gt;=$B182,J$4&lt;=($B182+'Get Started'!$D$37-1)),index($G$133:$Z$133,,$B182)/'Get Started'!$D$37*'Get Started'!$D$35,0),0)</f>
        <v>4656685</v>
      </c>
      <c r="K182" s="77">
        <f t="array" ref="K182">iferror(if(and(K$4&gt;=$B182,K$4&lt;=($B182+'Get Started'!$D$37-1)),index($G$133:$Z$133,,$B182)/'Get Started'!$D$37*'Get Started'!$D$35,0),0)</f>
        <v>4656685</v>
      </c>
      <c r="L182" s="77">
        <f t="array" ref="L182">iferror(if(and(L$4&gt;=$B182,L$4&lt;=($B182+'Get Started'!$D$37-1)),index($G$133:$Z$133,,$B182)/'Get Started'!$D$37*'Get Started'!$D$35,0),0)</f>
        <v>4656685</v>
      </c>
      <c r="M182" s="77">
        <f t="array" ref="M182">iferror(if(and(M$4&gt;=$B182,M$4&lt;=($B182+'Get Started'!$D$37-1)),index($G$133:$Z$133,,$B182)/'Get Started'!$D$37*'Get Started'!$D$35,0),0)</f>
        <v>0</v>
      </c>
      <c r="N182" s="77">
        <f t="array" ref="N182">iferror(if(and(N$4&gt;=$B182,N$4&lt;=($B182+'Get Started'!$D$37-1)),index($G$133:$Z$133,,$B182)/'Get Started'!$D$37*'Get Started'!$D$35,0),0)</f>
        <v>0</v>
      </c>
      <c r="O182" s="77">
        <f t="array" ref="O182">iferror(if(and(O$4&gt;=$B182,O$4&lt;=($B182+'Get Started'!$D$37-1)),index($G$133:$Z$133,,$B182)/'Get Started'!$D$37*'Get Started'!$D$35,0),0)</f>
        <v>0</v>
      </c>
      <c r="P182" s="77">
        <f t="array" ref="P182">iferror(if(and(P$4&gt;=$B182,P$4&lt;=($B182+'Get Started'!$D$37-1)),index($G$133:$Z$133,,$B182)/'Get Started'!$D$37*'Get Started'!$D$35,0),0)</f>
        <v>0</v>
      </c>
      <c r="Q182" s="77">
        <f t="array" ref="Q182">iferror(if(and(Q$4&gt;=$B182,Q$4&lt;=($B182+'Get Started'!$D$37-1)),index($G$133:$Z$133,,$B182)/'Get Started'!$D$37*'Get Started'!$D$35,0),0)</f>
        <v>0</v>
      </c>
      <c r="R182" s="77">
        <f t="array" ref="R182">iferror(if(and(R$4&gt;=$B182,R$4&lt;=($B182+'Get Started'!$D$37-1)),index($G$133:$Z$133,,$B182)/'Get Started'!$D$37*'Get Started'!$D$35,0),0)</f>
        <v>0</v>
      </c>
      <c r="S182" s="77">
        <f t="array" ref="S182">iferror(if(and(S$4&gt;=$B182,S$4&lt;=($B182+'Get Started'!$D$37-1)),index($G$133:$Z$133,,$B182)/'Get Started'!$D$37*'Get Started'!$D$35,0),0)</f>
        <v>0</v>
      </c>
      <c r="T182" s="77">
        <f t="array" ref="T182">iferror(if(and(T$4&gt;=$B182,T$4&lt;=($B182+'Get Started'!$D$37-1)),index($G$133:$Z$133,,$B182)/'Get Started'!$D$37*'Get Started'!$D$35,0),0)</f>
        <v>0</v>
      </c>
      <c r="U182" s="77">
        <f t="array" ref="U182">iferror(if(and(U$4&gt;=$B182,U$4&lt;=($B182+'Get Started'!$D$37-1)),index($G$133:$Z$133,,$B182)/'Get Started'!$D$37*'Get Started'!$D$35,0),0)</f>
        <v>0</v>
      </c>
      <c r="V182" s="77">
        <f t="array" ref="V182">iferror(if(and(V$4&gt;=$B182,V$4&lt;=($B182+'Get Started'!$D$37-1)),index($G$133:$Z$133,,$B182)/'Get Started'!$D$37*'Get Started'!$D$35,0),0)</f>
        <v>0</v>
      </c>
      <c r="W182" s="77">
        <f t="array" ref="W182">iferror(if(and(W$4&gt;=$B182,W$4&lt;=($B182+'Get Started'!$D$37-1)),index($G$133:$Z$133,,$B182)/'Get Started'!$D$37*'Get Started'!$D$35,0),0)</f>
        <v>0</v>
      </c>
      <c r="X182" s="77">
        <f t="array" ref="X182">iferror(if(and(X$4&gt;=$B182,X$4&lt;=($B182+'Get Started'!$D$37-1)),index($G$133:$Z$133,,$B182)/'Get Started'!$D$37*'Get Started'!$D$35,0),0)</f>
        <v>0</v>
      </c>
      <c r="Y182" s="77">
        <f t="array" ref="Y182">iferror(if(and(Y$4&gt;=$B182,Y$4&lt;=($B182+'Get Started'!$D$37-1)),index($G$133:$Z$133,,$B182)/'Get Started'!$D$37*'Get Started'!$D$35,0),0)</f>
        <v>0</v>
      </c>
      <c r="Z182" s="77">
        <f t="array" ref="Z182">iferror(if(and(Z$4&gt;=$B182,Z$4&lt;=($B182+'Get Started'!$D$37-1)),index($G$133:$Z$133,,$B182)/'Get Started'!$D$37*'Get Started'!$D$35,0),0)</f>
        <v>0</v>
      </c>
    </row>
    <row r="183" hidden="1" outlineLevel="1">
      <c r="B183" s="93">
        <f t="shared" si="131"/>
        <v>4</v>
      </c>
      <c r="C183" s="40"/>
      <c r="D183" s="16" t="s">
        <v>161</v>
      </c>
      <c r="E183" s="74">
        <f t="shared" si="108"/>
        <v>0</v>
      </c>
      <c r="F183" s="74"/>
      <c r="G183" s="77">
        <f t="array" ref="G183">iferror(if(and(G$4&gt;=$B183,G$4&lt;=($B183+'Get Started'!$D$37-1)),index($G$133:$Z$133,,$B183)/'Get Started'!$D$37*'Get Started'!$D$35,0),0)</f>
        <v>0</v>
      </c>
      <c r="H183" s="77">
        <f t="array" ref="H183">iferror(if(and(H$4&gt;=$B183,H$4&lt;=($B183+'Get Started'!$D$37-1)),index($G$133:$Z$133,,$B183)/'Get Started'!$D$37*'Get Started'!$D$35,0),0)</f>
        <v>0</v>
      </c>
      <c r="I183" s="77">
        <f t="array" ref="I183">iferror(if(and(I$4&gt;=$B183,I$4&lt;=($B183+'Get Started'!$D$37-1)),index($G$133:$Z$133,,$B183)/'Get Started'!$D$37*'Get Started'!$D$35,0),0)</f>
        <v>0</v>
      </c>
      <c r="J183" s="77">
        <f t="array" ref="J183">iferror(if(and(J$4&gt;=$B183,J$4&lt;=($B183+'Get Started'!$D$37-1)),index($G$133:$Z$133,,$B183)/'Get Started'!$D$37*'Get Started'!$D$35,0),0)</f>
        <v>0</v>
      </c>
      <c r="K183" s="77">
        <f t="array" ref="K183">iferror(if(and(K$4&gt;=$B183,K$4&lt;=($B183+'Get Started'!$D$37-1)),index($G$133:$Z$133,,$B183)/'Get Started'!$D$37*'Get Started'!$D$35,0),0)</f>
        <v>0</v>
      </c>
      <c r="L183" s="77">
        <f t="array" ref="L183">iferror(if(and(L$4&gt;=$B183,L$4&lt;=($B183+'Get Started'!$D$37-1)),index($G$133:$Z$133,,$B183)/'Get Started'!$D$37*'Get Started'!$D$35,0),0)</f>
        <v>0</v>
      </c>
      <c r="M183" s="77">
        <f t="array" ref="M183">iferror(if(and(M$4&gt;=$B183,M$4&lt;=($B183+'Get Started'!$D$37-1)),index($G$133:$Z$133,,$B183)/'Get Started'!$D$37*'Get Started'!$D$35,0),0)</f>
        <v>0</v>
      </c>
      <c r="N183" s="77">
        <f t="array" ref="N183">iferror(if(and(N$4&gt;=$B183,N$4&lt;=($B183+'Get Started'!$D$37-1)),index($G$133:$Z$133,,$B183)/'Get Started'!$D$37*'Get Started'!$D$35,0),0)</f>
        <v>0</v>
      </c>
      <c r="O183" s="77">
        <f t="array" ref="O183">iferror(if(and(O$4&gt;=$B183,O$4&lt;=($B183+'Get Started'!$D$37-1)),index($G$133:$Z$133,,$B183)/'Get Started'!$D$37*'Get Started'!$D$35,0),0)</f>
        <v>0</v>
      </c>
      <c r="P183" s="77">
        <f t="array" ref="P183">iferror(if(and(P$4&gt;=$B183,P$4&lt;=($B183+'Get Started'!$D$37-1)),index($G$133:$Z$133,,$B183)/'Get Started'!$D$37*'Get Started'!$D$35,0),0)</f>
        <v>0</v>
      </c>
      <c r="Q183" s="77">
        <f t="array" ref="Q183">iferror(if(and(Q$4&gt;=$B183,Q$4&lt;=($B183+'Get Started'!$D$37-1)),index($G$133:$Z$133,,$B183)/'Get Started'!$D$37*'Get Started'!$D$35,0),0)</f>
        <v>0</v>
      </c>
      <c r="R183" s="77">
        <f t="array" ref="R183">iferror(if(and(R$4&gt;=$B183,R$4&lt;=($B183+'Get Started'!$D$37-1)),index($G$133:$Z$133,,$B183)/'Get Started'!$D$37*'Get Started'!$D$35,0),0)</f>
        <v>0</v>
      </c>
      <c r="S183" s="77">
        <f t="array" ref="S183">iferror(if(and(S$4&gt;=$B183,S$4&lt;=($B183+'Get Started'!$D$37-1)),index($G$133:$Z$133,,$B183)/'Get Started'!$D$37*'Get Started'!$D$35,0),0)</f>
        <v>0</v>
      </c>
      <c r="T183" s="77">
        <f t="array" ref="T183">iferror(if(and(T$4&gt;=$B183,T$4&lt;=($B183+'Get Started'!$D$37-1)),index($G$133:$Z$133,,$B183)/'Get Started'!$D$37*'Get Started'!$D$35,0),0)</f>
        <v>0</v>
      </c>
      <c r="U183" s="77">
        <f t="array" ref="U183">iferror(if(and(U$4&gt;=$B183,U$4&lt;=($B183+'Get Started'!$D$37-1)),index($G$133:$Z$133,,$B183)/'Get Started'!$D$37*'Get Started'!$D$35,0),0)</f>
        <v>0</v>
      </c>
      <c r="V183" s="77">
        <f t="array" ref="V183">iferror(if(and(V$4&gt;=$B183,V$4&lt;=($B183+'Get Started'!$D$37-1)),index($G$133:$Z$133,,$B183)/'Get Started'!$D$37*'Get Started'!$D$35,0),0)</f>
        <v>0</v>
      </c>
      <c r="W183" s="77">
        <f t="array" ref="W183">iferror(if(and(W$4&gt;=$B183,W$4&lt;=($B183+'Get Started'!$D$37-1)),index($G$133:$Z$133,,$B183)/'Get Started'!$D$37*'Get Started'!$D$35,0),0)</f>
        <v>0</v>
      </c>
      <c r="X183" s="77">
        <f t="array" ref="X183">iferror(if(and(X$4&gt;=$B183,X$4&lt;=($B183+'Get Started'!$D$37-1)),index($G$133:$Z$133,,$B183)/'Get Started'!$D$37*'Get Started'!$D$35,0),0)</f>
        <v>0</v>
      </c>
      <c r="Y183" s="77">
        <f t="array" ref="Y183">iferror(if(and(Y$4&gt;=$B183,Y$4&lt;=($B183+'Get Started'!$D$37-1)),index($G$133:$Z$133,,$B183)/'Get Started'!$D$37*'Get Started'!$D$35,0),0)</f>
        <v>0</v>
      </c>
      <c r="Z183" s="77">
        <f t="array" ref="Z183">iferror(if(and(Z$4&gt;=$B183,Z$4&lt;=($B183+'Get Started'!$D$37-1)),index($G$133:$Z$133,,$B183)/'Get Started'!$D$37*'Get Started'!$D$35,0),0)</f>
        <v>0</v>
      </c>
    </row>
    <row r="184" hidden="1" outlineLevel="1">
      <c r="B184" s="93">
        <f t="shared" si="131"/>
        <v>5</v>
      </c>
      <c r="C184" s="40"/>
      <c r="D184" s="16" t="s">
        <v>161</v>
      </c>
      <c r="E184" s="74">
        <f t="shared" si="108"/>
        <v>0</v>
      </c>
      <c r="F184" s="74"/>
      <c r="G184" s="77">
        <f t="array" ref="G184">iferror(if(and(G$4&gt;=$B184,G$4&lt;=($B184+'Get Started'!$D$37-1)),index($G$133:$Z$133,,$B184)/'Get Started'!$D$37*'Get Started'!$D$35,0),0)</f>
        <v>0</v>
      </c>
      <c r="H184" s="77">
        <f t="array" ref="H184">iferror(if(and(H$4&gt;=$B184,H$4&lt;=($B184+'Get Started'!$D$37-1)),index($G$133:$Z$133,,$B184)/'Get Started'!$D$37*'Get Started'!$D$35,0),0)</f>
        <v>0</v>
      </c>
      <c r="I184" s="77">
        <f t="array" ref="I184">iferror(if(and(I$4&gt;=$B184,I$4&lt;=($B184+'Get Started'!$D$37-1)),index($G$133:$Z$133,,$B184)/'Get Started'!$D$37*'Get Started'!$D$35,0),0)</f>
        <v>0</v>
      </c>
      <c r="J184" s="77">
        <f t="array" ref="J184">iferror(if(and(J$4&gt;=$B184,J$4&lt;=($B184+'Get Started'!$D$37-1)),index($G$133:$Z$133,,$B184)/'Get Started'!$D$37*'Get Started'!$D$35,0),0)</f>
        <v>0</v>
      </c>
      <c r="K184" s="77">
        <f t="array" ref="K184">iferror(if(and(K$4&gt;=$B184,K$4&lt;=($B184+'Get Started'!$D$37-1)),index($G$133:$Z$133,,$B184)/'Get Started'!$D$37*'Get Started'!$D$35,0),0)</f>
        <v>0</v>
      </c>
      <c r="L184" s="77">
        <f t="array" ref="L184">iferror(if(and(L$4&gt;=$B184,L$4&lt;=($B184+'Get Started'!$D$37-1)),index($G$133:$Z$133,,$B184)/'Get Started'!$D$37*'Get Started'!$D$35,0),0)</f>
        <v>0</v>
      </c>
      <c r="M184" s="77">
        <f t="array" ref="M184">iferror(if(and(M$4&gt;=$B184,M$4&lt;=($B184+'Get Started'!$D$37-1)),index($G$133:$Z$133,,$B184)/'Get Started'!$D$37*'Get Started'!$D$35,0),0)</f>
        <v>0</v>
      </c>
      <c r="N184" s="77">
        <f t="array" ref="N184">iferror(if(and(N$4&gt;=$B184,N$4&lt;=($B184+'Get Started'!$D$37-1)),index($G$133:$Z$133,,$B184)/'Get Started'!$D$37*'Get Started'!$D$35,0),0)</f>
        <v>0</v>
      </c>
      <c r="O184" s="77">
        <f t="array" ref="O184">iferror(if(and(O$4&gt;=$B184,O$4&lt;=($B184+'Get Started'!$D$37-1)),index($G$133:$Z$133,,$B184)/'Get Started'!$D$37*'Get Started'!$D$35,0),0)</f>
        <v>0</v>
      </c>
      <c r="P184" s="77">
        <f t="array" ref="P184">iferror(if(and(P$4&gt;=$B184,P$4&lt;=($B184+'Get Started'!$D$37-1)),index($G$133:$Z$133,,$B184)/'Get Started'!$D$37*'Get Started'!$D$35,0),0)</f>
        <v>0</v>
      </c>
      <c r="Q184" s="77">
        <f t="array" ref="Q184">iferror(if(and(Q$4&gt;=$B184,Q$4&lt;=($B184+'Get Started'!$D$37-1)),index($G$133:$Z$133,,$B184)/'Get Started'!$D$37*'Get Started'!$D$35,0),0)</f>
        <v>0</v>
      </c>
      <c r="R184" s="77">
        <f t="array" ref="R184">iferror(if(and(R$4&gt;=$B184,R$4&lt;=($B184+'Get Started'!$D$37-1)),index($G$133:$Z$133,,$B184)/'Get Started'!$D$37*'Get Started'!$D$35,0),0)</f>
        <v>0</v>
      </c>
      <c r="S184" s="77">
        <f t="array" ref="S184">iferror(if(and(S$4&gt;=$B184,S$4&lt;=($B184+'Get Started'!$D$37-1)),index($G$133:$Z$133,,$B184)/'Get Started'!$D$37*'Get Started'!$D$35,0),0)</f>
        <v>0</v>
      </c>
      <c r="T184" s="77">
        <f t="array" ref="T184">iferror(if(and(T$4&gt;=$B184,T$4&lt;=($B184+'Get Started'!$D$37-1)),index($G$133:$Z$133,,$B184)/'Get Started'!$D$37*'Get Started'!$D$35,0),0)</f>
        <v>0</v>
      </c>
      <c r="U184" s="77">
        <f t="array" ref="U184">iferror(if(and(U$4&gt;=$B184,U$4&lt;=($B184+'Get Started'!$D$37-1)),index($G$133:$Z$133,,$B184)/'Get Started'!$D$37*'Get Started'!$D$35,0),0)</f>
        <v>0</v>
      </c>
      <c r="V184" s="77">
        <f t="array" ref="V184">iferror(if(and(V$4&gt;=$B184,V$4&lt;=($B184+'Get Started'!$D$37-1)),index($G$133:$Z$133,,$B184)/'Get Started'!$D$37*'Get Started'!$D$35,0),0)</f>
        <v>0</v>
      </c>
      <c r="W184" s="77">
        <f t="array" ref="W184">iferror(if(and(W$4&gt;=$B184,W$4&lt;=($B184+'Get Started'!$D$37-1)),index($G$133:$Z$133,,$B184)/'Get Started'!$D$37*'Get Started'!$D$35,0),0)</f>
        <v>0</v>
      </c>
      <c r="X184" s="77">
        <f t="array" ref="X184">iferror(if(and(X$4&gt;=$B184,X$4&lt;=($B184+'Get Started'!$D$37-1)),index($G$133:$Z$133,,$B184)/'Get Started'!$D$37*'Get Started'!$D$35,0),0)</f>
        <v>0</v>
      </c>
      <c r="Y184" s="77">
        <f t="array" ref="Y184">iferror(if(and(Y$4&gt;=$B184,Y$4&lt;=($B184+'Get Started'!$D$37-1)),index($G$133:$Z$133,,$B184)/'Get Started'!$D$37*'Get Started'!$D$35,0),0)</f>
        <v>0</v>
      </c>
      <c r="Z184" s="77">
        <f t="array" ref="Z184">iferror(if(and(Z$4&gt;=$B184,Z$4&lt;=($B184+'Get Started'!$D$37-1)),index($G$133:$Z$133,,$B184)/'Get Started'!$D$37*'Get Started'!$D$35,0),0)</f>
        <v>0</v>
      </c>
    </row>
    <row r="185" hidden="1" outlineLevel="1">
      <c r="B185" s="93">
        <f t="shared" si="131"/>
        <v>6</v>
      </c>
      <c r="C185" s="40"/>
      <c r="D185" s="16" t="s">
        <v>161</v>
      </c>
      <c r="E185" s="74">
        <f t="shared" si="108"/>
        <v>0</v>
      </c>
      <c r="F185" s="74"/>
      <c r="G185" s="77">
        <f t="array" ref="G185">iferror(if(and(G$4&gt;=$B185,G$4&lt;=($B185+'Get Started'!$D$37-1)),index($G$133:$Z$133,,$B185)/'Get Started'!$D$37*'Get Started'!$D$35,0),0)</f>
        <v>0</v>
      </c>
      <c r="H185" s="77">
        <f t="array" ref="H185">iferror(if(and(H$4&gt;=$B185,H$4&lt;=($B185+'Get Started'!$D$37-1)),index($G$133:$Z$133,,$B185)/'Get Started'!$D$37*'Get Started'!$D$35,0),0)</f>
        <v>0</v>
      </c>
      <c r="I185" s="77">
        <f t="array" ref="I185">iferror(if(and(I$4&gt;=$B185,I$4&lt;=($B185+'Get Started'!$D$37-1)),index($G$133:$Z$133,,$B185)/'Get Started'!$D$37*'Get Started'!$D$35,0),0)</f>
        <v>0</v>
      </c>
      <c r="J185" s="77">
        <f t="array" ref="J185">iferror(if(and(J$4&gt;=$B185,J$4&lt;=($B185+'Get Started'!$D$37-1)),index($G$133:$Z$133,,$B185)/'Get Started'!$D$37*'Get Started'!$D$35,0),0)</f>
        <v>0</v>
      </c>
      <c r="K185" s="77">
        <f t="array" ref="K185">iferror(if(and(K$4&gt;=$B185,K$4&lt;=($B185+'Get Started'!$D$37-1)),index($G$133:$Z$133,,$B185)/'Get Started'!$D$37*'Get Started'!$D$35,0),0)</f>
        <v>0</v>
      </c>
      <c r="L185" s="77">
        <f t="array" ref="L185">iferror(if(and(L$4&gt;=$B185,L$4&lt;=($B185+'Get Started'!$D$37-1)),index($G$133:$Z$133,,$B185)/'Get Started'!$D$37*'Get Started'!$D$35,0),0)</f>
        <v>0</v>
      </c>
      <c r="M185" s="77">
        <f t="array" ref="M185">iferror(if(and(M$4&gt;=$B185,M$4&lt;=($B185+'Get Started'!$D$37-1)),index($G$133:$Z$133,,$B185)/'Get Started'!$D$37*'Get Started'!$D$35,0),0)</f>
        <v>0</v>
      </c>
      <c r="N185" s="77">
        <f t="array" ref="N185">iferror(if(and(N$4&gt;=$B185,N$4&lt;=($B185+'Get Started'!$D$37-1)),index($G$133:$Z$133,,$B185)/'Get Started'!$D$37*'Get Started'!$D$35,0),0)</f>
        <v>0</v>
      </c>
      <c r="O185" s="77">
        <f t="array" ref="O185">iferror(if(and(O$4&gt;=$B185,O$4&lt;=($B185+'Get Started'!$D$37-1)),index($G$133:$Z$133,,$B185)/'Get Started'!$D$37*'Get Started'!$D$35,0),0)</f>
        <v>0</v>
      </c>
      <c r="P185" s="77">
        <f t="array" ref="P185">iferror(if(and(P$4&gt;=$B185,P$4&lt;=($B185+'Get Started'!$D$37-1)),index($G$133:$Z$133,,$B185)/'Get Started'!$D$37*'Get Started'!$D$35,0),0)</f>
        <v>0</v>
      </c>
      <c r="Q185" s="77">
        <f t="array" ref="Q185">iferror(if(and(Q$4&gt;=$B185,Q$4&lt;=($B185+'Get Started'!$D$37-1)),index($G$133:$Z$133,,$B185)/'Get Started'!$D$37*'Get Started'!$D$35,0),0)</f>
        <v>0</v>
      </c>
      <c r="R185" s="77">
        <f t="array" ref="R185">iferror(if(and(R$4&gt;=$B185,R$4&lt;=($B185+'Get Started'!$D$37-1)),index($G$133:$Z$133,,$B185)/'Get Started'!$D$37*'Get Started'!$D$35,0),0)</f>
        <v>0</v>
      </c>
      <c r="S185" s="77">
        <f t="array" ref="S185">iferror(if(and(S$4&gt;=$B185,S$4&lt;=($B185+'Get Started'!$D$37-1)),index($G$133:$Z$133,,$B185)/'Get Started'!$D$37*'Get Started'!$D$35,0),0)</f>
        <v>0</v>
      </c>
      <c r="T185" s="77">
        <f t="array" ref="T185">iferror(if(and(T$4&gt;=$B185,T$4&lt;=($B185+'Get Started'!$D$37-1)),index($G$133:$Z$133,,$B185)/'Get Started'!$D$37*'Get Started'!$D$35,0),0)</f>
        <v>0</v>
      </c>
      <c r="U185" s="77">
        <f t="array" ref="U185">iferror(if(and(U$4&gt;=$B185,U$4&lt;=($B185+'Get Started'!$D$37-1)),index($G$133:$Z$133,,$B185)/'Get Started'!$D$37*'Get Started'!$D$35,0),0)</f>
        <v>0</v>
      </c>
      <c r="V185" s="77">
        <f t="array" ref="V185">iferror(if(and(V$4&gt;=$B185,V$4&lt;=($B185+'Get Started'!$D$37-1)),index($G$133:$Z$133,,$B185)/'Get Started'!$D$37*'Get Started'!$D$35,0),0)</f>
        <v>0</v>
      </c>
      <c r="W185" s="77">
        <f t="array" ref="W185">iferror(if(and(W$4&gt;=$B185,W$4&lt;=($B185+'Get Started'!$D$37-1)),index($G$133:$Z$133,,$B185)/'Get Started'!$D$37*'Get Started'!$D$35,0),0)</f>
        <v>0</v>
      </c>
      <c r="X185" s="77">
        <f t="array" ref="X185">iferror(if(and(X$4&gt;=$B185,X$4&lt;=($B185+'Get Started'!$D$37-1)),index($G$133:$Z$133,,$B185)/'Get Started'!$D$37*'Get Started'!$D$35,0),0)</f>
        <v>0</v>
      </c>
      <c r="Y185" s="77">
        <f t="array" ref="Y185">iferror(if(and(Y$4&gt;=$B185,Y$4&lt;=($B185+'Get Started'!$D$37-1)),index($G$133:$Z$133,,$B185)/'Get Started'!$D$37*'Get Started'!$D$35,0),0)</f>
        <v>0</v>
      </c>
      <c r="Z185" s="77">
        <f t="array" ref="Z185">iferror(if(and(Z$4&gt;=$B185,Z$4&lt;=($B185+'Get Started'!$D$37-1)),index($G$133:$Z$133,,$B185)/'Get Started'!$D$37*'Get Started'!$D$35,0),0)</f>
        <v>0</v>
      </c>
    </row>
    <row r="186" hidden="1" outlineLevel="1">
      <c r="B186" s="93">
        <f t="shared" si="131"/>
        <v>7</v>
      </c>
      <c r="C186" s="40"/>
      <c r="D186" s="16" t="s">
        <v>161</v>
      </c>
      <c r="E186" s="74">
        <f t="shared" si="108"/>
        <v>0</v>
      </c>
      <c r="F186" s="74"/>
      <c r="G186" s="77">
        <f t="array" ref="G186">iferror(if(and(G$4&gt;=$B186,G$4&lt;=($B186+'Get Started'!$D$37-1)),index($G$133:$Z$133,,$B186)/'Get Started'!$D$37*'Get Started'!$D$35,0),0)</f>
        <v>0</v>
      </c>
      <c r="H186" s="77">
        <f t="array" ref="H186">iferror(if(and(H$4&gt;=$B186,H$4&lt;=($B186+'Get Started'!$D$37-1)),index($G$133:$Z$133,,$B186)/'Get Started'!$D$37*'Get Started'!$D$35,0),0)</f>
        <v>0</v>
      </c>
      <c r="I186" s="77">
        <f t="array" ref="I186">iferror(if(and(I$4&gt;=$B186,I$4&lt;=($B186+'Get Started'!$D$37-1)),index($G$133:$Z$133,,$B186)/'Get Started'!$D$37*'Get Started'!$D$35,0),0)</f>
        <v>0</v>
      </c>
      <c r="J186" s="77">
        <f t="array" ref="J186">iferror(if(and(J$4&gt;=$B186,J$4&lt;=($B186+'Get Started'!$D$37-1)),index($G$133:$Z$133,,$B186)/'Get Started'!$D$37*'Get Started'!$D$35,0),0)</f>
        <v>0</v>
      </c>
      <c r="K186" s="77">
        <f t="array" ref="K186">iferror(if(and(K$4&gt;=$B186,K$4&lt;=($B186+'Get Started'!$D$37-1)),index($G$133:$Z$133,,$B186)/'Get Started'!$D$37*'Get Started'!$D$35,0),0)</f>
        <v>0</v>
      </c>
      <c r="L186" s="77">
        <f t="array" ref="L186">iferror(if(and(L$4&gt;=$B186,L$4&lt;=($B186+'Get Started'!$D$37-1)),index($G$133:$Z$133,,$B186)/'Get Started'!$D$37*'Get Started'!$D$35,0),0)</f>
        <v>0</v>
      </c>
      <c r="M186" s="77">
        <f t="array" ref="M186">iferror(if(and(M$4&gt;=$B186,M$4&lt;=($B186+'Get Started'!$D$37-1)),index($G$133:$Z$133,,$B186)/'Get Started'!$D$37*'Get Started'!$D$35,0),0)</f>
        <v>0</v>
      </c>
      <c r="N186" s="77">
        <f t="array" ref="N186">iferror(if(and(N$4&gt;=$B186,N$4&lt;=($B186+'Get Started'!$D$37-1)),index($G$133:$Z$133,,$B186)/'Get Started'!$D$37*'Get Started'!$D$35,0),0)</f>
        <v>0</v>
      </c>
      <c r="O186" s="77">
        <f t="array" ref="O186">iferror(if(and(O$4&gt;=$B186,O$4&lt;=($B186+'Get Started'!$D$37-1)),index($G$133:$Z$133,,$B186)/'Get Started'!$D$37*'Get Started'!$D$35,0),0)</f>
        <v>0</v>
      </c>
      <c r="P186" s="77">
        <f t="array" ref="P186">iferror(if(and(P$4&gt;=$B186,P$4&lt;=($B186+'Get Started'!$D$37-1)),index($G$133:$Z$133,,$B186)/'Get Started'!$D$37*'Get Started'!$D$35,0),0)</f>
        <v>0</v>
      </c>
      <c r="Q186" s="77">
        <f t="array" ref="Q186">iferror(if(and(Q$4&gt;=$B186,Q$4&lt;=($B186+'Get Started'!$D$37-1)),index($G$133:$Z$133,,$B186)/'Get Started'!$D$37*'Get Started'!$D$35,0),0)</f>
        <v>0</v>
      </c>
      <c r="R186" s="77">
        <f t="array" ref="R186">iferror(if(and(R$4&gt;=$B186,R$4&lt;=($B186+'Get Started'!$D$37-1)),index($G$133:$Z$133,,$B186)/'Get Started'!$D$37*'Get Started'!$D$35,0),0)</f>
        <v>0</v>
      </c>
      <c r="S186" s="77">
        <f t="array" ref="S186">iferror(if(and(S$4&gt;=$B186,S$4&lt;=($B186+'Get Started'!$D$37-1)),index($G$133:$Z$133,,$B186)/'Get Started'!$D$37*'Get Started'!$D$35,0),0)</f>
        <v>0</v>
      </c>
      <c r="T186" s="77">
        <f t="array" ref="T186">iferror(if(and(T$4&gt;=$B186,T$4&lt;=($B186+'Get Started'!$D$37-1)),index($G$133:$Z$133,,$B186)/'Get Started'!$D$37*'Get Started'!$D$35,0),0)</f>
        <v>0</v>
      </c>
      <c r="U186" s="77">
        <f t="array" ref="U186">iferror(if(and(U$4&gt;=$B186,U$4&lt;=($B186+'Get Started'!$D$37-1)),index($G$133:$Z$133,,$B186)/'Get Started'!$D$37*'Get Started'!$D$35,0),0)</f>
        <v>0</v>
      </c>
      <c r="V186" s="77">
        <f t="array" ref="V186">iferror(if(and(V$4&gt;=$B186,V$4&lt;=($B186+'Get Started'!$D$37-1)),index($G$133:$Z$133,,$B186)/'Get Started'!$D$37*'Get Started'!$D$35,0),0)</f>
        <v>0</v>
      </c>
      <c r="W186" s="77">
        <f t="array" ref="W186">iferror(if(and(W$4&gt;=$B186,W$4&lt;=($B186+'Get Started'!$D$37-1)),index($G$133:$Z$133,,$B186)/'Get Started'!$D$37*'Get Started'!$D$35,0),0)</f>
        <v>0</v>
      </c>
      <c r="X186" s="77">
        <f t="array" ref="X186">iferror(if(and(X$4&gt;=$B186,X$4&lt;=($B186+'Get Started'!$D$37-1)),index($G$133:$Z$133,,$B186)/'Get Started'!$D$37*'Get Started'!$D$35,0),0)</f>
        <v>0</v>
      </c>
      <c r="Y186" s="77">
        <f t="array" ref="Y186">iferror(if(and(Y$4&gt;=$B186,Y$4&lt;=($B186+'Get Started'!$D$37-1)),index($G$133:$Z$133,,$B186)/'Get Started'!$D$37*'Get Started'!$D$35,0),0)</f>
        <v>0</v>
      </c>
      <c r="Z186" s="77">
        <f t="array" ref="Z186">iferror(if(and(Z$4&gt;=$B186,Z$4&lt;=($B186+'Get Started'!$D$37-1)),index($G$133:$Z$133,,$B186)/'Get Started'!$D$37*'Get Started'!$D$35,0),0)</f>
        <v>0</v>
      </c>
    </row>
    <row r="187" hidden="1" outlineLevel="1">
      <c r="B187" s="93">
        <f t="shared" si="131"/>
        <v>8</v>
      </c>
      <c r="C187" s="40"/>
      <c r="D187" s="16" t="s">
        <v>161</v>
      </c>
      <c r="E187" s="74">
        <f t="shared" si="108"/>
        <v>0</v>
      </c>
      <c r="F187" s="74"/>
      <c r="G187" s="77">
        <f t="array" ref="G187">iferror(if(and(G$4&gt;=$B187,G$4&lt;=($B187+'Get Started'!$D$37-1)),index($G$133:$Z$133,,$B187)/'Get Started'!$D$37*'Get Started'!$D$35,0),0)</f>
        <v>0</v>
      </c>
      <c r="H187" s="77">
        <f t="array" ref="H187">iferror(if(and(H$4&gt;=$B187,H$4&lt;=($B187+'Get Started'!$D$37-1)),index($G$133:$Z$133,,$B187)/'Get Started'!$D$37*'Get Started'!$D$35,0),0)</f>
        <v>0</v>
      </c>
      <c r="I187" s="77">
        <f t="array" ref="I187">iferror(if(and(I$4&gt;=$B187,I$4&lt;=($B187+'Get Started'!$D$37-1)),index($G$133:$Z$133,,$B187)/'Get Started'!$D$37*'Get Started'!$D$35,0),0)</f>
        <v>0</v>
      </c>
      <c r="J187" s="77">
        <f t="array" ref="J187">iferror(if(and(J$4&gt;=$B187,J$4&lt;=($B187+'Get Started'!$D$37-1)),index($G$133:$Z$133,,$B187)/'Get Started'!$D$37*'Get Started'!$D$35,0),0)</f>
        <v>0</v>
      </c>
      <c r="K187" s="77">
        <f t="array" ref="K187">iferror(if(and(K$4&gt;=$B187,K$4&lt;=($B187+'Get Started'!$D$37-1)),index($G$133:$Z$133,,$B187)/'Get Started'!$D$37*'Get Started'!$D$35,0),0)</f>
        <v>0</v>
      </c>
      <c r="L187" s="77">
        <f t="array" ref="L187">iferror(if(and(L$4&gt;=$B187,L$4&lt;=($B187+'Get Started'!$D$37-1)),index($G$133:$Z$133,,$B187)/'Get Started'!$D$37*'Get Started'!$D$35,0),0)</f>
        <v>0</v>
      </c>
      <c r="M187" s="77">
        <f t="array" ref="M187">iferror(if(and(M$4&gt;=$B187,M$4&lt;=($B187+'Get Started'!$D$37-1)),index($G$133:$Z$133,,$B187)/'Get Started'!$D$37*'Get Started'!$D$35,0),0)</f>
        <v>0</v>
      </c>
      <c r="N187" s="77">
        <f t="array" ref="N187">iferror(if(and(N$4&gt;=$B187,N$4&lt;=($B187+'Get Started'!$D$37-1)),index($G$133:$Z$133,,$B187)/'Get Started'!$D$37*'Get Started'!$D$35,0),0)</f>
        <v>0</v>
      </c>
      <c r="O187" s="77">
        <f t="array" ref="O187">iferror(if(and(O$4&gt;=$B187,O$4&lt;=($B187+'Get Started'!$D$37-1)),index($G$133:$Z$133,,$B187)/'Get Started'!$D$37*'Get Started'!$D$35,0),0)</f>
        <v>0</v>
      </c>
      <c r="P187" s="77">
        <f t="array" ref="P187">iferror(if(and(P$4&gt;=$B187,P$4&lt;=($B187+'Get Started'!$D$37-1)),index($G$133:$Z$133,,$B187)/'Get Started'!$D$37*'Get Started'!$D$35,0),0)</f>
        <v>0</v>
      </c>
      <c r="Q187" s="77">
        <f t="array" ref="Q187">iferror(if(and(Q$4&gt;=$B187,Q$4&lt;=($B187+'Get Started'!$D$37-1)),index($G$133:$Z$133,,$B187)/'Get Started'!$D$37*'Get Started'!$D$35,0),0)</f>
        <v>0</v>
      </c>
      <c r="R187" s="77">
        <f t="array" ref="R187">iferror(if(and(R$4&gt;=$B187,R$4&lt;=($B187+'Get Started'!$D$37-1)),index($G$133:$Z$133,,$B187)/'Get Started'!$D$37*'Get Started'!$D$35,0),0)</f>
        <v>0</v>
      </c>
      <c r="S187" s="77">
        <f t="array" ref="S187">iferror(if(and(S$4&gt;=$B187,S$4&lt;=($B187+'Get Started'!$D$37-1)),index($G$133:$Z$133,,$B187)/'Get Started'!$D$37*'Get Started'!$D$35,0),0)</f>
        <v>0</v>
      </c>
      <c r="T187" s="77">
        <f t="array" ref="T187">iferror(if(and(T$4&gt;=$B187,T$4&lt;=($B187+'Get Started'!$D$37-1)),index($G$133:$Z$133,,$B187)/'Get Started'!$D$37*'Get Started'!$D$35,0),0)</f>
        <v>0</v>
      </c>
      <c r="U187" s="77">
        <f t="array" ref="U187">iferror(if(and(U$4&gt;=$B187,U$4&lt;=($B187+'Get Started'!$D$37-1)),index($G$133:$Z$133,,$B187)/'Get Started'!$D$37*'Get Started'!$D$35,0),0)</f>
        <v>0</v>
      </c>
      <c r="V187" s="77">
        <f t="array" ref="V187">iferror(if(and(V$4&gt;=$B187,V$4&lt;=($B187+'Get Started'!$D$37-1)),index($G$133:$Z$133,,$B187)/'Get Started'!$D$37*'Get Started'!$D$35,0),0)</f>
        <v>0</v>
      </c>
      <c r="W187" s="77">
        <f t="array" ref="W187">iferror(if(and(W$4&gt;=$B187,W$4&lt;=($B187+'Get Started'!$D$37-1)),index($G$133:$Z$133,,$B187)/'Get Started'!$D$37*'Get Started'!$D$35,0),0)</f>
        <v>0</v>
      </c>
      <c r="X187" s="77">
        <f t="array" ref="X187">iferror(if(and(X$4&gt;=$B187,X$4&lt;=($B187+'Get Started'!$D$37-1)),index($G$133:$Z$133,,$B187)/'Get Started'!$D$37*'Get Started'!$D$35,0),0)</f>
        <v>0</v>
      </c>
      <c r="Y187" s="77">
        <f t="array" ref="Y187">iferror(if(and(Y$4&gt;=$B187,Y$4&lt;=($B187+'Get Started'!$D$37-1)),index($G$133:$Z$133,,$B187)/'Get Started'!$D$37*'Get Started'!$D$35,0),0)</f>
        <v>0</v>
      </c>
      <c r="Z187" s="77">
        <f t="array" ref="Z187">iferror(if(and(Z$4&gt;=$B187,Z$4&lt;=($B187+'Get Started'!$D$37-1)),index($G$133:$Z$133,,$B187)/'Get Started'!$D$37*'Get Started'!$D$35,0),0)</f>
        <v>0</v>
      </c>
    </row>
    <row r="188" hidden="1" outlineLevel="1">
      <c r="B188" s="93">
        <f t="shared" si="131"/>
        <v>9</v>
      </c>
      <c r="C188" s="40"/>
      <c r="D188" s="16" t="s">
        <v>161</v>
      </c>
      <c r="E188" s="74">
        <f t="shared" si="108"/>
        <v>0</v>
      </c>
      <c r="F188" s="74"/>
      <c r="G188" s="77">
        <f t="array" ref="G188">iferror(if(and(G$4&gt;=$B188,G$4&lt;=($B188+'Get Started'!$D$37-1)),index($G$133:$Z$133,,$B188)/'Get Started'!$D$37*'Get Started'!$D$35,0),0)</f>
        <v>0</v>
      </c>
      <c r="H188" s="77">
        <f t="array" ref="H188">iferror(if(and(H$4&gt;=$B188,H$4&lt;=($B188+'Get Started'!$D$37-1)),index($G$133:$Z$133,,$B188)/'Get Started'!$D$37*'Get Started'!$D$35,0),0)</f>
        <v>0</v>
      </c>
      <c r="I188" s="77">
        <f t="array" ref="I188">iferror(if(and(I$4&gt;=$B188,I$4&lt;=($B188+'Get Started'!$D$37-1)),index($G$133:$Z$133,,$B188)/'Get Started'!$D$37*'Get Started'!$D$35,0),0)</f>
        <v>0</v>
      </c>
      <c r="J188" s="77">
        <f t="array" ref="J188">iferror(if(and(J$4&gt;=$B188,J$4&lt;=($B188+'Get Started'!$D$37-1)),index($G$133:$Z$133,,$B188)/'Get Started'!$D$37*'Get Started'!$D$35,0),0)</f>
        <v>0</v>
      </c>
      <c r="K188" s="77">
        <f t="array" ref="K188">iferror(if(and(K$4&gt;=$B188,K$4&lt;=($B188+'Get Started'!$D$37-1)),index($G$133:$Z$133,,$B188)/'Get Started'!$D$37*'Get Started'!$D$35,0),0)</f>
        <v>0</v>
      </c>
      <c r="L188" s="77">
        <f t="array" ref="L188">iferror(if(and(L$4&gt;=$B188,L$4&lt;=($B188+'Get Started'!$D$37-1)),index($G$133:$Z$133,,$B188)/'Get Started'!$D$37*'Get Started'!$D$35,0),0)</f>
        <v>0</v>
      </c>
      <c r="M188" s="77">
        <f t="array" ref="M188">iferror(if(and(M$4&gt;=$B188,M$4&lt;=($B188+'Get Started'!$D$37-1)),index($G$133:$Z$133,,$B188)/'Get Started'!$D$37*'Get Started'!$D$35,0),0)</f>
        <v>0</v>
      </c>
      <c r="N188" s="77">
        <f t="array" ref="N188">iferror(if(and(N$4&gt;=$B188,N$4&lt;=($B188+'Get Started'!$D$37-1)),index($G$133:$Z$133,,$B188)/'Get Started'!$D$37*'Get Started'!$D$35,0),0)</f>
        <v>0</v>
      </c>
      <c r="O188" s="77">
        <f t="array" ref="O188">iferror(if(and(O$4&gt;=$B188,O$4&lt;=($B188+'Get Started'!$D$37-1)),index($G$133:$Z$133,,$B188)/'Get Started'!$D$37*'Get Started'!$D$35,0),0)</f>
        <v>0</v>
      </c>
      <c r="P188" s="77">
        <f t="array" ref="P188">iferror(if(and(P$4&gt;=$B188,P$4&lt;=($B188+'Get Started'!$D$37-1)),index($G$133:$Z$133,,$B188)/'Get Started'!$D$37*'Get Started'!$D$35,0),0)</f>
        <v>0</v>
      </c>
      <c r="Q188" s="77">
        <f t="array" ref="Q188">iferror(if(and(Q$4&gt;=$B188,Q$4&lt;=($B188+'Get Started'!$D$37-1)),index($G$133:$Z$133,,$B188)/'Get Started'!$D$37*'Get Started'!$D$35,0),0)</f>
        <v>0</v>
      </c>
      <c r="R188" s="77">
        <f t="array" ref="R188">iferror(if(and(R$4&gt;=$B188,R$4&lt;=($B188+'Get Started'!$D$37-1)),index($G$133:$Z$133,,$B188)/'Get Started'!$D$37*'Get Started'!$D$35,0),0)</f>
        <v>0</v>
      </c>
      <c r="S188" s="77">
        <f t="array" ref="S188">iferror(if(and(S$4&gt;=$B188,S$4&lt;=($B188+'Get Started'!$D$37-1)),index($G$133:$Z$133,,$B188)/'Get Started'!$D$37*'Get Started'!$D$35,0),0)</f>
        <v>0</v>
      </c>
      <c r="T188" s="77">
        <f t="array" ref="T188">iferror(if(and(T$4&gt;=$B188,T$4&lt;=($B188+'Get Started'!$D$37-1)),index($G$133:$Z$133,,$B188)/'Get Started'!$D$37*'Get Started'!$D$35,0),0)</f>
        <v>0</v>
      </c>
      <c r="U188" s="77">
        <f t="array" ref="U188">iferror(if(and(U$4&gt;=$B188,U$4&lt;=($B188+'Get Started'!$D$37-1)),index($G$133:$Z$133,,$B188)/'Get Started'!$D$37*'Get Started'!$D$35,0),0)</f>
        <v>0</v>
      </c>
      <c r="V188" s="77">
        <f t="array" ref="V188">iferror(if(and(V$4&gt;=$B188,V$4&lt;=($B188+'Get Started'!$D$37-1)),index($G$133:$Z$133,,$B188)/'Get Started'!$D$37*'Get Started'!$D$35,0),0)</f>
        <v>0</v>
      </c>
      <c r="W188" s="77">
        <f t="array" ref="W188">iferror(if(and(W$4&gt;=$B188,W$4&lt;=($B188+'Get Started'!$D$37-1)),index($G$133:$Z$133,,$B188)/'Get Started'!$D$37*'Get Started'!$D$35,0),0)</f>
        <v>0</v>
      </c>
      <c r="X188" s="77">
        <f t="array" ref="X188">iferror(if(and(X$4&gt;=$B188,X$4&lt;=($B188+'Get Started'!$D$37-1)),index($G$133:$Z$133,,$B188)/'Get Started'!$D$37*'Get Started'!$D$35,0),0)</f>
        <v>0</v>
      </c>
      <c r="Y188" s="77">
        <f t="array" ref="Y188">iferror(if(and(Y$4&gt;=$B188,Y$4&lt;=($B188+'Get Started'!$D$37-1)),index($G$133:$Z$133,,$B188)/'Get Started'!$D$37*'Get Started'!$D$35,0),0)</f>
        <v>0</v>
      </c>
      <c r="Z188" s="77">
        <f t="array" ref="Z188">iferror(if(and(Z$4&gt;=$B188,Z$4&lt;=($B188+'Get Started'!$D$37-1)),index($G$133:$Z$133,,$B188)/'Get Started'!$D$37*'Get Started'!$D$35,0),0)</f>
        <v>0</v>
      </c>
    </row>
    <row r="189" hidden="1" outlineLevel="1">
      <c r="B189" s="93">
        <f t="shared" si="131"/>
        <v>10</v>
      </c>
      <c r="C189" s="40"/>
      <c r="D189" s="16" t="s">
        <v>161</v>
      </c>
      <c r="E189" s="74">
        <f t="shared" si="108"/>
        <v>0</v>
      </c>
      <c r="F189" s="74"/>
      <c r="G189" s="77">
        <f t="array" ref="G189">iferror(if(and(G$4&gt;=$B189,G$4&lt;=($B189+'Get Started'!$D$37-1)),index($G$133:$Z$133,,$B189)/'Get Started'!$D$37*'Get Started'!$D$35,0),0)</f>
        <v>0</v>
      </c>
      <c r="H189" s="77">
        <f t="array" ref="H189">iferror(if(and(H$4&gt;=$B189,H$4&lt;=($B189+'Get Started'!$D$37-1)),index($G$133:$Z$133,,$B189)/'Get Started'!$D$37*'Get Started'!$D$35,0),0)</f>
        <v>0</v>
      </c>
      <c r="I189" s="77">
        <f t="array" ref="I189">iferror(if(and(I$4&gt;=$B189,I$4&lt;=($B189+'Get Started'!$D$37-1)),index($G$133:$Z$133,,$B189)/'Get Started'!$D$37*'Get Started'!$D$35,0),0)</f>
        <v>0</v>
      </c>
      <c r="J189" s="77">
        <f t="array" ref="J189">iferror(if(and(J$4&gt;=$B189,J$4&lt;=($B189+'Get Started'!$D$37-1)),index($G$133:$Z$133,,$B189)/'Get Started'!$D$37*'Get Started'!$D$35,0),0)</f>
        <v>0</v>
      </c>
      <c r="K189" s="77">
        <f t="array" ref="K189">iferror(if(and(K$4&gt;=$B189,K$4&lt;=($B189+'Get Started'!$D$37-1)),index($G$133:$Z$133,,$B189)/'Get Started'!$D$37*'Get Started'!$D$35,0),0)</f>
        <v>0</v>
      </c>
      <c r="L189" s="77">
        <f t="array" ref="L189">iferror(if(and(L$4&gt;=$B189,L$4&lt;=($B189+'Get Started'!$D$37-1)),index($G$133:$Z$133,,$B189)/'Get Started'!$D$37*'Get Started'!$D$35,0),0)</f>
        <v>0</v>
      </c>
      <c r="M189" s="77">
        <f t="array" ref="M189">iferror(if(and(M$4&gt;=$B189,M$4&lt;=($B189+'Get Started'!$D$37-1)),index($G$133:$Z$133,,$B189)/'Get Started'!$D$37*'Get Started'!$D$35,0),0)</f>
        <v>0</v>
      </c>
      <c r="N189" s="77">
        <f t="array" ref="N189">iferror(if(and(N$4&gt;=$B189,N$4&lt;=($B189+'Get Started'!$D$37-1)),index($G$133:$Z$133,,$B189)/'Get Started'!$D$37*'Get Started'!$D$35,0),0)</f>
        <v>0</v>
      </c>
      <c r="O189" s="77">
        <f t="array" ref="O189">iferror(if(and(O$4&gt;=$B189,O$4&lt;=($B189+'Get Started'!$D$37-1)),index($G$133:$Z$133,,$B189)/'Get Started'!$D$37*'Get Started'!$D$35,0),0)</f>
        <v>0</v>
      </c>
      <c r="P189" s="77">
        <f t="array" ref="P189">iferror(if(and(P$4&gt;=$B189,P$4&lt;=($B189+'Get Started'!$D$37-1)),index($G$133:$Z$133,,$B189)/'Get Started'!$D$37*'Get Started'!$D$35,0),0)</f>
        <v>0</v>
      </c>
      <c r="Q189" s="77">
        <f t="array" ref="Q189">iferror(if(and(Q$4&gt;=$B189,Q$4&lt;=($B189+'Get Started'!$D$37-1)),index($G$133:$Z$133,,$B189)/'Get Started'!$D$37*'Get Started'!$D$35,0),0)</f>
        <v>0</v>
      </c>
      <c r="R189" s="77">
        <f t="array" ref="R189">iferror(if(and(R$4&gt;=$B189,R$4&lt;=($B189+'Get Started'!$D$37-1)),index($G$133:$Z$133,,$B189)/'Get Started'!$D$37*'Get Started'!$D$35,0),0)</f>
        <v>0</v>
      </c>
      <c r="S189" s="77">
        <f t="array" ref="S189">iferror(if(and(S$4&gt;=$B189,S$4&lt;=($B189+'Get Started'!$D$37-1)),index($G$133:$Z$133,,$B189)/'Get Started'!$D$37*'Get Started'!$D$35,0),0)</f>
        <v>0</v>
      </c>
      <c r="T189" s="77">
        <f t="array" ref="T189">iferror(if(and(T$4&gt;=$B189,T$4&lt;=($B189+'Get Started'!$D$37-1)),index($G$133:$Z$133,,$B189)/'Get Started'!$D$37*'Get Started'!$D$35,0),0)</f>
        <v>0</v>
      </c>
      <c r="U189" s="77">
        <f t="array" ref="U189">iferror(if(and(U$4&gt;=$B189,U$4&lt;=($B189+'Get Started'!$D$37-1)),index($G$133:$Z$133,,$B189)/'Get Started'!$D$37*'Get Started'!$D$35,0),0)</f>
        <v>0</v>
      </c>
      <c r="V189" s="77">
        <f t="array" ref="V189">iferror(if(and(V$4&gt;=$B189,V$4&lt;=($B189+'Get Started'!$D$37-1)),index($G$133:$Z$133,,$B189)/'Get Started'!$D$37*'Get Started'!$D$35,0),0)</f>
        <v>0</v>
      </c>
      <c r="W189" s="77">
        <f t="array" ref="W189">iferror(if(and(W$4&gt;=$B189,W$4&lt;=($B189+'Get Started'!$D$37-1)),index($G$133:$Z$133,,$B189)/'Get Started'!$D$37*'Get Started'!$D$35,0),0)</f>
        <v>0</v>
      </c>
      <c r="X189" s="77">
        <f t="array" ref="X189">iferror(if(and(X$4&gt;=$B189,X$4&lt;=($B189+'Get Started'!$D$37-1)),index($G$133:$Z$133,,$B189)/'Get Started'!$D$37*'Get Started'!$D$35,0),0)</f>
        <v>0</v>
      </c>
      <c r="Y189" s="77">
        <f t="array" ref="Y189">iferror(if(and(Y$4&gt;=$B189,Y$4&lt;=($B189+'Get Started'!$D$37-1)),index($G$133:$Z$133,,$B189)/'Get Started'!$D$37*'Get Started'!$D$35,0),0)</f>
        <v>0</v>
      </c>
      <c r="Z189" s="77">
        <f t="array" ref="Z189">iferror(if(and(Z$4&gt;=$B189,Z$4&lt;=($B189+'Get Started'!$D$37-1)),index($G$133:$Z$133,,$B189)/'Get Started'!$D$37*'Get Started'!$D$35,0),0)</f>
        <v>0</v>
      </c>
    </row>
    <row r="190" hidden="1" outlineLevel="1">
      <c r="B190" s="93">
        <f t="shared" si="131"/>
        <v>11</v>
      </c>
      <c r="C190" s="40"/>
      <c r="D190" s="16" t="s">
        <v>161</v>
      </c>
      <c r="E190" s="74">
        <f t="shared" si="108"/>
        <v>0</v>
      </c>
      <c r="F190" s="74"/>
      <c r="G190" s="77">
        <f t="array" ref="G190">iferror(if(and(G$4&gt;=$B190,G$4&lt;=($B190+'Get Started'!$D$37-1)),index($G$133:$Z$133,,$B190)/'Get Started'!$D$37*'Get Started'!$D$35,0),0)</f>
        <v>0</v>
      </c>
      <c r="H190" s="77">
        <f t="array" ref="H190">iferror(if(and(H$4&gt;=$B190,H$4&lt;=($B190+'Get Started'!$D$37-1)),index($G$133:$Z$133,,$B190)/'Get Started'!$D$37*'Get Started'!$D$35,0),0)</f>
        <v>0</v>
      </c>
      <c r="I190" s="77">
        <f t="array" ref="I190">iferror(if(and(I$4&gt;=$B190,I$4&lt;=($B190+'Get Started'!$D$37-1)),index($G$133:$Z$133,,$B190)/'Get Started'!$D$37*'Get Started'!$D$35,0),0)</f>
        <v>0</v>
      </c>
      <c r="J190" s="77">
        <f t="array" ref="J190">iferror(if(and(J$4&gt;=$B190,J$4&lt;=($B190+'Get Started'!$D$37-1)),index($G$133:$Z$133,,$B190)/'Get Started'!$D$37*'Get Started'!$D$35,0),0)</f>
        <v>0</v>
      </c>
      <c r="K190" s="77">
        <f t="array" ref="K190">iferror(if(and(K$4&gt;=$B190,K$4&lt;=($B190+'Get Started'!$D$37-1)),index($G$133:$Z$133,,$B190)/'Get Started'!$D$37*'Get Started'!$D$35,0),0)</f>
        <v>0</v>
      </c>
      <c r="L190" s="77">
        <f t="array" ref="L190">iferror(if(and(L$4&gt;=$B190,L$4&lt;=($B190+'Get Started'!$D$37-1)),index($G$133:$Z$133,,$B190)/'Get Started'!$D$37*'Get Started'!$D$35,0),0)</f>
        <v>0</v>
      </c>
      <c r="M190" s="77">
        <f t="array" ref="M190">iferror(if(and(M$4&gt;=$B190,M$4&lt;=($B190+'Get Started'!$D$37-1)),index($G$133:$Z$133,,$B190)/'Get Started'!$D$37*'Get Started'!$D$35,0),0)</f>
        <v>0</v>
      </c>
      <c r="N190" s="77">
        <f t="array" ref="N190">iferror(if(and(N$4&gt;=$B190,N$4&lt;=($B190+'Get Started'!$D$37-1)),index($G$133:$Z$133,,$B190)/'Get Started'!$D$37*'Get Started'!$D$35,0),0)</f>
        <v>0</v>
      </c>
      <c r="O190" s="77">
        <f t="array" ref="O190">iferror(if(and(O$4&gt;=$B190,O$4&lt;=($B190+'Get Started'!$D$37-1)),index($G$133:$Z$133,,$B190)/'Get Started'!$D$37*'Get Started'!$D$35,0),0)</f>
        <v>0</v>
      </c>
      <c r="P190" s="77">
        <f t="array" ref="P190">iferror(if(and(P$4&gt;=$B190,P$4&lt;=($B190+'Get Started'!$D$37-1)),index($G$133:$Z$133,,$B190)/'Get Started'!$D$37*'Get Started'!$D$35,0),0)</f>
        <v>0</v>
      </c>
      <c r="Q190" s="77">
        <f t="array" ref="Q190">iferror(if(and(Q$4&gt;=$B190,Q$4&lt;=($B190+'Get Started'!$D$37-1)),index($G$133:$Z$133,,$B190)/'Get Started'!$D$37*'Get Started'!$D$35,0),0)</f>
        <v>0</v>
      </c>
      <c r="R190" s="77">
        <f t="array" ref="R190">iferror(if(and(R$4&gt;=$B190,R$4&lt;=($B190+'Get Started'!$D$37-1)),index($G$133:$Z$133,,$B190)/'Get Started'!$D$37*'Get Started'!$D$35,0),0)</f>
        <v>0</v>
      </c>
      <c r="S190" s="77">
        <f t="array" ref="S190">iferror(if(and(S$4&gt;=$B190,S$4&lt;=($B190+'Get Started'!$D$37-1)),index($G$133:$Z$133,,$B190)/'Get Started'!$D$37*'Get Started'!$D$35,0),0)</f>
        <v>0</v>
      </c>
      <c r="T190" s="77">
        <f t="array" ref="T190">iferror(if(and(T$4&gt;=$B190,T$4&lt;=($B190+'Get Started'!$D$37-1)),index($G$133:$Z$133,,$B190)/'Get Started'!$D$37*'Get Started'!$D$35,0),0)</f>
        <v>0</v>
      </c>
      <c r="U190" s="77">
        <f t="array" ref="U190">iferror(if(and(U$4&gt;=$B190,U$4&lt;=($B190+'Get Started'!$D$37-1)),index($G$133:$Z$133,,$B190)/'Get Started'!$D$37*'Get Started'!$D$35,0),0)</f>
        <v>0</v>
      </c>
      <c r="V190" s="77">
        <f t="array" ref="V190">iferror(if(and(V$4&gt;=$B190,V$4&lt;=($B190+'Get Started'!$D$37-1)),index($G$133:$Z$133,,$B190)/'Get Started'!$D$37*'Get Started'!$D$35,0),0)</f>
        <v>0</v>
      </c>
      <c r="W190" s="77">
        <f t="array" ref="W190">iferror(if(and(W$4&gt;=$B190,W$4&lt;=($B190+'Get Started'!$D$37-1)),index($G$133:$Z$133,,$B190)/'Get Started'!$D$37*'Get Started'!$D$35,0),0)</f>
        <v>0</v>
      </c>
      <c r="X190" s="77">
        <f t="array" ref="X190">iferror(if(and(X$4&gt;=$B190,X$4&lt;=($B190+'Get Started'!$D$37-1)),index($G$133:$Z$133,,$B190)/'Get Started'!$D$37*'Get Started'!$D$35,0),0)</f>
        <v>0</v>
      </c>
      <c r="Y190" s="77">
        <f t="array" ref="Y190">iferror(if(and(Y$4&gt;=$B190,Y$4&lt;=($B190+'Get Started'!$D$37-1)),index($G$133:$Z$133,,$B190)/'Get Started'!$D$37*'Get Started'!$D$35,0),0)</f>
        <v>0</v>
      </c>
      <c r="Z190" s="77">
        <f t="array" ref="Z190">iferror(if(and(Z$4&gt;=$B190,Z$4&lt;=($B190+'Get Started'!$D$37-1)),index($G$133:$Z$133,,$B190)/'Get Started'!$D$37*'Get Started'!$D$35,0),0)</f>
        <v>0</v>
      </c>
    </row>
    <row r="191" hidden="1" outlineLevel="1">
      <c r="B191" s="93">
        <f t="shared" si="131"/>
        <v>12</v>
      </c>
      <c r="C191" s="40"/>
      <c r="D191" s="16" t="s">
        <v>161</v>
      </c>
      <c r="E191" s="74">
        <f t="shared" si="108"/>
        <v>0</v>
      </c>
      <c r="F191" s="74"/>
      <c r="G191" s="77">
        <f t="array" ref="G191">iferror(if(and(G$4&gt;=$B191,G$4&lt;=($B191+'Get Started'!$D$37-1)),index($G$133:$Z$133,,$B191)/'Get Started'!$D$37*'Get Started'!$D$35,0),0)</f>
        <v>0</v>
      </c>
      <c r="H191" s="77">
        <f t="array" ref="H191">iferror(if(and(H$4&gt;=$B191,H$4&lt;=($B191+'Get Started'!$D$37-1)),index($G$133:$Z$133,,$B191)/'Get Started'!$D$37*'Get Started'!$D$35,0),0)</f>
        <v>0</v>
      </c>
      <c r="I191" s="77">
        <f t="array" ref="I191">iferror(if(and(I$4&gt;=$B191,I$4&lt;=($B191+'Get Started'!$D$37-1)),index($G$133:$Z$133,,$B191)/'Get Started'!$D$37*'Get Started'!$D$35,0),0)</f>
        <v>0</v>
      </c>
      <c r="J191" s="77">
        <f t="array" ref="J191">iferror(if(and(J$4&gt;=$B191,J$4&lt;=($B191+'Get Started'!$D$37-1)),index($G$133:$Z$133,,$B191)/'Get Started'!$D$37*'Get Started'!$D$35,0),0)</f>
        <v>0</v>
      </c>
      <c r="K191" s="77">
        <f t="array" ref="K191">iferror(if(and(K$4&gt;=$B191,K$4&lt;=($B191+'Get Started'!$D$37-1)),index($G$133:$Z$133,,$B191)/'Get Started'!$D$37*'Get Started'!$D$35,0),0)</f>
        <v>0</v>
      </c>
      <c r="L191" s="77">
        <f t="array" ref="L191">iferror(if(and(L$4&gt;=$B191,L$4&lt;=($B191+'Get Started'!$D$37-1)),index($G$133:$Z$133,,$B191)/'Get Started'!$D$37*'Get Started'!$D$35,0),0)</f>
        <v>0</v>
      </c>
      <c r="M191" s="77">
        <f t="array" ref="M191">iferror(if(and(M$4&gt;=$B191,M$4&lt;=($B191+'Get Started'!$D$37-1)),index($G$133:$Z$133,,$B191)/'Get Started'!$D$37*'Get Started'!$D$35,0),0)</f>
        <v>0</v>
      </c>
      <c r="N191" s="77">
        <f t="array" ref="N191">iferror(if(and(N$4&gt;=$B191,N$4&lt;=($B191+'Get Started'!$D$37-1)),index($G$133:$Z$133,,$B191)/'Get Started'!$D$37*'Get Started'!$D$35,0),0)</f>
        <v>0</v>
      </c>
      <c r="O191" s="77">
        <f t="array" ref="O191">iferror(if(and(O$4&gt;=$B191,O$4&lt;=($B191+'Get Started'!$D$37-1)),index($G$133:$Z$133,,$B191)/'Get Started'!$D$37*'Get Started'!$D$35,0),0)</f>
        <v>0</v>
      </c>
      <c r="P191" s="77">
        <f t="array" ref="P191">iferror(if(and(P$4&gt;=$B191,P$4&lt;=($B191+'Get Started'!$D$37-1)),index($G$133:$Z$133,,$B191)/'Get Started'!$D$37*'Get Started'!$D$35,0),0)</f>
        <v>0</v>
      </c>
      <c r="Q191" s="77">
        <f t="array" ref="Q191">iferror(if(and(Q$4&gt;=$B191,Q$4&lt;=($B191+'Get Started'!$D$37-1)),index($G$133:$Z$133,,$B191)/'Get Started'!$D$37*'Get Started'!$D$35,0),0)</f>
        <v>0</v>
      </c>
      <c r="R191" s="77">
        <f t="array" ref="R191">iferror(if(and(R$4&gt;=$B191,R$4&lt;=($B191+'Get Started'!$D$37-1)),index($G$133:$Z$133,,$B191)/'Get Started'!$D$37*'Get Started'!$D$35,0),0)</f>
        <v>0</v>
      </c>
      <c r="S191" s="77">
        <f t="array" ref="S191">iferror(if(and(S$4&gt;=$B191,S$4&lt;=($B191+'Get Started'!$D$37-1)),index($G$133:$Z$133,,$B191)/'Get Started'!$D$37*'Get Started'!$D$35,0),0)</f>
        <v>0</v>
      </c>
      <c r="T191" s="77">
        <f t="array" ref="T191">iferror(if(and(T$4&gt;=$B191,T$4&lt;=($B191+'Get Started'!$D$37-1)),index($G$133:$Z$133,,$B191)/'Get Started'!$D$37*'Get Started'!$D$35,0),0)</f>
        <v>0</v>
      </c>
      <c r="U191" s="77">
        <f t="array" ref="U191">iferror(if(and(U$4&gt;=$B191,U$4&lt;=($B191+'Get Started'!$D$37-1)),index($G$133:$Z$133,,$B191)/'Get Started'!$D$37*'Get Started'!$D$35,0),0)</f>
        <v>0</v>
      </c>
      <c r="V191" s="77">
        <f t="array" ref="V191">iferror(if(and(V$4&gt;=$B191,V$4&lt;=($B191+'Get Started'!$D$37-1)),index($G$133:$Z$133,,$B191)/'Get Started'!$D$37*'Get Started'!$D$35,0),0)</f>
        <v>0</v>
      </c>
      <c r="W191" s="77">
        <f t="array" ref="W191">iferror(if(and(W$4&gt;=$B191,W$4&lt;=($B191+'Get Started'!$D$37-1)),index($G$133:$Z$133,,$B191)/'Get Started'!$D$37*'Get Started'!$D$35,0),0)</f>
        <v>0</v>
      </c>
      <c r="X191" s="77">
        <f t="array" ref="X191">iferror(if(and(X$4&gt;=$B191,X$4&lt;=($B191+'Get Started'!$D$37-1)),index($G$133:$Z$133,,$B191)/'Get Started'!$D$37*'Get Started'!$D$35,0),0)</f>
        <v>0</v>
      </c>
      <c r="Y191" s="77">
        <f t="array" ref="Y191">iferror(if(and(Y$4&gt;=$B191,Y$4&lt;=($B191+'Get Started'!$D$37-1)),index($G$133:$Z$133,,$B191)/'Get Started'!$D$37*'Get Started'!$D$35,0),0)</f>
        <v>0</v>
      </c>
      <c r="Z191" s="77">
        <f t="array" ref="Z191">iferror(if(and(Z$4&gt;=$B191,Z$4&lt;=($B191+'Get Started'!$D$37-1)),index($G$133:$Z$133,,$B191)/'Get Started'!$D$37*'Get Started'!$D$35,0),0)</f>
        <v>0</v>
      </c>
    </row>
    <row r="192" hidden="1" outlineLevel="1">
      <c r="B192" s="93">
        <f t="shared" si="131"/>
        <v>13</v>
      </c>
      <c r="C192" s="40"/>
      <c r="D192" s="16" t="s">
        <v>161</v>
      </c>
      <c r="E192" s="74">
        <f t="shared" si="108"/>
        <v>0</v>
      </c>
      <c r="F192" s="74"/>
      <c r="G192" s="77">
        <f t="array" ref="G192">iferror(if(and(G$4&gt;=$B192,G$4&lt;=($B192+'Get Started'!$D$37-1)),index($G$133:$Z$133,,$B192)/'Get Started'!$D$37*'Get Started'!$D$35,0),0)</f>
        <v>0</v>
      </c>
      <c r="H192" s="77">
        <f t="array" ref="H192">iferror(if(and(H$4&gt;=$B192,H$4&lt;=($B192+'Get Started'!$D$37-1)),index($G$133:$Z$133,,$B192)/'Get Started'!$D$37*'Get Started'!$D$35,0),0)</f>
        <v>0</v>
      </c>
      <c r="I192" s="77">
        <f t="array" ref="I192">iferror(if(and(I$4&gt;=$B192,I$4&lt;=($B192+'Get Started'!$D$37-1)),index($G$133:$Z$133,,$B192)/'Get Started'!$D$37*'Get Started'!$D$35,0),0)</f>
        <v>0</v>
      </c>
      <c r="J192" s="77">
        <f t="array" ref="J192">iferror(if(and(J$4&gt;=$B192,J$4&lt;=($B192+'Get Started'!$D$37-1)),index($G$133:$Z$133,,$B192)/'Get Started'!$D$37*'Get Started'!$D$35,0),0)</f>
        <v>0</v>
      </c>
      <c r="K192" s="77">
        <f t="array" ref="K192">iferror(if(and(K$4&gt;=$B192,K$4&lt;=($B192+'Get Started'!$D$37-1)),index($G$133:$Z$133,,$B192)/'Get Started'!$D$37*'Get Started'!$D$35,0),0)</f>
        <v>0</v>
      </c>
      <c r="L192" s="77">
        <f t="array" ref="L192">iferror(if(and(L$4&gt;=$B192,L$4&lt;=($B192+'Get Started'!$D$37-1)),index($G$133:$Z$133,,$B192)/'Get Started'!$D$37*'Get Started'!$D$35,0),0)</f>
        <v>0</v>
      </c>
      <c r="M192" s="77">
        <f t="array" ref="M192">iferror(if(and(M$4&gt;=$B192,M$4&lt;=($B192+'Get Started'!$D$37-1)),index($G$133:$Z$133,,$B192)/'Get Started'!$D$37*'Get Started'!$D$35,0),0)</f>
        <v>0</v>
      </c>
      <c r="N192" s="77">
        <f t="array" ref="N192">iferror(if(and(N$4&gt;=$B192,N$4&lt;=($B192+'Get Started'!$D$37-1)),index($G$133:$Z$133,,$B192)/'Get Started'!$D$37*'Get Started'!$D$35,0),0)</f>
        <v>0</v>
      </c>
      <c r="O192" s="77">
        <f t="array" ref="O192">iferror(if(and(O$4&gt;=$B192,O$4&lt;=($B192+'Get Started'!$D$37-1)),index($G$133:$Z$133,,$B192)/'Get Started'!$D$37*'Get Started'!$D$35,0),0)</f>
        <v>0</v>
      </c>
      <c r="P192" s="77">
        <f t="array" ref="P192">iferror(if(and(P$4&gt;=$B192,P$4&lt;=($B192+'Get Started'!$D$37-1)),index($G$133:$Z$133,,$B192)/'Get Started'!$D$37*'Get Started'!$D$35,0),0)</f>
        <v>0</v>
      </c>
      <c r="Q192" s="77">
        <f t="array" ref="Q192">iferror(if(and(Q$4&gt;=$B192,Q$4&lt;=($B192+'Get Started'!$D$37-1)),index($G$133:$Z$133,,$B192)/'Get Started'!$D$37*'Get Started'!$D$35,0),0)</f>
        <v>0</v>
      </c>
      <c r="R192" s="77">
        <f t="array" ref="R192">iferror(if(and(R$4&gt;=$B192,R$4&lt;=($B192+'Get Started'!$D$37-1)),index($G$133:$Z$133,,$B192)/'Get Started'!$D$37*'Get Started'!$D$35,0),0)</f>
        <v>0</v>
      </c>
      <c r="S192" s="77">
        <f t="array" ref="S192">iferror(if(and(S$4&gt;=$B192,S$4&lt;=($B192+'Get Started'!$D$37-1)),index($G$133:$Z$133,,$B192)/'Get Started'!$D$37*'Get Started'!$D$35,0),0)</f>
        <v>0</v>
      </c>
      <c r="T192" s="77">
        <f t="array" ref="T192">iferror(if(and(T$4&gt;=$B192,T$4&lt;=($B192+'Get Started'!$D$37-1)),index($G$133:$Z$133,,$B192)/'Get Started'!$D$37*'Get Started'!$D$35,0),0)</f>
        <v>0</v>
      </c>
      <c r="U192" s="77">
        <f t="array" ref="U192">iferror(if(and(U$4&gt;=$B192,U$4&lt;=($B192+'Get Started'!$D$37-1)),index($G$133:$Z$133,,$B192)/'Get Started'!$D$37*'Get Started'!$D$35,0),0)</f>
        <v>0</v>
      </c>
      <c r="V192" s="77">
        <f t="array" ref="V192">iferror(if(and(V$4&gt;=$B192,V$4&lt;=($B192+'Get Started'!$D$37-1)),index($G$133:$Z$133,,$B192)/'Get Started'!$D$37*'Get Started'!$D$35,0),0)</f>
        <v>0</v>
      </c>
      <c r="W192" s="77">
        <f t="array" ref="W192">iferror(if(and(W$4&gt;=$B192,W$4&lt;=($B192+'Get Started'!$D$37-1)),index($G$133:$Z$133,,$B192)/'Get Started'!$D$37*'Get Started'!$D$35,0),0)</f>
        <v>0</v>
      </c>
      <c r="X192" s="77">
        <f t="array" ref="X192">iferror(if(and(X$4&gt;=$B192,X$4&lt;=($B192+'Get Started'!$D$37-1)),index($G$133:$Z$133,,$B192)/'Get Started'!$D$37*'Get Started'!$D$35,0),0)</f>
        <v>0</v>
      </c>
      <c r="Y192" s="77">
        <f t="array" ref="Y192">iferror(if(and(Y$4&gt;=$B192,Y$4&lt;=($B192+'Get Started'!$D$37-1)),index($G$133:$Z$133,,$B192)/'Get Started'!$D$37*'Get Started'!$D$35,0),0)</f>
        <v>0</v>
      </c>
      <c r="Z192" s="77">
        <f t="array" ref="Z192">iferror(if(and(Z$4&gt;=$B192,Z$4&lt;=($B192+'Get Started'!$D$37-1)),index($G$133:$Z$133,,$B192)/'Get Started'!$D$37*'Get Started'!$D$35,0),0)</f>
        <v>0</v>
      </c>
    </row>
    <row r="193" hidden="1" outlineLevel="1">
      <c r="B193" s="93">
        <f t="shared" si="131"/>
        <v>14</v>
      </c>
      <c r="C193" s="40"/>
      <c r="D193" s="16" t="s">
        <v>161</v>
      </c>
      <c r="E193" s="74">
        <f t="shared" si="108"/>
        <v>0</v>
      </c>
      <c r="F193" s="74"/>
      <c r="G193" s="77">
        <f t="array" ref="G193">iferror(if(and(G$4&gt;=$B193,G$4&lt;=($B193+'Get Started'!$D$37-1)),index($G$133:$Z$133,,$B193)/'Get Started'!$D$37*'Get Started'!$D$35,0),0)</f>
        <v>0</v>
      </c>
      <c r="H193" s="77">
        <f t="array" ref="H193">iferror(if(and(H$4&gt;=$B193,H$4&lt;=($B193+'Get Started'!$D$37-1)),index($G$133:$Z$133,,$B193)/'Get Started'!$D$37*'Get Started'!$D$35,0),0)</f>
        <v>0</v>
      </c>
      <c r="I193" s="77">
        <f t="array" ref="I193">iferror(if(and(I$4&gt;=$B193,I$4&lt;=($B193+'Get Started'!$D$37-1)),index($G$133:$Z$133,,$B193)/'Get Started'!$D$37*'Get Started'!$D$35,0),0)</f>
        <v>0</v>
      </c>
      <c r="J193" s="77">
        <f t="array" ref="J193">iferror(if(and(J$4&gt;=$B193,J$4&lt;=($B193+'Get Started'!$D$37-1)),index($G$133:$Z$133,,$B193)/'Get Started'!$D$37*'Get Started'!$D$35,0),0)</f>
        <v>0</v>
      </c>
      <c r="K193" s="77">
        <f t="array" ref="K193">iferror(if(and(K$4&gt;=$B193,K$4&lt;=($B193+'Get Started'!$D$37-1)),index($G$133:$Z$133,,$B193)/'Get Started'!$D$37*'Get Started'!$D$35,0),0)</f>
        <v>0</v>
      </c>
      <c r="L193" s="77">
        <f t="array" ref="L193">iferror(if(and(L$4&gt;=$B193,L$4&lt;=($B193+'Get Started'!$D$37-1)),index($G$133:$Z$133,,$B193)/'Get Started'!$D$37*'Get Started'!$D$35,0),0)</f>
        <v>0</v>
      </c>
      <c r="M193" s="77">
        <f t="array" ref="M193">iferror(if(and(M$4&gt;=$B193,M$4&lt;=($B193+'Get Started'!$D$37-1)),index($G$133:$Z$133,,$B193)/'Get Started'!$D$37*'Get Started'!$D$35,0),0)</f>
        <v>0</v>
      </c>
      <c r="N193" s="77">
        <f t="array" ref="N193">iferror(if(and(N$4&gt;=$B193,N$4&lt;=($B193+'Get Started'!$D$37-1)),index($G$133:$Z$133,,$B193)/'Get Started'!$D$37*'Get Started'!$D$35,0),0)</f>
        <v>0</v>
      </c>
      <c r="O193" s="77">
        <f t="array" ref="O193">iferror(if(and(O$4&gt;=$B193,O$4&lt;=($B193+'Get Started'!$D$37-1)),index($G$133:$Z$133,,$B193)/'Get Started'!$D$37*'Get Started'!$D$35,0),0)</f>
        <v>0</v>
      </c>
      <c r="P193" s="77">
        <f t="array" ref="P193">iferror(if(and(P$4&gt;=$B193,P$4&lt;=($B193+'Get Started'!$D$37-1)),index($G$133:$Z$133,,$B193)/'Get Started'!$D$37*'Get Started'!$D$35,0),0)</f>
        <v>0</v>
      </c>
      <c r="Q193" s="77">
        <f t="array" ref="Q193">iferror(if(and(Q$4&gt;=$B193,Q$4&lt;=($B193+'Get Started'!$D$37-1)),index($G$133:$Z$133,,$B193)/'Get Started'!$D$37*'Get Started'!$D$35,0),0)</f>
        <v>0</v>
      </c>
      <c r="R193" s="77">
        <f t="array" ref="R193">iferror(if(and(R$4&gt;=$B193,R$4&lt;=($B193+'Get Started'!$D$37-1)),index($G$133:$Z$133,,$B193)/'Get Started'!$D$37*'Get Started'!$D$35,0),0)</f>
        <v>0</v>
      </c>
      <c r="S193" s="77">
        <f t="array" ref="S193">iferror(if(and(S$4&gt;=$B193,S$4&lt;=($B193+'Get Started'!$D$37-1)),index($G$133:$Z$133,,$B193)/'Get Started'!$D$37*'Get Started'!$D$35,0),0)</f>
        <v>0</v>
      </c>
      <c r="T193" s="77">
        <f t="array" ref="T193">iferror(if(and(T$4&gt;=$B193,T$4&lt;=($B193+'Get Started'!$D$37-1)),index($G$133:$Z$133,,$B193)/'Get Started'!$D$37*'Get Started'!$D$35,0),0)</f>
        <v>0</v>
      </c>
      <c r="U193" s="77">
        <f t="array" ref="U193">iferror(if(and(U$4&gt;=$B193,U$4&lt;=($B193+'Get Started'!$D$37-1)),index($G$133:$Z$133,,$B193)/'Get Started'!$D$37*'Get Started'!$D$35,0),0)</f>
        <v>0</v>
      </c>
      <c r="V193" s="77">
        <f t="array" ref="V193">iferror(if(and(V$4&gt;=$B193,V$4&lt;=($B193+'Get Started'!$D$37-1)),index($G$133:$Z$133,,$B193)/'Get Started'!$D$37*'Get Started'!$D$35,0),0)</f>
        <v>0</v>
      </c>
      <c r="W193" s="77">
        <f t="array" ref="W193">iferror(if(and(W$4&gt;=$B193,W$4&lt;=($B193+'Get Started'!$D$37-1)),index($G$133:$Z$133,,$B193)/'Get Started'!$D$37*'Get Started'!$D$35,0),0)</f>
        <v>0</v>
      </c>
      <c r="X193" s="77">
        <f t="array" ref="X193">iferror(if(and(X$4&gt;=$B193,X$4&lt;=($B193+'Get Started'!$D$37-1)),index($G$133:$Z$133,,$B193)/'Get Started'!$D$37*'Get Started'!$D$35,0),0)</f>
        <v>0</v>
      </c>
      <c r="Y193" s="77">
        <f t="array" ref="Y193">iferror(if(and(Y$4&gt;=$B193,Y$4&lt;=($B193+'Get Started'!$D$37-1)),index($G$133:$Z$133,,$B193)/'Get Started'!$D$37*'Get Started'!$D$35,0),0)</f>
        <v>0</v>
      </c>
      <c r="Z193" s="77">
        <f t="array" ref="Z193">iferror(if(and(Z$4&gt;=$B193,Z$4&lt;=($B193+'Get Started'!$D$37-1)),index($G$133:$Z$133,,$B193)/'Get Started'!$D$37*'Get Started'!$D$35,0),0)</f>
        <v>0</v>
      </c>
    </row>
    <row r="194" hidden="1" outlineLevel="1">
      <c r="B194" s="93">
        <f t="shared" si="131"/>
        <v>15</v>
      </c>
      <c r="C194" s="40"/>
      <c r="D194" s="16" t="s">
        <v>161</v>
      </c>
      <c r="E194" s="74">
        <f t="shared" si="108"/>
        <v>0</v>
      </c>
      <c r="F194" s="74"/>
      <c r="G194" s="77">
        <f t="array" ref="G194">iferror(if(and(G$4&gt;=$B194,G$4&lt;=($B194+'Get Started'!$D$37-1)),index($G$133:$Z$133,,$B194)/'Get Started'!$D$37*'Get Started'!$D$35,0),0)</f>
        <v>0</v>
      </c>
      <c r="H194" s="77">
        <f t="array" ref="H194">iferror(if(and(H$4&gt;=$B194,H$4&lt;=($B194+'Get Started'!$D$37-1)),index($G$133:$Z$133,,$B194)/'Get Started'!$D$37*'Get Started'!$D$35,0),0)</f>
        <v>0</v>
      </c>
      <c r="I194" s="77">
        <f t="array" ref="I194">iferror(if(and(I$4&gt;=$B194,I$4&lt;=($B194+'Get Started'!$D$37-1)),index($G$133:$Z$133,,$B194)/'Get Started'!$D$37*'Get Started'!$D$35,0),0)</f>
        <v>0</v>
      </c>
      <c r="J194" s="77">
        <f t="array" ref="J194">iferror(if(and(J$4&gt;=$B194,J$4&lt;=($B194+'Get Started'!$D$37-1)),index($G$133:$Z$133,,$B194)/'Get Started'!$D$37*'Get Started'!$D$35,0),0)</f>
        <v>0</v>
      </c>
      <c r="K194" s="77">
        <f t="array" ref="K194">iferror(if(and(K$4&gt;=$B194,K$4&lt;=($B194+'Get Started'!$D$37-1)),index($G$133:$Z$133,,$B194)/'Get Started'!$D$37*'Get Started'!$D$35,0),0)</f>
        <v>0</v>
      </c>
      <c r="L194" s="77">
        <f t="array" ref="L194">iferror(if(and(L$4&gt;=$B194,L$4&lt;=($B194+'Get Started'!$D$37-1)),index($G$133:$Z$133,,$B194)/'Get Started'!$D$37*'Get Started'!$D$35,0),0)</f>
        <v>0</v>
      </c>
      <c r="M194" s="77">
        <f t="array" ref="M194">iferror(if(and(M$4&gt;=$B194,M$4&lt;=($B194+'Get Started'!$D$37-1)),index($G$133:$Z$133,,$B194)/'Get Started'!$D$37*'Get Started'!$D$35,0),0)</f>
        <v>0</v>
      </c>
      <c r="N194" s="77">
        <f t="array" ref="N194">iferror(if(and(N$4&gt;=$B194,N$4&lt;=($B194+'Get Started'!$D$37-1)),index($G$133:$Z$133,,$B194)/'Get Started'!$D$37*'Get Started'!$D$35,0),0)</f>
        <v>0</v>
      </c>
      <c r="O194" s="77">
        <f t="array" ref="O194">iferror(if(and(O$4&gt;=$B194,O$4&lt;=($B194+'Get Started'!$D$37-1)),index($G$133:$Z$133,,$B194)/'Get Started'!$D$37*'Get Started'!$D$35,0),0)</f>
        <v>0</v>
      </c>
      <c r="P194" s="77">
        <f t="array" ref="P194">iferror(if(and(P$4&gt;=$B194,P$4&lt;=($B194+'Get Started'!$D$37-1)),index($G$133:$Z$133,,$B194)/'Get Started'!$D$37*'Get Started'!$D$35,0),0)</f>
        <v>0</v>
      </c>
      <c r="Q194" s="77">
        <f t="array" ref="Q194">iferror(if(and(Q$4&gt;=$B194,Q$4&lt;=($B194+'Get Started'!$D$37-1)),index($G$133:$Z$133,,$B194)/'Get Started'!$D$37*'Get Started'!$D$35,0),0)</f>
        <v>0</v>
      </c>
      <c r="R194" s="77">
        <f t="array" ref="R194">iferror(if(and(R$4&gt;=$B194,R$4&lt;=($B194+'Get Started'!$D$37-1)),index($G$133:$Z$133,,$B194)/'Get Started'!$D$37*'Get Started'!$D$35,0),0)</f>
        <v>0</v>
      </c>
      <c r="S194" s="77">
        <f t="array" ref="S194">iferror(if(and(S$4&gt;=$B194,S$4&lt;=($B194+'Get Started'!$D$37-1)),index($G$133:$Z$133,,$B194)/'Get Started'!$D$37*'Get Started'!$D$35,0),0)</f>
        <v>0</v>
      </c>
      <c r="T194" s="77">
        <f t="array" ref="T194">iferror(if(and(T$4&gt;=$B194,T$4&lt;=($B194+'Get Started'!$D$37-1)),index($G$133:$Z$133,,$B194)/'Get Started'!$D$37*'Get Started'!$D$35,0),0)</f>
        <v>0</v>
      </c>
      <c r="U194" s="77">
        <f t="array" ref="U194">iferror(if(and(U$4&gt;=$B194,U$4&lt;=($B194+'Get Started'!$D$37-1)),index($G$133:$Z$133,,$B194)/'Get Started'!$D$37*'Get Started'!$D$35,0),0)</f>
        <v>0</v>
      </c>
      <c r="V194" s="77">
        <f t="array" ref="V194">iferror(if(and(V$4&gt;=$B194,V$4&lt;=($B194+'Get Started'!$D$37-1)),index($G$133:$Z$133,,$B194)/'Get Started'!$D$37*'Get Started'!$D$35,0),0)</f>
        <v>0</v>
      </c>
      <c r="W194" s="77">
        <f t="array" ref="W194">iferror(if(and(W$4&gt;=$B194,W$4&lt;=($B194+'Get Started'!$D$37-1)),index($G$133:$Z$133,,$B194)/'Get Started'!$D$37*'Get Started'!$D$35,0),0)</f>
        <v>0</v>
      </c>
      <c r="X194" s="77">
        <f t="array" ref="X194">iferror(if(and(X$4&gt;=$B194,X$4&lt;=($B194+'Get Started'!$D$37-1)),index($G$133:$Z$133,,$B194)/'Get Started'!$D$37*'Get Started'!$D$35,0),0)</f>
        <v>0</v>
      </c>
      <c r="Y194" s="77">
        <f t="array" ref="Y194">iferror(if(and(Y$4&gt;=$B194,Y$4&lt;=($B194+'Get Started'!$D$37-1)),index($G$133:$Z$133,,$B194)/'Get Started'!$D$37*'Get Started'!$D$35,0),0)</f>
        <v>0</v>
      </c>
      <c r="Z194" s="77">
        <f t="array" ref="Z194">iferror(if(and(Z$4&gt;=$B194,Z$4&lt;=($B194+'Get Started'!$D$37-1)),index($G$133:$Z$133,,$B194)/'Get Started'!$D$37*'Get Started'!$D$35,0),0)</f>
        <v>0</v>
      </c>
    </row>
    <row r="195" hidden="1" outlineLevel="1">
      <c r="B195" s="93">
        <f t="shared" si="131"/>
        <v>16</v>
      </c>
      <c r="C195" s="40"/>
      <c r="D195" s="16" t="s">
        <v>161</v>
      </c>
      <c r="E195" s="74">
        <f t="shared" si="108"/>
        <v>0</v>
      </c>
      <c r="F195" s="74"/>
      <c r="G195" s="77">
        <f t="array" ref="G195">iferror(if(and(G$4&gt;=$B195,G$4&lt;=($B195+'Get Started'!$D$37-1)),index($G$133:$Z$133,,$B195)/'Get Started'!$D$37*'Get Started'!$D$35,0),0)</f>
        <v>0</v>
      </c>
      <c r="H195" s="77">
        <f t="array" ref="H195">iferror(if(and(H$4&gt;=$B195,H$4&lt;=($B195+'Get Started'!$D$37-1)),index($G$133:$Z$133,,$B195)/'Get Started'!$D$37*'Get Started'!$D$35,0),0)</f>
        <v>0</v>
      </c>
      <c r="I195" s="77">
        <f t="array" ref="I195">iferror(if(and(I$4&gt;=$B195,I$4&lt;=($B195+'Get Started'!$D$37-1)),index($G$133:$Z$133,,$B195)/'Get Started'!$D$37*'Get Started'!$D$35,0),0)</f>
        <v>0</v>
      </c>
      <c r="J195" s="77">
        <f t="array" ref="J195">iferror(if(and(J$4&gt;=$B195,J$4&lt;=($B195+'Get Started'!$D$37-1)),index($G$133:$Z$133,,$B195)/'Get Started'!$D$37*'Get Started'!$D$35,0),0)</f>
        <v>0</v>
      </c>
      <c r="K195" s="77">
        <f t="array" ref="K195">iferror(if(and(K$4&gt;=$B195,K$4&lt;=($B195+'Get Started'!$D$37-1)),index($G$133:$Z$133,,$B195)/'Get Started'!$D$37*'Get Started'!$D$35,0),0)</f>
        <v>0</v>
      </c>
      <c r="L195" s="77">
        <f t="array" ref="L195">iferror(if(and(L$4&gt;=$B195,L$4&lt;=($B195+'Get Started'!$D$37-1)),index($G$133:$Z$133,,$B195)/'Get Started'!$D$37*'Get Started'!$D$35,0),0)</f>
        <v>0</v>
      </c>
      <c r="M195" s="77">
        <f t="array" ref="M195">iferror(if(and(M$4&gt;=$B195,M$4&lt;=($B195+'Get Started'!$D$37-1)),index($G$133:$Z$133,,$B195)/'Get Started'!$D$37*'Get Started'!$D$35,0),0)</f>
        <v>0</v>
      </c>
      <c r="N195" s="77">
        <f t="array" ref="N195">iferror(if(and(N$4&gt;=$B195,N$4&lt;=($B195+'Get Started'!$D$37-1)),index($G$133:$Z$133,,$B195)/'Get Started'!$D$37*'Get Started'!$D$35,0),0)</f>
        <v>0</v>
      </c>
      <c r="O195" s="77">
        <f t="array" ref="O195">iferror(if(and(O$4&gt;=$B195,O$4&lt;=($B195+'Get Started'!$D$37-1)),index($G$133:$Z$133,,$B195)/'Get Started'!$D$37*'Get Started'!$D$35,0),0)</f>
        <v>0</v>
      </c>
      <c r="P195" s="77">
        <f t="array" ref="P195">iferror(if(and(P$4&gt;=$B195,P$4&lt;=($B195+'Get Started'!$D$37-1)),index($G$133:$Z$133,,$B195)/'Get Started'!$D$37*'Get Started'!$D$35,0),0)</f>
        <v>0</v>
      </c>
      <c r="Q195" s="77">
        <f t="array" ref="Q195">iferror(if(and(Q$4&gt;=$B195,Q$4&lt;=($B195+'Get Started'!$D$37-1)),index($G$133:$Z$133,,$B195)/'Get Started'!$D$37*'Get Started'!$D$35,0),0)</f>
        <v>0</v>
      </c>
      <c r="R195" s="77">
        <f t="array" ref="R195">iferror(if(and(R$4&gt;=$B195,R$4&lt;=($B195+'Get Started'!$D$37-1)),index($G$133:$Z$133,,$B195)/'Get Started'!$D$37*'Get Started'!$D$35,0),0)</f>
        <v>0</v>
      </c>
      <c r="S195" s="77">
        <f t="array" ref="S195">iferror(if(and(S$4&gt;=$B195,S$4&lt;=($B195+'Get Started'!$D$37-1)),index($G$133:$Z$133,,$B195)/'Get Started'!$D$37*'Get Started'!$D$35,0),0)</f>
        <v>0</v>
      </c>
      <c r="T195" s="77">
        <f t="array" ref="T195">iferror(if(and(T$4&gt;=$B195,T$4&lt;=($B195+'Get Started'!$D$37-1)),index($G$133:$Z$133,,$B195)/'Get Started'!$D$37*'Get Started'!$D$35,0),0)</f>
        <v>0</v>
      </c>
      <c r="U195" s="77">
        <f t="array" ref="U195">iferror(if(and(U$4&gt;=$B195,U$4&lt;=($B195+'Get Started'!$D$37-1)),index($G$133:$Z$133,,$B195)/'Get Started'!$D$37*'Get Started'!$D$35,0),0)</f>
        <v>0</v>
      </c>
      <c r="V195" s="77">
        <f t="array" ref="V195">iferror(if(and(V$4&gt;=$B195,V$4&lt;=($B195+'Get Started'!$D$37-1)),index($G$133:$Z$133,,$B195)/'Get Started'!$D$37*'Get Started'!$D$35,0),0)</f>
        <v>0</v>
      </c>
      <c r="W195" s="77">
        <f t="array" ref="W195">iferror(if(and(W$4&gt;=$B195,W$4&lt;=($B195+'Get Started'!$D$37-1)),index($G$133:$Z$133,,$B195)/'Get Started'!$D$37*'Get Started'!$D$35,0),0)</f>
        <v>0</v>
      </c>
      <c r="X195" s="77">
        <f t="array" ref="X195">iferror(if(and(X$4&gt;=$B195,X$4&lt;=($B195+'Get Started'!$D$37-1)),index($G$133:$Z$133,,$B195)/'Get Started'!$D$37*'Get Started'!$D$35,0),0)</f>
        <v>0</v>
      </c>
      <c r="Y195" s="77">
        <f t="array" ref="Y195">iferror(if(and(Y$4&gt;=$B195,Y$4&lt;=($B195+'Get Started'!$D$37-1)),index($G$133:$Z$133,,$B195)/'Get Started'!$D$37*'Get Started'!$D$35,0),0)</f>
        <v>0</v>
      </c>
      <c r="Z195" s="77">
        <f t="array" ref="Z195">iferror(if(and(Z$4&gt;=$B195,Z$4&lt;=($B195+'Get Started'!$D$37-1)),index($G$133:$Z$133,,$B195)/'Get Started'!$D$37*'Get Started'!$D$35,0),0)</f>
        <v>0</v>
      </c>
    </row>
    <row r="196" hidden="1" outlineLevel="1">
      <c r="B196" s="93">
        <f t="shared" si="131"/>
        <v>17</v>
      </c>
      <c r="C196" s="40"/>
      <c r="D196" s="16" t="s">
        <v>161</v>
      </c>
      <c r="E196" s="74">
        <f t="shared" si="108"/>
        <v>0</v>
      </c>
      <c r="F196" s="74"/>
      <c r="G196" s="77">
        <f t="array" ref="G196">iferror(if(and(G$4&gt;=$B196,G$4&lt;=($B196+'Get Started'!$D$37-1)),index($G$133:$Z$133,,$B196)/'Get Started'!$D$37*'Get Started'!$D$35,0),0)</f>
        <v>0</v>
      </c>
      <c r="H196" s="77">
        <f t="array" ref="H196">iferror(if(and(H$4&gt;=$B196,H$4&lt;=($B196+'Get Started'!$D$37-1)),index($G$133:$Z$133,,$B196)/'Get Started'!$D$37*'Get Started'!$D$35,0),0)</f>
        <v>0</v>
      </c>
      <c r="I196" s="77">
        <f t="array" ref="I196">iferror(if(and(I$4&gt;=$B196,I$4&lt;=($B196+'Get Started'!$D$37-1)),index($G$133:$Z$133,,$B196)/'Get Started'!$D$37*'Get Started'!$D$35,0),0)</f>
        <v>0</v>
      </c>
      <c r="J196" s="77">
        <f t="array" ref="J196">iferror(if(and(J$4&gt;=$B196,J$4&lt;=($B196+'Get Started'!$D$37-1)),index($G$133:$Z$133,,$B196)/'Get Started'!$D$37*'Get Started'!$D$35,0),0)</f>
        <v>0</v>
      </c>
      <c r="K196" s="77">
        <f t="array" ref="K196">iferror(if(and(K$4&gt;=$B196,K$4&lt;=($B196+'Get Started'!$D$37-1)),index($G$133:$Z$133,,$B196)/'Get Started'!$D$37*'Get Started'!$D$35,0),0)</f>
        <v>0</v>
      </c>
      <c r="L196" s="77">
        <f t="array" ref="L196">iferror(if(and(L$4&gt;=$B196,L$4&lt;=($B196+'Get Started'!$D$37-1)),index($G$133:$Z$133,,$B196)/'Get Started'!$D$37*'Get Started'!$D$35,0),0)</f>
        <v>0</v>
      </c>
      <c r="M196" s="77">
        <f t="array" ref="M196">iferror(if(and(M$4&gt;=$B196,M$4&lt;=($B196+'Get Started'!$D$37-1)),index($G$133:$Z$133,,$B196)/'Get Started'!$D$37*'Get Started'!$D$35,0),0)</f>
        <v>0</v>
      </c>
      <c r="N196" s="77">
        <f t="array" ref="N196">iferror(if(and(N$4&gt;=$B196,N$4&lt;=($B196+'Get Started'!$D$37-1)),index($G$133:$Z$133,,$B196)/'Get Started'!$D$37*'Get Started'!$D$35,0),0)</f>
        <v>0</v>
      </c>
      <c r="O196" s="77">
        <f t="array" ref="O196">iferror(if(and(O$4&gt;=$B196,O$4&lt;=($B196+'Get Started'!$D$37-1)),index($G$133:$Z$133,,$B196)/'Get Started'!$D$37*'Get Started'!$D$35,0),0)</f>
        <v>0</v>
      </c>
      <c r="P196" s="77">
        <f t="array" ref="P196">iferror(if(and(P$4&gt;=$B196,P$4&lt;=($B196+'Get Started'!$D$37-1)),index($G$133:$Z$133,,$B196)/'Get Started'!$D$37*'Get Started'!$D$35,0),0)</f>
        <v>0</v>
      </c>
      <c r="Q196" s="77">
        <f t="array" ref="Q196">iferror(if(and(Q$4&gt;=$B196,Q$4&lt;=($B196+'Get Started'!$D$37-1)),index($G$133:$Z$133,,$B196)/'Get Started'!$D$37*'Get Started'!$D$35,0),0)</f>
        <v>0</v>
      </c>
      <c r="R196" s="77">
        <f t="array" ref="R196">iferror(if(and(R$4&gt;=$B196,R$4&lt;=($B196+'Get Started'!$D$37-1)),index($G$133:$Z$133,,$B196)/'Get Started'!$D$37*'Get Started'!$D$35,0),0)</f>
        <v>0</v>
      </c>
      <c r="S196" s="77">
        <f t="array" ref="S196">iferror(if(and(S$4&gt;=$B196,S$4&lt;=($B196+'Get Started'!$D$37-1)),index($G$133:$Z$133,,$B196)/'Get Started'!$D$37*'Get Started'!$D$35,0),0)</f>
        <v>0</v>
      </c>
      <c r="T196" s="77">
        <f t="array" ref="T196">iferror(if(and(T$4&gt;=$B196,T$4&lt;=($B196+'Get Started'!$D$37-1)),index($G$133:$Z$133,,$B196)/'Get Started'!$D$37*'Get Started'!$D$35,0),0)</f>
        <v>0</v>
      </c>
      <c r="U196" s="77">
        <f t="array" ref="U196">iferror(if(and(U$4&gt;=$B196,U$4&lt;=($B196+'Get Started'!$D$37-1)),index($G$133:$Z$133,,$B196)/'Get Started'!$D$37*'Get Started'!$D$35,0),0)</f>
        <v>0</v>
      </c>
      <c r="V196" s="77">
        <f t="array" ref="V196">iferror(if(and(V$4&gt;=$B196,V$4&lt;=($B196+'Get Started'!$D$37-1)),index($G$133:$Z$133,,$B196)/'Get Started'!$D$37*'Get Started'!$D$35,0),0)</f>
        <v>0</v>
      </c>
      <c r="W196" s="77">
        <f t="array" ref="W196">iferror(if(and(W$4&gt;=$B196,W$4&lt;=($B196+'Get Started'!$D$37-1)),index($G$133:$Z$133,,$B196)/'Get Started'!$D$37*'Get Started'!$D$35,0),0)</f>
        <v>0</v>
      </c>
      <c r="X196" s="77">
        <f t="array" ref="X196">iferror(if(and(X$4&gt;=$B196,X$4&lt;=($B196+'Get Started'!$D$37-1)),index($G$133:$Z$133,,$B196)/'Get Started'!$D$37*'Get Started'!$D$35,0),0)</f>
        <v>0</v>
      </c>
      <c r="Y196" s="77">
        <f t="array" ref="Y196">iferror(if(and(Y$4&gt;=$B196,Y$4&lt;=($B196+'Get Started'!$D$37-1)),index($G$133:$Z$133,,$B196)/'Get Started'!$D$37*'Get Started'!$D$35,0),0)</f>
        <v>0</v>
      </c>
      <c r="Z196" s="77">
        <f t="array" ref="Z196">iferror(if(and(Z$4&gt;=$B196,Z$4&lt;=($B196+'Get Started'!$D$37-1)),index($G$133:$Z$133,,$B196)/'Get Started'!$D$37*'Get Started'!$D$35,0),0)</f>
        <v>0</v>
      </c>
    </row>
    <row r="197" hidden="1" outlineLevel="1">
      <c r="B197" s="93">
        <f t="shared" si="131"/>
        <v>18</v>
      </c>
      <c r="C197" s="40"/>
      <c r="D197" s="16" t="s">
        <v>161</v>
      </c>
      <c r="E197" s="74">
        <f t="shared" si="108"/>
        <v>0</v>
      </c>
      <c r="F197" s="74"/>
      <c r="G197" s="77">
        <f t="array" ref="G197">iferror(if(and(G$4&gt;=$B197,G$4&lt;=($B197+'Get Started'!$D$37-1)),index($G$133:$Z$133,,$B197)/'Get Started'!$D$37*'Get Started'!$D$35,0),0)</f>
        <v>0</v>
      </c>
      <c r="H197" s="77">
        <f t="array" ref="H197">iferror(if(and(H$4&gt;=$B197,H$4&lt;=($B197+'Get Started'!$D$37-1)),index($G$133:$Z$133,,$B197)/'Get Started'!$D$37*'Get Started'!$D$35,0),0)</f>
        <v>0</v>
      </c>
      <c r="I197" s="77">
        <f t="array" ref="I197">iferror(if(and(I$4&gt;=$B197,I$4&lt;=($B197+'Get Started'!$D$37-1)),index($G$133:$Z$133,,$B197)/'Get Started'!$D$37*'Get Started'!$D$35,0),0)</f>
        <v>0</v>
      </c>
      <c r="J197" s="77">
        <f t="array" ref="J197">iferror(if(and(J$4&gt;=$B197,J$4&lt;=($B197+'Get Started'!$D$37-1)),index($G$133:$Z$133,,$B197)/'Get Started'!$D$37*'Get Started'!$D$35,0),0)</f>
        <v>0</v>
      </c>
      <c r="K197" s="77">
        <f t="array" ref="K197">iferror(if(and(K$4&gt;=$B197,K$4&lt;=($B197+'Get Started'!$D$37-1)),index($G$133:$Z$133,,$B197)/'Get Started'!$D$37*'Get Started'!$D$35,0),0)</f>
        <v>0</v>
      </c>
      <c r="L197" s="77">
        <f t="array" ref="L197">iferror(if(and(L$4&gt;=$B197,L$4&lt;=($B197+'Get Started'!$D$37-1)),index($G$133:$Z$133,,$B197)/'Get Started'!$D$37*'Get Started'!$D$35,0),0)</f>
        <v>0</v>
      </c>
      <c r="M197" s="77">
        <f t="array" ref="M197">iferror(if(and(M$4&gt;=$B197,M$4&lt;=($B197+'Get Started'!$D$37-1)),index($G$133:$Z$133,,$B197)/'Get Started'!$D$37*'Get Started'!$D$35,0),0)</f>
        <v>0</v>
      </c>
      <c r="N197" s="77">
        <f t="array" ref="N197">iferror(if(and(N$4&gt;=$B197,N$4&lt;=($B197+'Get Started'!$D$37-1)),index($G$133:$Z$133,,$B197)/'Get Started'!$D$37*'Get Started'!$D$35,0),0)</f>
        <v>0</v>
      </c>
      <c r="O197" s="77">
        <f t="array" ref="O197">iferror(if(and(O$4&gt;=$B197,O$4&lt;=($B197+'Get Started'!$D$37-1)),index($G$133:$Z$133,,$B197)/'Get Started'!$D$37*'Get Started'!$D$35,0),0)</f>
        <v>0</v>
      </c>
      <c r="P197" s="77">
        <f t="array" ref="P197">iferror(if(and(P$4&gt;=$B197,P$4&lt;=($B197+'Get Started'!$D$37-1)),index($G$133:$Z$133,,$B197)/'Get Started'!$D$37*'Get Started'!$D$35,0),0)</f>
        <v>0</v>
      </c>
      <c r="Q197" s="77">
        <f t="array" ref="Q197">iferror(if(and(Q$4&gt;=$B197,Q$4&lt;=($B197+'Get Started'!$D$37-1)),index($G$133:$Z$133,,$B197)/'Get Started'!$D$37*'Get Started'!$D$35,0),0)</f>
        <v>0</v>
      </c>
      <c r="R197" s="77">
        <f t="array" ref="R197">iferror(if(and(R$4&gt;=$B197,R$4&lt;=($B197+'Get Started'!$D$37-1)),index($G$133:$Z$133,,$B197)/'Get Started'!$D$37*'Get Started'!$D$35,0),0)</f>
        <v>0</v>
      </c>
      <c r="S197" s="77">
        <f t="array" ref="S197">iferror(if(and(S$4&gt;=$B197,S$4&lt;=($B197+'Get Started'!$D$37-1)),index($G$133:$Z$133,,$B197)/'Get Started'!$D$37*'Get Started'!$D$35,0),0)</f>
        <v>0</v>
      </c>
      <c r="T197" s="77">
        <f t="array" ref="T197">iferror(if(and(T$4&gt;=$B197,T$4&lt;=($B197+'Get Started'!$D$37-1)),index($G$133:$Z$133,,$B197)/'Get Started'!$D$37*'Get Started'!$D$35,0),0)</f>
        <v>0</v>
      </c>
      <c r="U197" s="77">
        <f t="array" ref="U197">iferror(if(and(U$4&gt;=$B197,U$4&lt;=($B197+'Get Started'!$D$37-1)),index($G$133:$Z$133,,$B197)/'Get Started'!$D$37*'Get Started'!$D$35,0),0)</f>
        <v>0</v>
      </c>
      <c r="V197" s="77">
        <f t="array" ref="V197">iferror(if(and(V$4&gt;=$B197,V$4&lt;=($B197+'Get Started'!$D$37-1)),index($G$133:$Z$133,,$B197)/'Get Started'!$D$37*'Get Started'!$D$35,0),0)</f>
        <v>0</v>
      </c>
      <c r="W197" s="77">
        <f t="array" ref="W197">iferror(if(and(W$4&gt;=$B197,W$4&lt;=($B197+'Get Started'!$D$37-1)),index($G$133:$Z$133,,$B197)/'Get Started'!$D$37*'Get Started'!$D$35,0),0)</f>
        <v>0</v>
      </c>
      <c r="X197" s="77">
        <f t="array" ref="X197">iferror(if(and(X$4&gt;=$B197,X$4&lt;=($B197+'Get Started'!$D$37-1)),index($G$133:$Z$133,,$B197)/'Get Started'!$D$37*'Get Started'!$D$35,0),0)</f>
        <v>0</v>
      </c>
      <c r="Y197" s="77">
        <f t="array" ref="Y197">iferror(if(and(Y$4&gt;=$B197,Y$4&lt;=($B197+'Get Started'!$D$37-1)),index($G$133:$Z$133,,$B197)/'Get Started'!$D$37*'Get Started'!$D$35,0),0)</f>
        <v>0</v>
      </c>
      <c r="Z197" s="77">
        <f t="array" ref="Z197">iferror(if(and(Z$4&gt;=$B197,Z$4&lt;=($B197+'Get Started'!$D$37-1)),index($G$133:$Z$133,,$B197)/'Get Started'!$D$37*'Get Started'!$D$35,0),0)</f>
        <v>0</v>
      </c>
    </row>
    <row r="198" hidden="1" outlineLevel="1">
      <c r="B198" s="93">
        <f t="shared" si="131"/>
        <v>19</v>
      </c>
      <c r="C198" s="40"/>
      <c r="D198" s="16" t="s">
        <v>161</v>
      </c>
      <c r="E198" s="74">
        <f t="shared" si="108"/>
        <v>0</v>
      </c>
      <c r="F198" s="74"/>
      <c r="G198" s="77">
        <f t="array" ref="G198">iferror(if(and(G$4&gt;=$B198,G$4&lt;=($B198+'Get Started'!$D$37-1)),index($G$133:$Z$133,,$B198)/'Get Started'!$D$37*'Get Started'!$D$35,0),0)</f>
        <v>0</v>
      </c>
      <c r="H198" s="77">
        <f t="array" ref="H198">iferror(if(and(H$4&gt;=$B198,H$4&lt;=($B198+'Get Started'!$D$37-1)),index($G$133:$Z$133,,$B198)/'Get Started'!$D$37*'Get Started'!$D$35,0),0)</f>
        <v>0</v>
      </c>
      <c r="I198" s="77">
        <f t="array" ref="I198">iferror(if(and(I$4&gt;=$B198,I$4&lt;=($B198+'Get Started'!$D$37-1)),index($G$133:$Z$133,,$B198)/'Get Started'!$D$37*'Get Started'!$D$35,0),0)</f>
        <v>0</v>
      </c>
      <c r="J198" s="77">
        <f t="array" ref="J198">iferror(if(and(J$4&gt;=$B198,J$4&lt;=($B198+'Get Started'!$D$37-1)),index($G$133:$Z$133,,$B198)/'Get Started'!$D$37*'Get Started'!$D$35,0),0)</f>
        <v>0</v>
      </c>
      <c r="K198" s="77">
        <f t="array" ref="K198">iferror(if(and(K$4&gt;=$B198,K$4&lt;=($B198+'Get Started'!$D$37-1)),index($G$133:$Z$133,,$B198)/'Get Started'!$D$37*'Get Started'!$D$35,0),0)</f>
        <v>0</v>
      </c>
      <c r="L198" s="77">
        <f t="array" ref="L198">iferror(if(and(L$4&gt;=$B198,L$4&lt;=($B198+'Get Started'!$D$37-1)),index($G$133:$Z$133,,$B198)/'Get Started'!$D$37*'Get Started'!$D$35,0),0)</f>
        <v>0</v>
      </c>
      <c r="M198" s="77">
        <f t="array" ref="M198">iferror(if(and(M$4&gt;=$B198,M$4&lt;=($B198+'Get Started'!$D$37-1)),index($G$133:$Z$133,,$B198)/'Get Started'!$D$37*'Get Started'!$D$35,0),0)</f>
        <v>0</v>
      </c>
      <c r="N198" s="77">
        <f t="array" ref="N198">iferror(if(and(N$4&gt;=$B198,N$4&lt;=($B198+'Get Started'!$D$37-1)),index($G$133:$Z$133,,$B198)/'Get Started'!$D$37*'Get Started'!$D$35,0),0)</f>
        <v>0</v>
      </c>
      <c r="O198" s="77">
        <f t="array" ref="O198">iferror(if(and(O$4&gt;=$B198,O$4&lt;=($B198+'Get Started'!$D$37-1)),index($G$133:$Z$133,,$B198)/'Get Started'!$D$37*'Get Started'!$D$35,0),0)</f>
        <v>0</v>
      </c>
      <c r="P198" s="77">
        <f t="array" ref="P198">iferror(if(and(P$4&gt;=$B198,P$4&lt;=($B198+'Get Started'!$D$37-1)),index($G$133:$Z$133,,$B198)/'Get Started'!$D$37*'Get Started'!$D$35,0),0)</f>
        <v>0</v>
      </c>
      <c r="Q198" s="77">
        <f t="array" ref="Q198">iferror(if(and(Q$4&gt;=$B198,Q$4&lt;=($B198+'Get Started'!$D$37-1)),index($G$133:$Z$133,,$B198)/'Get Started'!$D$37*'Get Started'!$D$35,0),0)</f>
        <v>0</v>
      </c>
      <c r="R198" s="77">
        <f t="array" ref="R198">iferror(if(and(R$4&gt;=$B198,R$4&lt;=($B198+'Get Started'!$D$37-1)),index($G$133:$Z$133,,$B198)/'Get Started'!$D$37*'Get Started'!$D$35,0),0)</f>
        <v>0</v>
      </c>
      <c r="S198" s="77">
        <f t="array" ref="S198">iferror(if(and(S$4&gt;=$B198,S$4&lt;=($B198+'Get Started'!$D$37-1)),index($G$133:$Z$133,,$B198)/'Get Started'!$D$37*'Get Started'!$D$35,0),0)</f>
        <v>0</v>
      </c>
      <c r="T198" s="77">
        <f t="array" ref="T198">iferror(if(and(T$4&gt;=$B198,T$4&lt;=($B198+'Get Started'!$D$37-1)),index($G$133:$Z$133,,$B198)/'Get Started'!$D$37*'Get Started'!$D$35,0),0)</f>
        <v>0</v>
      </c>
      <c r="U198" s="77">
        <f t="array" ref="U198">iferror(if(and(U$4&gt;=$B198,U$4&lt;=($B198+'Get Started'!$D$37-1)),index($G$133:$Z$133,,$B198)/'Get Started'!$D$37*'Get Started'!$D$35,0),0)</f>
        <v>0</v>
      </c>
      <c r="V198" s="77">
        <f t="array" ref="V198">iferror(if(and(V$4&gt;=$B198,V$4&lt;=($B198+'Get Started'!$D$37-1)),index($G$133:$Z$133,,$B198)/'Get Started'!$D$37*'Get Started'!$D$35,0),0)</f>
        <v>0</v>
      </c>
      <c r="W198" s="77">
        <f t="array" ref="W198">iferror(if(and(W$4&gt;=$B198,W$4&lt;=($B198+'Get Started'!$D$37-1)),index($G$133:$Z$133,,$B198)/'Get Started'!$D$37*'Get Started'!$D$35,0),0)</f>
        <v>0</v>
      </c>
      <c r="X198" s="77">
        <f t="array" ref="X198">iferror(if(and(X$4&gt;=$B198,X$4&lt;=($B198+'Get Started'!$D$37-1)),index($G$133:$Z$133,,$B198)/'Get Started'!$D$37*'Get Started'!$D$35,0),0)</f>
        <v>0</v>
      </c>
      <c r="Y198" s="77">
        <f t="array" ref="Y198">iferror(if(and(Y$4&gt;=$B198,Y$4&lt;=($B198+'Get Started'!$D$37-1)),index($G$133:$Z$133,,$B198)/'Get Started'!$D$37*'Get Started'!$D$35,0),0)</f>
        <v>0</v>
      </c>
      <c r="Z198" s="77">
        <f t="array" ref="Z198">iferror(if(and(Z$4&gt;=$B198,Z$4&lt;=($B198+'Get Started'!$D$37-1)),index($G$133:$Z$133,,$B198)/'Get Started'!$D$37*'Get Started'!$D$35,0),0)</f>
        <v>0</v>
      </c>
    </row>
    <row r="199" hidden="1" outlineLevel="1">
      <c r="B199" s="93">
        <f t="shared" si="131"/>
        <v>20</v>
      </c>
      <c r="C199" s="40"/>
      <c r="D199" s="16" t="s">
        <v>161</v>
      </c>
      <c r="E199" s="74">
        <f t="shared" si="108"/>
        <v>0</v>
      </c>
      <c r="F199" s="74"/>
      <c r="G199" s="77">
        <f t="array" ref="G199">iferror(if(and(G$4&gt;=$B199,G$4&lt;=($B199+'Get Started'!$D$37-1)),index($G$133:$Z$133,,$B199)/'Get Started'!$D$37*'Get Started'!$D$35,0),0)</f>
        <v>0</v>
      </c>
      <c r="H199" s="77">
        <f t="array" ref="H199">iferror(if(and(H$4&gt;=$B199,H$4&lt;=($B199+'Get Started'!$D$37-1)),index($G$133:$Z$133,,$B199)/'Get Started'!$D$37*'Get Started'!$D$35,0),0)</f>
        <v>0</v>
      </c>
      <c r="I199" s="77">
        <f t="array" ref="I199">iferror(if(and(I$4&gt;=$B199,I$4&lt;=($B199+'Get Started'!$D$37-1)),index($G$133:$Z$133,,$B199)/'Get Started'!$D$37*'Get Started'!$D$35,0),0)</f>
        <v>0</v>
      </c>
      <c r="J199" s="77">
        <f t="array" ref="J199">iferror(if(and(J$4&gt;=$B199,J$4&lt;=($B199+'Get Started'!$D$37-1)),index($G$133:$Z$133,,$B199)/'Get Started'!$D$37*'Get Started'!$D$35,0),0)</f>
        <v>0</v>
      </c>
      <c r="K199" s="77">
        <f t="array" ref="K199">iferror(if(and(K$4&gt;=$B199,K$4&lt;=($B199+'Get Started'!$D$37-1)),index($G$133:$Z$133,,$B199)/'Get Started'!$D$37*'Get Started'!$D$35,0),0)</f>
        <v>0</v>
      </c>
      <c r="L199" s="77">
        <f t="array" ref="L199">iferror(if(and(L$4&gt;=$B199,L$4&lt;=($B199+'Get Started'!$D$37-1)),index($G$133:$Z$133,,$B199)/'Get Started'!$D$37*'Get Started'!$D$35,0),0)</f>
        <v>0</v>
      </c>
      <c r="M199" s="77">
        <f t="array" ref="M199">iferror(if(and(M$4&gt;=$B199,M$4&lt;=($B199+'Get Started'!$D$37-1)),index($G$133:$Z$133,,$B199)/'Get Started'!$D$37*'Get Started'!$D$35,0),0)</f>
        <v>0</v>
      </c>
      <c r="N199" s="77">
        <f t="array" ref="N199">iferror(if(and(N$4&gt;=$B199,N$4&lt;=($B199+'Get Started'!$D$37-1)),index($G$133:$Z$133,,$B199)/'Get Started'!$D$37*'Get Started'!$D$35,0),0)</f>
        <v>0</v>
      </c>
      <c r="O199" s="77">
        <f t="array" ref="O199">iferror(if(and(O$4&gt;=$B199,O$4&lt;=($B199+'Get Started'!$D$37-1)),index($G$133:$Z$133,,$B199)/'Get Started'!$D$37*'Get Started'!$D$35,0),0)</f>
        <v>0</v>
      </c>
      <c r="P199" s="77">
        <f t="array" ref="P199">iferror(if(and(P$4&gt;=$B199,P$4&lt;=($B199+'Get Started'!$D$37-1)),index($G$133:$Z$133,,$B199)/'Get Started'!$D$37*'Get Started'!$D$35,0),0)</f>
        <v>0</v>
      </c>
      <c r="Q199" s="77">
        <f t="array" ref="Q199">iferror(if(and(Q$4&gt;=$B199,Q$4&lt;=($B199+'Get Started'!$D$37-1)),index($G$133:$Z$133,,$B199)/'Get Started'!$D$37*'Get Started'!$D$35,0),0)</f>
        <v>0</v>
      </c>
      <c r="R199" s="77">
        <f t="array" ref="R199">iferror(if(and(R$4&gt;=$B199,R$4&lt;=($B199+'Get Started'!$D$37-1)),index($G$133:$Z$133,,$B199)/'Get Started'!$D$37*'Get Started'!$D$35,0),0)</f>
        <v>0</v>
      </c>
      <c r="S199" s="77">
        <f t="array" ref="S199">iferror(if(and(S$4&gt;=$B199,S$4&lt;=($B199+'Get Started'!$D$37-1)),index($G$133:$Z$133,,$B199)/'Get Started'!$D$37*'Get Started'!$D$35,0),0)</f>
        <v>0</v>
      </c>
      <c r="T199" s="77">
        <f t="array" ref="T199">iferror(if(and(T$4&gt;=$B199,T$4&lt;=($B199+'Get Started'!$D$37-1)),index($G$133:$Z$133,,$B199)/'Get Started'!$D$37*'Get Started'!$D$35,0),0)</f>
        <v>0</v>
      </c>
      <c r="U199" s="77">
        <f t="array" ref="U199">iferror(if(and(U$4&gt;=$B199,U$4&lt;=($B199+'Get Started'!$D$37-1)),index($G$133:$Z$133,,$B199)/'Get Started'!$D$37*'Get Started'!$D$35,0),0)</f>
        <v>0</v>
      </c>
      <c r="V199" s="77">
        <f t="array" ref="V199">iferror(if(and(V$4&gt;=$B199,V$4&lt;=($B199+'Get Started'!$D$37-1)),index($G$133:$Z$133,,$B199)/'Get Started'!$D$37*'Get Started'!$D$35,0),0)</f>
        <v>0</v>
      </c>
      <c r="W199" s="77">
        <f t="array" ref="W199">iferror(if(and(W$4&gt;=$B199,W$4&lt;=($B199+'Get Started'!$D$37-1)),index($G$133:$Z$133,,$B199)/'Get Started'!$D$37*'Get Started'!$D$35,0),0)</f>
        <v>0</v>
      </c>
      <c r="X199" s="77">
        <f t="array" ref="X199">iferror(if(and(X$4&gt;=$B199,X$4&lt;=($B199+'Get Started'!$D$37-1)),index($G$133:$Z$133,,$B199)/'Get Started'!$D$37*'Get Started'!$D$35,0),0)</f>
        <v>0</v>
      </c>
      <c r="Y199" s="77">
        <f t="array" ref="Y199">iferror(if(and(Y$4&gt;=$B199,Y$4&lt;=($B199+'Get Started'!$D$37-1)),index($G$133:$Z$133,,$B199)/'Get Started'!$D$37*'Get Started'!$D$35,0),0)</f>
        <v>0</v>
      </c>
      <c r="Z199" s="77">
        <f t="array" ref="Z199">iferror(if(and(Z$4&gt;=$B199,Z$4&lt;=($B199+'Get Started'!$D$37-1)),index($G$133:$Z$133,,$B199)/'Get Started'!$D$37*'Get Started'!$D$35,0),0)</f>
        <v>0</v>
      </c>
    </row>
    <row r="200" collapsed="1">
      <c r="B200" s="16" t="s">
        <v>181</v>
      </c>
      <c r="C200" s="16"/>
      <c r="D200" s="16" t="s">
        <v>161</v>
      </c>
      <c r="E200" s="74">
        <f t="shared" si="108"/>
        <v>37253480</v>
      </c>
      <c r="F200" s="78"/>
      <c r="G200" s="77">
        <f t="shared" ref="G200:Z200" si="132">sum(G201:G220)</f>
        <v>0</v>
      </c>
      <c r="H200" s="77">
        <f t="shared" si="132"/>
        <v>3104456.667</v>
      </c>
      <c r="I200" s="77">
        <f t="shared" si="132"/>
        <v>6208913.333</v>
      </c>
      <c r="J200" s="77">
        <f t="shared" si="132"/>
        <v>9313370</v>
      </c>
      <c r="K200" s="77">
        <f t="shared" si="132"/>
        <v>9313370</v>
      </c>
      <c r="L200" s="77">
        <f t="shared" si="132"/>
        <v>6208913.333</v>
      </c>
      <c r="M200" s="77">
        <f t="shared" si="132"/>
        <v>3104456.667</v>
      </c>
      <c r="N200" s="77">
        <f t="shared" si="132"/>
        <v>0</v>
      </c>
      <c r="O200" s="77">
        <f t="shared" si="132"/>
        <v>0</v>
      </c>
      <c r="P200" s="77">
        <f t="shared" si="132"/>
        <v>0</v>
      </c>
      <c r="Q200" s="77">
        <f t="shared" si="132"/>
        <v>0</v>
      </c>
      <c r="R200" s="77">
        <f t="shared" si="132"/>
        <v>0</v>
      </c>
      <c r="S200" s="77">
        <f t="shared" si="132"/>
        <v>0</v>
      </c>
      <c r="T200" s="77">
        <f t="shared" si="132"/>
        <v>0</v>
      </c>
      <c r="U200" s="77">
        <f t="shared" si="132"/>
        <v>0</v>
      </c>
      <c r="V200" s="77">
        <f t="shared" si="132"/>
        <v>0</v>
      </c>
      <c r="W200" s="77">
        <f t="shared" si="132"/>
        <v>0</v>
      </c>
      <c r="X200" s="77">
        <f t="shared" si="132"/>
        <v>0</v>
      </c>
      <c r="Y200" s="77">
        <f t="shared" si="132"/>
        <v>0</v>
      </c>
      <c r="Z200" s="77">
        <f t="shared" si="132"/>
        <v>0</v>
      </c>
    </row>
    <row r="201" hidden="1" outlineLevel="1">
      <c r="B201" s="93">
        <f>G$4</f>
        <v>1</v>
      </c>
      <c r="C201" s="40"/>
      <c r="D201" s="16" t="s">
        <v>161</v>
      </c>
      <c r="E201" s="74">
        <f t="shared" si="108"/>
        <v>12417826.67</v>
      </c>
      <c r="F201" s="74"/>
      <c r="G201" s="74">
        <f>offset(G180,0,-1)*'Get Started'!$E$35/'Get Started'!$D$35</f>
        <v>0</v>
      </c>
      <c r="H201" s="74">
        <f>offset(H180,0,-1)*'Get Started'!$E$35/'Get Started'!$D$35</f>
        <v>3104456.667</v>
      </c>
      <c r="I201" s="74">
        <f>offset(I180,0,-1)*'Get Started'!$E$35/'Get Started'!$D$35</f>
        <v>3104456.667</v>
      </c>
      <c r="J201" s="74">
        <f>offset(J180,0,-1)*'Get Started'!$E$35/'Get Started'!$D$35</f>
        <v>3104456.667</v>
      </c>
      <c r="K201" s="74">
        <f>offset(K180,0,-1)*'Get Started'!$E$35/'Get Started'!$D$35</f>
        <v>3104456.667</v>
      </c>
      <c r="L201" s="74">
        <f>offset(L180,0,-1)*'Get Started'!$E$35/'Get Started'!$D$35</f>
        <v>0</v>
      </c>
      <c r="M201" s="74">
        <f>offset(M180,0,-1)*'Get Started'!$E$35/'Get Started'!$D$35</f>
        <v>0</v>
      </c>
      <c r="N201" s="74">
        <f>offset(N180,0,-1)*'Get Started'!$E$35/'Get Started'!$D$35</f>
        <v>0</v>
      </c>
      <c r="O201" s="74">
        <f>offset(O180,0,-1)*'Get Started'!$E$35/'Get Started'!$D$35</f>
        <v>0</v>
      </c>
      <c r="P201" s="74">
        <f>offset(P180,0,-1)*'Get Started'!$E$35/'Get Started'!$D$35</f>
        <v>0</v>
      </c>
      <c r="Q201" s="74">
        <f>offset(Q180,0,-1)*'Get Started'!$E$35/'Get Started'!$D$35</f>
        <v>0</v>
      </c>
      <c r="R201" s="74">
        <f>offset(R180,0,-1)*'Get Started'!$E$35/'Get Started'!$D$35</f>
        <v>0</v>
      </c>
      <c r="S201" s="74">
        <f>offset(S180,0,-1)*'Get Started'!$E$35/'Get Started'!$D$35</f>
        <v>0</v>
      </c>
      <c r="T201" s="74">
        <f>offset(T180,0,-1)*'Get Started'!$E$35/'Get Started'!$D$35</f>
        <v>0</v>
      </c>
      <c r="U201" s="74">
        <f>offset(U180,0,-1)*'Get Started'!$E$35/'Get Started'!$D$35</f>
        <v>0</v>
      </c>
      <c r="V201" s="74">
        <f>offset(V180,0,-1)*'Get Started'!$E$35/'Get Started'!$D$35</f>
        <v>0</v>
      </c>
      <c r="W201" s="74">
        <f>offset(W180,0,-1)*'Get Started'!$E$35/'Get Started'!$D$35</f>
        <v>0</v>
      </c>
      <c r="X201" s="74">
        <f>offset(X180,0,-1)*'Get Started'!$E$35/'Get Started'!$D$35</f>
        <v>0</v>
      </c>
      <c r="Y201" s="74">
        <f>offset(Y180,0,-1)*'Get Started'!$E$35/'Get Started'!$D$35</f>
        <v>0</v>
      </c>
      <c r="Z201" s="74">
        <f>offset(Z180,0,-1)*'Get Started'!$E$35/'Get Started'!$D$35</f>
        <v>0</v>
      </c>
    </row>
    <row r="202" hidden="1" outlineLevel="1">
      <c r="B202" s="93">
        <f t="shared" ref="B202:B220" si="133">B201+1</f>
        <v>2</v>
      </c>
      <c r="C202" s="40"/>
      <c r="D202" s="16" t="s">
        <v>161</v>
      </c>
      <c r="E202" s="74">
        <f t="shared" si="108"/>
        <v>12417826.67</v>
      </c>
      <c r="F202" s="74"/>
      <c r="G202" s="74">
        <f>offset(G181,0,-1)*'Get Started'!$E$35/'Get Started'!$D$35</f>
        <v>0</v>
      </c>
      <c r="H202" s="74">
        <f>offset(H181,0,-1)*'Get Started'!$E$35/'Get Started'!$D$35</f>
        <v>0</v>
      </c>
      <c r="I202" s="74">
        <f>offset(I181,0,-1)*'Get Started'!$E$35/'Get Started'!$D$35</f>
        <v>3104456.667</v>
      </c>
      <c r="J202" s="74">
        <f>offset(J181,0,-1)*'Get Started'!$E$35/'Get Started'!$D$35</f>
        <v>3104456.667</v>
      </c>
      <c r="K202" s="74">
        <f>offset(K181,0,-1)*'Get Started'!$E$35/'Get Started'!$D$35</f>
        <v>3104456.667</v>
      </c>
      <c r="L202" s="74">
        <f>offset(L181,0,-1)*'Get Started'!$E$35/'Get Started'!$D$35</f>
        <v>3104456.667</v>
      </c>
      <c r="M202" s="74">
        <f>offset(M181,0,-1)*'Get Started'!$E$35/'Get Started'!$D$35</f>
        <v>0</v>
      </c>
      <c r="N202" s="74">
        <f>offset(N181,0,-1)*'Get Started'!$E$35/'Get Started'!$D$35</f>
        <v>0</v>
      </c>
      <c r="O202" s="74">
        <f>offset(O181,0,-1)*'Get Started'!$E$35/'Get Started'!$D$35</f>
        <v>0</v>
      </c>
      <c r="P202" s="74">
        <f>offset(P181,0,-1)*'Get Started'!$E$35/'Get Started'!$D$35</f>
        <v>0</v>
      </c>
      <c r="Q202" s="74">
        <f>offset(Q181,0,-1)*'Get Started'!$E$35/'Get Started'!$D$35</f>
        <v>0</v>
      </c>
      <c r="R202" s="74">
        <f>offset(R181,0,-1)*'Get Started'!$E$35/'Get Started'!$D$35</f>
        <v>0</v>
      </c>
      <c r="S202" s="74">
        <f>offset(S181,0,-1)*'Get Started'!$E$35/'Get Started'!$D$35</f>
        <v>0</v>
      </c>
      <c r="T202" s="74">
        <f>offset(T181,0,-1)*'Get Started'!$E$35/'Get Started'!$D$35</f>
        <v>0</v>
      </c>
      <c r="U202" s="74">
        <f>offset(U181,0,-1)*'Get Started'!$E$35/'Get Started'!$D$35</f>
        <v>0</v>
      </c>
      <c r="V202" s="74">
        <f>offset(V181,0,-1)*'Get Started'!$E$35/'Get Started'!$D$35</f>
        <v>0</v>
      </c>
      <c r="W202" s="74">
        <f>offset(W181,0,-1)*'Get Started'!$E$35/'Get Started'!$D$35</f>
        <v>0</v>
      </c>
      <c r="X202" s="74">
        <f>offset(X181,0,-1)*'Get Started'!$E$35/'Get Started'!$D$35</f>
        <v>0</v>
      </c>
      <c r="Y202" s="74">
        <f>offset(Y181,0,-1)*'Get Started'!$E$35/'Get Started'!$D$35</f>
        <v>0</v>
      </c>
      <c r="Z202" s="74">
        <f>offset(Z181,0,-1)*'Get Started'!$E$35/'Get Started'!$D$35</f>
        <v>0</v>
      </c>
    </row>
    <row r="203" hidden="1" outlineLevel="1">
      <c r="B203" s="93">
        <f t="shared" si="133"/>
        <v>3</v>
      </c>
      <c r="C203" s="40"/>
      <c r="D203" s="16" t="s">
        <v>161</v>
      </c>
      <c r="E203" s="74">
        <f t="shared" si="108"/>
        <v>12417826.67</v>
      </c>
      <c r="F203" s="74"/>
      <c r="G203" s="74">
        <f>offset(G182,0,-1)*'Get Started'!$E$35/'Get Started'!$D$35</f>
        <v>0</v>
      </c>
      <c r="H203" s="74">
        <f>offset(H182,0,-1)*'Get Started'!$E$35/'Get Started'!$D$35</f>
        <v>0</v>
      </c>
      <c r="I203" s="74">
        <f>offset(I182,0,-1)*'Get Started'!$E$35/'Get Started'!$D$35</f>
        <v>0</v>
      </c>
      <c r="J203" s="74">
        <f>offset(J182,0,-1)*'Get Started'!$E$35/'Get Started'!$D$35</f>
        <v>3104456.667</v>
      </c>
      <c r="K203" s="74">
        <f>offset(K182,0,-1)*'Get Started'!$E$35/'Get Started'!$D$35</f>
        <v>3104456.667</v>
      </c>
      <c r="L203" s="74">
        <f>offset(L182,0,-1)*'Get Started'!$E$35/'Get Started'!$D$35</f>
        <v>3104456.667</v>
      </c>
      <c r="M203" s="74">
        <f>offset(M182,0,-1)*'Get Started'!$E$35/'Get Started'!$D$35</f>
        <v>3104456.667</v>
      </c>
      <c r="N203" s="74">
        <f>offset(N182,0,-1)*'Get Started'!$E$35/'Get Started'!$D$35</f>
        <v>0</v>
      </c>
      <c r="O203" s="74">
        <f>offset(O182,0,-1)*'Get Started'!$E$35/'Get Started'!$D$35</f>
        <v>0</v>
      </c>
      <c r="P203" s="74">
        <f>offset(P182,0,-1)*'Get Started'!$E$35/'Get Started'!$D$35</f>
        <v>0</v>
      </c>
      <c r="Q203" s="74">
        <f>offset(Q182,0,-1)*'Get Started'!$E$35/'Get Started'!$D$35</f>
        <v>0</v>
      </c>
      <c r="R203" s="74">
        <f>offset(R182,0,-1)*'Get Started'!$E$35/'Get Started'!$D$35</f>
        <v>0</v>
      </c>
      <c r="S203" s="74">
        <f>offset(S182,0,-1)*'Get Started'!$E$35/'Get Started'!$D$35</f>
        <v>0</v>
      </c>
      <c r="T203" s="74">
        <f>offset(T182,0,-1)*'Get Started'!$E$35/'Get Started'!$D$35</f>
        <v>0</v>
      </c>
      <c r="U203" s="74">
        <f>offset(U182,0,-1)*'Get Started'!$E$35/'Get Started'!$D$35</f>
        <v>0</v>
      </c>
      <c r="V203" s="74">
        <f>offset(V182,0,-1)*'Get Started'!$E$35/'Get Started'!$D$35</f>
        <v>0</v>
      </c>
      <c r="W203" s="74">
        <f>offset(W182,0,-1)*'Get Started'!$E$35/'Get Started'!$D$35</f>
        <v>0</v>
      </c>
      <c r="X203" s="74">
        <f>offset(X182,0,-1)*'Get Started'!$E$35/'Get Started'!$D$35</f>
        <v>0</v>
      </c>
      <c r="Y203" s="74">
        <f>offset(Y182,0,-1)*'Get Started'!$E$35/'Get Started'!$D$35</f>
        <v>0</v>
      </c>
      <c r="Z203" s="74">
        <f>offset(Z182,0,-1)*'Get Started'!$E$35/'Get Started'!$D$35</f>
        <v>0</v>
      </c>
    </row>
    <row r="204" hidden="1" outlineLevel="1">
      <c r="B204" s="93">
        <f t="shared" si="133"/>
        <v>4</v>
      </c>
      <c r="C204" s="40"/>
      <c r="D204" s="16" t="s">
        <v>161</v>
      </c>
      <c r="E204" s="74">
        <f t="shared" si="108"/>
        <v>0</v>
      </c>
      <c r="F204" s="74"/>
      <c r="G204" s="74">
        <f>offset(G183,0,-1)*'Get Started'!$E$35/'Get Started'!$D$35</f>
        <v>0</v>
      </c>
      <c r="H204" s="74">
        <f>offset(H183,0,-1)*'Get Started'!$E$35/'Get Started'!$D$35</f>
        <v>0</v>
      </c>
      <c r="I204" s="74">
        <f>offset(I183,0,-1)*'Get Started'!$E$35/'Get Started'!$D$35</f>
        <v>0</v>
      </c>
      <c r="J204" s="74">
        <f>offset(J183,0,-1)*'Get Started'!$E$35/'Get Started'!$D$35</f>
        <v>0</v>
      </c>
      <c r="K204" s="74">
        <f>offset(K183,0,-1)*'Get Started'!$E$35/'Get Started'!$D$35</f>
        <v>0</v>
      </c>
      <c r="L204" s="74">
        <f>offset(L183,0,-1)*'Get Started'!$E$35/'Get Started'!$D$35</f>
        <v>0</v>
      </c>
      <c r="M204" s="74">
        <f>offset(M183,0,-1)*'Get Started'!$E$35/'Get Started'!$D$35</f>
        <v>0</v>
      </c>
      <c r="N204" s="74">
        <f>offset(N183,0,-1)*'Get Started'!$E$35/'Get Started'!$D$35</f>
        <v>0</v>
      </c>
      <c r="O204" s="74">
        <f>offset(O183,0,-1)*'Get Started'!$E$35/'Get Started'!$D$35</f>
        <v>0</v>
      </c>
      <c r="P204" s="74">
        <f>offset(P183,0,-1)*'Get Started'!$E$35/'Get Started'!$D$35</f>
        <v>0</v>
      </c>
      <c r="Q204" s="74">
        <f>offset(Q183,0,-1)*'Get Started'!$E$35/'Get Started'!$D$35</f>
        <v>0</v>
      </c>
      <c r="R204" s="74">
        <f>offset(R183,0,-1)*'Get Started'!$E$35/'Get Started'!$D$35</f>
        <v>0</v>
      </c>
      <c r="S204" s="74">
        <f>offset(S183,0,-1)*'Get Started'!$E$35/'Get Started'!$D$35</f>
        <v>0</v>
      </c>
      <c r="T204" s="74">
        <f>offset(T183,0,-1)*'Get Started'!$E$35/'Get Started'!$D$35</f>
        <v>0</v>
      </c>
      <c r="U204" s="74">
        <f>offset(U183,0,-1)*'Get Started'!$E$35/'Get Started'!$D$35</f>
        <v>0</v>
      </c>
      <c r="V204" s="74">
        <f>offset(V183,0,-1)*'Get Started'!$E$35/'Get Started'!$D$35</f>
        <v>0</v>
      </c>
      <c r="W204" s="74">
        <f>offset(W183,0,-1)*'Get Started'!$E$35/'Get Started'!$D$35</f>
        <v>0</v>
      </c>
      <c r="X204" s="74">
        <f>offset(X183,0,-1)*'Get Started'!$E$35/'Get Started'!$D$35</f>
        <v>0</v>
      </c>
      <c r="Y204" s="74">
        <f>offset(Y183,0,-1)*'Get Started'!$E$35/'Get Started'!$D$35</f>
        <v>0</v>
      </c>
      <c r="Z204" s="74">
        <f>offset(Z183,0,-1)*'Get Started'!$E$35/'Get Started'!$D$35</f>
        <v>0</v>
      </c>
    </row>
    <row r="205" hidden="1" outlineLevel="1">
      <c r="B205" s="93">
        <f t="shared" si="133"/>
        <v>5</v>
      </c>
      <c r="C205" s="40"/>
      <c r="D205" s="16" t="s">
        <v>161</v>
      </c>
      <c r="E205" s="74">
        <f t="shared" si="108"/>
        <v>0</v>
      </c>
      <c r="F205" s="74"/>
      <c r="G205" s="74">
        <f>offset(G184,0,-1)*'Get Started'!$E$35/'Get Started'!$D$35</f>
        <v>0</v>
      </c>
      <c r="H205" s="74">
        <f>offset(H184,0,-1)*'Get Started'!$E$35/'Get Started'!$D$35</f>
        <v>0</v>
      </c>
      <c r="I205" s="74">
        <f>offset(I184,0,-1)*'Get Started'!$E$35/'Get Started'!$D$35</f>
        <v>0</v>
      </c>
      <c r="J205" s="74">
        <f>offset(J184,0,-1)*'Get Started'!$E$35/'Get Started'!$D$35</f>
        <v>0</v>
      </c>
      <c r="K205" s="74">
        <f>offset(K184,0,-1)*'Get Started'!$E$35/'Get Started'!$D$35</f>
        <v>0</v>
      </c>
      <c r="L205" s="74">
        <f>offset(L184,0,-1)*'Get Started'!$E$35/'Get Started'!$D$35</f>
        <v>0</v>
      </c>
      <c r="M205" s="74">
        <f>offset(M184,0,-1)*'Get Started'!$E$35/'Get Started'!$D$35</f>
        <v>0</v>
      </c>
      <c r="N205" s="74">
        <f>offset(N184,0,-1)*'Get Started'!$E$35/'Get Started'!$D$35</f>
        <v>0</v>
      </c>
      <c r="O205" s="74">
        <f>offset(O184,0,-1)*'Get Started'!$E$35/'Get Started'!$D$35</f>
        <v>0</v>
      </c>
      <c r="P205" s="74">
        <f>offset(P184,0,-1)*'Get Started'!$E$35/'Get Started'!$D$35</f>
        <v>0</v>
      </c>
      <c r="Q205" s="74">
        <f>offset(Q184,0,-1)*'Get Started'!$E$35/'Get Started'!$D$35</f>
        <v>0</v>
      </c>
      <c r="R205" s="74">
        <f>offset(R184,0,-1)*'Get Started'!$E$35/'Get Started'!$D$35</f>
        <v>0</v>
      </c>
      <c r="S205" s="74">
        <f>offset(S184,0,-1)*'Get Started'!$E$35/'Get Started'!$D$35</f>
        <v>0</v>
      </c>
      <c r="T205" s="74">
        <f>offset(T184,0,-1)*'Get Started'!$E$35/'Get Started'!$D$35</f>
        <v>0</v>
      </c>
      <c r="U205" s="74">
        <f>offset(U184,0,-1)*'Get Started'!$E$35/'Get Started'!$D$35</f>
        <v>0</v>
      </c>
      <c r="V205" s="74">
        <f>offset(V184,0,-1)*'Get Started'!$E$35/'Get Started'!$D$35</f>
        <v>0</v>
      </c>
      <c r="W205" s="74">
        <f>offset(W184,0,-1)*'Get Started'!$E$35/'Get Started'!$D$35</f>
        <v>0</v>
      </c>
      <c r="X205" s="74">
        <f>offset(X184,0,-1)*'Get Started'!$E$35/'Get Started'!$D$35</f>
        <v>0</v>
      </c>
      <c r="Y205" s="74">
        <f>offset(Y184,0,-1)*'Get Started'!$E$35/'Get Started'!$D$35</f>
        <v>0</v>
      </c>
      <c r="Z205" s="74">
        <f>offset(Z184,0,-1)*'Get Started'!$E$35/'Get Started'!$D$35</f>
        <v>0</v>
      </c>
    </row>
    <row r="206" hidden="1" outlineLevel="1">
      <c r="B206" s="93">
        <f t="shared" si="133"/>
        <v>6</v>
      </c>
      <c r="C206" s="40"/>
      <c r="D206" s="16" t="s">
        <v>161</v>
      </c>
      <c r="E206" s="74">
        <f t="shared" si="108"/>
        <v>0</v>
      </c>
      <c r="F206" s="74"/>
      <c r="G206" s="74">
        <f>offset(G185,0,-1)*'Get Started'!$E$35/'Get Started'!$D$35</f>
        <v>0</v>
      </c>
      <c r="H206" s="74">
        <f>offset(H185,0,-1)*'Get Started'!$E$35/'Get Started'!$D$35</f>
        <v>0</v>
      </c>
      <c r="I206" s="74">
        <f>offset(I185,0,-1)*'Get Started'!$E$35/'Get Started'!$D$35</f>
        <v>0</v>
      </c>
      <c r="J206" s="74">
        <f>offset(J185,0,-1)*'Get Started'!$E$35/'Get Started'!$D$35</f>
        <v>0</v>
      </c>
      <c r="K206" s="74">
        <f>offset(K185,0,-1)*'Get Started'!$E$35/'Get Started'!$D$35</f>
        <v>0</v>
      </c>
      <c r="L206" s="74">
        <f>offset(L185,0,-1)*'Get Started'!$E$35/'Get Started'!$D$35</f>
        <v>0</v>
      </c>
      <c r="M206" s="74">
        <f>offset(M185,0,-1)*'Get Started'!$E$35/'Get Started'!$D$35</f>
        <v>0</v>
      </c>
      <c r="N206" s="74">
        <f>offset(N185,0,-1)*'Get Started'!$E$35/'Get Started'!$D$35</f>
        <v>0</v>
      </c>
      <c r="O206" s="74">
        <f>offset(O185,0,-1)*'Get Started'!$E$35/'Get Started'!$D$35</f>
        <v>0</v>
      </c>
      <c r="P206" s="74">
        <f>offset(P185,0,-1)*'Get Started'!$E$35/'Get Started'!$D$35</f>
        <v>0</v>
      </c>
      <c r="Q206" s="74">
        <f>offset(Q185,0,-1)*'Get Started'!$E$35/'Get Started'!$D$35</f>
        <v>0</v>
      </c>
      <c r="R206" s="74">
        <f>offset(R185,0,-1)*'Get Started'!$E$35/'Get Started'!$D$35</f>
        <v>0</v>
      </c>
      <c r="S206" s="74">
        <f>offset(S185,0,-1)*'Get Started'!$E$35/'Get Started'!$D$35</f>
        <v>0</v>
      </c>
      <c r="T206" s="74">
        <f>offset(T185,0,-1)*'Get Started'!$E$35/'Get Started'!$D$35</f>
        <v>0</v>
      </c>
      <c r="U206" s="74">
        <f>offset(U185,0,-1)*'Get Started'!$E$35/'Get Started'!$D$35</f>
        <v>0</v>
      </c>
      <c r="V206" s="74">
        <f>offset(V185,0,-1)*'Get Started'!$E$35/'Get Started'!$D$35</f>
        <v>0</v>
      </c>
      <c r="W206" s="74">
        <f>offset(W185,0,-1)*'Get Started'!$E$35/'Get Started'!$D$35</f>
        <v>0</v>
      </c>
      <c r="X206" s="74">
        <f>offset(X185,0,-1)*'Get Started'!$E$35/'Get Started'!$D$35</f>
        <v>0</v>
      </c>
      <c r="Y206" s="74">
        <f>offset(Y185,0,-1)*'Get Started'!$E$35/'Get Started'!$D$35</f>
        <v>0</v>
      </c>
      <c r="Z206" s="74">
        <f>offset(Z185,0,-1)*'Get Started'!$E$35/'Get Started'!$D$35</f>
        <v>0</v>
      </c>
    </row>
    <row r="207" hidden="1" outlineLevel="1">
      <c r="B207" s="93">
        <f t="shared" si="133"/>
        <v>7</v>
      </c>
      <c r="C207" s="40"/>
      <c r="D207" s="16" t="s">
        <v>161</v>
      </c>
      <c r="E207" s="74">
        <f t="shared" si="108"/>
        <v>0</v>
      </c>
      <c r="F207" s="74"/>
      <c r="G207" s="74">
        <f>offset(G186,0,-1)*'Get Started'!$E$35/'Get Started'!$D$35</f>
        <v>0</v>
      </c>
      <c r="H207" s="74">
        <f>offset(H186,0,-1)*'Get Started'!$E$35/'Get Started'!$D$35</f>
        <v>0</v>
      </c>
      <c r="I207" s="74">
        <f>offset(I186,0,-1)*'Get Started'!$E$35/'Get Started'!$D$35</f>
        <v>0</v>
      </c>
      <c r="J207" s="74">
        <f>offset(J186,0,-1)*'Get Started'!$E$35/'Get Started'!$D$35</f>
        <v>0</v>
      </c>
      <c r="K207" s="74">
        <f>offset(K186,0,-1)*'Get Started'!$E$35/'Get Started'!$D$35</f>
        <v>0</v>
      </c>
      <c r="L207" s="74">
        <f>offset(L186,0,-1)*'Get Started'!$E$35/'Get Started'!$D$35</f>
        <v>0</v>
      </c>
      <c r="M207" s="74">
        <f>offset(M186,0,-1)*'Get Started'!$E$35/'Get Started'!$D$35</f>
        <v>0</v>
      </c>
      <c r="N207" s="74">
        <f>offset(N186,0,-1)*'Get Started'!$E$35/'Get Started'!$D$35</f>
        <v>0</v>
      </c>
      <c r="O207" s="74">
        <f>offset(O186,0,-1)*'Get Started'!$E$35/'Get Started'!$D$35</f>
        <v>0</v>
      </c>
      <c r="P207" s="74">
        <f>offset(P186,0,-1)*'Get Started'!$E$35/'Get Started'!$D$35</f>
        <v>0</v>
      </c>
      <c r="Q207" s="74">
        <f>offset(Q186,0,-1)*'Get Started'!$E$35/'Get Started'!$D$35</f>
        <v>0</v>
      </c>
      <c r="R207" s="74">
        <f>offset(R186,0,-1)*'Get Started'!$E$35/'Get Started'!$D$35</f>
        <v>0</v>
      </c>
      <c r="S207" s="74">
        <f>offset(S186,0,-1)*'Get Started'!$E$35/'Get Started'!$D$35</f>
        <v>0</v>
      </c>
      <c r="T207" s="74">
        <f>offset(T186,0,-1)*'Get Started'!$E$35/'Get Started'!$D$35</f>
        <v>0</v>
      </c>
      <c r="U207" s="74">
        <f>offset(U186,0,-1)*'Get Started'!$E$35/'Get Started'!$D$35</f>
        <v>0</v>
      </c>
      <c r="V207" s="74">
        <f>offset(V186,0,-1)*'Get Started'!$E$35/'Get Started'!$D$35</f>
        <v>0</v>
      </c>
      <c r="W207" s="74">
        <f>offset(W186,0,-1)*'Get Started'!$E$35/'Get Started'!$D$35</f>
        <v>0</v>
      </c>
      <c r="X207" s="74">
        <f>offset(X186,0,-1)*'Get Started'!$E$35/'Get Started'!$D$35</f>
        <v>0</v>
      </c>
      <c r="Y207" s="74">
        <f>offset(Y186,0,-1)*'Get Started'!$E$35/'Get Started'!$D$35</f>
        <v>0</v>
      </c>
      <c r="Z207" s="74">
        <f>offset(Z186,0,-1)*'Get Started'!$E$35/'Get Started'!$D$35</f>
        <v>0</v>
      </c>
    </row>
    <row r="208" hidden="1" outlineLevel="1">
      <c r="B208" s="93">
        <f t="shared" si="133"/>
        <v>8</v>
      </c>
      <c r="C208" s="40"/>
      <c r="D208" s="16" t="s">
        <v>161</v>
      </c>
      <c r="E208" s="74">
        <f t="shared" si="108"/>
        <v>0</v>
      </c>
      <c r="F208" s="74"/>
      <c r="G208" s="74">
        <f>offset(G187,0,-1)*'Get Started'!$E$35/'Get Started'!$D$35</f>
        <v>0</v>
      </c>
      <c r="H208" s="74">
        <f>offset(H187,0,-1)*'Get Started'!$E$35/'Get Started'!$D$35</f>
        <v>0</v>
      </c>
      <c r="I208" s="74">
        <f>offset(I187,0,-1)*'Get Started'!$E$35/'Get Started'!$D$35</f>
        <v>0</v>
      </c>
      <c r="J208" s="74">
        <f>offset(J187,0,-1)*'Get Started'!$E$35/'Get Started'!$D$35</f>
        <v>0</v>
      </c>
      <c r="K208" s="74">
        <f>offset(K187,0,-1)*'Get Started'!$E$35/'Get Started'!$D$35</f>
        <v>0</v>
      </c>
      <c r="L208" s="74">
        <f>offset(L187,0,-1)*'Get Started'!$E$35/'Get Started'!$D$35</f>
        <v>0</v>
      </c>
      <c r="M208" s="74">
        <f>offset(M187,0,-1)*'Get Started'!$E$35/'Get Started'!$D$35</f>
        <v>0</v>
      </c>
      <c r="N208" s="74">
        <f>offset(N187,0,-1)*'Get Started'!$E$35/'Get Started'!$D$35</f>
        <v>0</v>
      </c>
      <c r="O208" s="74">
        <f>offset(O187,0,-1)*'Get Started'!$E$35/'Get Started'!$D$35</f>
        <v>0</v>
      </c>
      <c r="P208" s="74">
        <f>offset(P187,0,-1)*'Get Started'!$E$35/'Get Started'!$D$35</f>
        <v>0</v>
      </c>
      <c r="Q208" s="74">
        <f>offset(Q187,0,-1)*'Get Started'!$E$35/'Get Started'!$D$35</f>
        <v>0</v>
      </c>
      <c r="R208" s="74">
        <f>offset(R187,0,-1)*'Get Started'!$E$35/'Get Started'!$D$35</f>
        <v>0</v>
      </c>
      <c r="S208" s="74">
        <f>offset(S187,0,-1)*'Get Started'!$E$35/'Get Started'!$D$35</f>
        <v>0</v>
      </c>
      <c r="T208" s="74">
        <f>offset(T187,0,-1)*'Get Started'!$E$35/'Get Started'!$D$35</f>
        <v>0</v>
      </c>
      <c r="U208" s="74">
        <f>offset(U187,0,-1)*'Get Started'!$E$35/'Get Started'!$D$35</f>
        <v>0</v>
      </c>
      <c r="V208" s="74">
        <f>offset(V187,0,-1)*'Get Started'!$E$35/'Get Started'!$D$35</f>
        <v>0</v>
      </c>
      <c r="W208" s="74">
        <f>offset(W187,0,-1)*'Get Started'!$E$35/'Get Started'!$D$35</f>
        <v>0</v>
      </c>
      <c r="X208" s="74">
        <f>offset(X187,0,-1)*'Get Started'!$E$35/'Get Started'!$D$35</f>
        <v>0</v>
      </c>
      <c r="Y208" s="74">
        <f>offset(Y187,0,-1)*'Get Started'!$E$35/'Get Started'!$D$35</f>
        <v>0</v>
      </c>
      <c r="Z208" s="74">
        <f>offset(Z187,0,-1)*'Get Started'!$E$35/'Get Started'!$D$35</f>
        <v>0</v>
      </c>
    </row>
    <row r="209" hidden="1" outlineLevel="1">
      <c r="B209" s="93">
        <f t="shared" si="133"/>
        <v>9</v>
      </c>
      <c r="C209" s="40"/>
      <c r="D209" s="16" t="s">
        <v>161</v>
      </c>
      <c r="E209" s="74">
        <f t="shared" si="108"/>
        <v>0</v>
      </c>
      <c r="F209" s="74"/>
      <c r="G209" s="74">
        <f>offset(G188,0,-1)*'Get Started'!$E$35/'Get Started'!$D$35</f>
        <v>0</v>
      </c>
      <c r="H209" s="74">
        <f>offset(H188,0,-1)*'Get Started'!$E$35/'Get Started'!$D$35</f>
        <v>0</v>
      </c>
      <c r="I209" s="74">
        <f>offset(I188,0,-1)*'Get Started'!$E$35/'Get Started'!$D$35</f>
        <v>0</v>
      </c>
      <c r="J209" s="74">
        <f>offset(J188,0,-1)*'Get Started'!$E$35/'Get Started'!$D$35</f>
        <v>0</v>
      </c>
      <c r="K209" s="74">
        <f>offset(K188,0,-1)*'Get Started'!$E$35/'Get Started'!$D$35</f>
        <v>0</v>
      </c>
      <c r="L209" s="74">
        <f>offset(L188,0,-1)*'Get Started'!$E$35/'Get Started'!$D$35</f>
        <v>0</v>
      </c>
      <c r="M209" s="74">
        <f>offset(M188,0,-1)*'Get Started'!$E$35/'Get Started'!$D$35</f>
        <v>0</v>
      </c>
      <c r="N209" s="74">
        <f>offset(N188,0,-1)*'Get Started'!$E$35/'Get Started'!$D$35</f>
        <v>0</v>
      </c>
      <c r="O209" s="74">
        <f>offset(O188,0,-1)*'Get Started'!$E$35/'Get Started'!$D$35</f>
        <v>0</v>
      </c>
      <c r="P209" s="74">
        <f>offset(P188,0,-1)*'Get Started'!$E$35/'Get Started'!$D$35</f>
        <v>0</v>
      </c>
      <c r="Q209" s="74">
        <f>offset(Q188,0,-1)*'Get Started'!$E$35/'Get Started'!$D$35</f>
        <v>0</v>
      </c>
      <c r="R209" s="74">
        <f>offset(R188,0,-1)*'Get Started'!$E$35/'Get Started'!$D$35</f>
        <v>0</v>
      </c>
      <c r="S209" s="74">
        <f>offset(S188,0,-1)*'Get Started'!$E$35/'Get Started'!$D$35</f>
        <v>0</v>
      </c>
      <c r="T209" s="74">
        <f>offset(T188,0,-1)*'Get Started'!$E$35/'Get Started'!$D$35</f>
        <v>0</v>
      </c>
      <c r="U209" s="74">
        <f>offset(U188,0,-1)*'Get Started'!$E$35/'Get Started'!$D$35</f>
        <v>0</v>
      </c>
      <c r="V209" s="74">
        <f>offset(V188,0,-1)*'Get Started'!$E$35/'Get Started'!$D$35</f>
        <v>0</v>
      </c>
      <c r="W209" s="74">
        <f>offset(W188,0,-1)*'Get Started'!$E$35/'Get Started'!$D$35</f>
        <v>0</v>
      </c>
      <c r="X209" s="74">
        <f>offset(X188,0,-1)*'Get Started'!$E$35/'Get Started'!$D$35</f>
        <v>0</v>
      </c>
      <c r="Y209" s="74">
        <f>offset(Y188,0,-1)*'Get Started'!$E$35/'Get Started'!$D$35</f>
        <v>0</v>
      </c>
      <c r="Z209" s="74">
        <f>offset(Z188,0,-1)*'Get Started'!$E$35/'Get Started'!$D$35</f>
        <v>0</v>
      </c>
    </row>
    <row r="210" hidden="1" outlineLevel="1">
      <c r="B210" s="93">
        <f t="shared" si="133"/>
        <v>10</v>
      </c>
      <c r="C210" s="40"/>
      <c r="D210" s="16" t="s">
        <v>161</v>
      </c>
      <c r="E210" s="74">
        <f t="shared" si="108"/>
        <v>0</v>
      </c>
      <c r="F210" s="74"/>
      <c r="G210" s="74">
        <f>offset(G189,0,-1)*'Get Started'!$E$35/'Get Started'!$D$35</f>
        <v>0</v>
      </c>
      <c r="H210" s="74">
        <f>offset(H189,0,-1)*'Get Started'!$E$35/'Get Started'!$D$35</f>
        <v>0</v>
      </c>
      <c r="I210" s="74">
        <f>offset(I189,0,-1)*'Get Started'!$E$35/'Get Started'!$D$35</f>
        <v>0</v>
      </c>
      <c r="J210" s="74">
        <f>offset(J189,0,-1)*'Get Started'!$E$35/'Get Started'!$D$35</f>
        <v>0</v>
      </c>
      <c r="K210" s="74">
        <f>offset(K189,0,-1)*'Get Started'!$E$35/'Get Started'!$D$35</f>
        <v>0</v>
      </c>
      <c r="L210" s="74">
        <f>offset(L189,0,-1)*'Get Started'!$E$35/'Get Started'!$D$35</f>
        <v>0</v>
      </c>
      <c r="M210" s="74">
        <f>offset(M189,0,-1)*'Get Started'!$E$35/'Get Started'!$D$35</f>
        <v>0</v>
      </c>
      <c r="N210" s="74">
        <f>offset(N189,0,-1)*'Get Started'!$E$35/'Get Started'!$D$35</f>
        <v>0</v>
      </c>
      <c r="O210" s="74">
        <f>offset(O189,0,-1)*'Get Started'!$E$35/'Get Started'!$D$35</f>
        <v>0</v>
      </c>
      <c r="P210" s="74">
        <f>offset(P189,0,-1)*'Get Started'!$E$35/'Get Started'!$D$35</f>
        <v>0</v>
      </c>
      <c r="Q210" s="74">
        <f>offset(Q189,0,-1)*'Get Started'!$E$35/'Get Started'!$D$35</f>
        <v>0</v>
      </c>
      <c r="R210" s="74">
        <f>offset(R189,0,-1)*'Get Started'!$E$35/'Get Started'!$D$35</f>
        <v>0</v>
      </c>
      <c r="S210" s="74">
        <f>offset(S189,0,-1)*'Get Started'!$E$35/'Get Started'!$D$35</f>
        <v>0</v>
      </c>
      <c r="T210" s="74">
        <f>offset(T189,0,-1)*'Get Started'!$E$35/'Get Started'!$D$35</f>
        <v>0</v>
      </c>
      <c r="U210" s="74">
        <f>offset(U189,0,-1)*'Get Started'!$E$35/'Get Started'!$D$35</f>
        <v>0</v>
      </c>
      <c r="V210" s="74">
        <f>offset(V189,0,-1)*'Get Started'!$E$35/'Get Started'!$D$35</f>
        <v>0</v>
      </c>
      <c r="W210" s="74">
        <f>offset(W189,0,-1)*'Get Started'!$E$35/'Get Started'!$D$35</f>
        <v>0</v>
      </c>
      <c r="X210" s="74">
        <f>offset(X189,0,-1)*'Get Started'!$E$35/'Get Started'!$D$35</f>
        <v>0</v>
      </c>
      <c r="Y210" s="74">
        <f>offset(Y189,0,-1)*'Get Started'!$E$35/'Get Started'!$D$35</f>
        <v>0</v>
      </c>
      <c r="Z210" s="74">
        <f>offset(Z189,0,-1)*'Get Started'!$E$35/'Get Started'!$D$35</f>
        <v>0</v>
      </c>
    </row>
    <row r="211" hidden="1" outlineLevel="1">
      <c r="B211" s="93">
        <f t="shared" si="133"/>
        <v>11</v>
      </c>
      <c r="C211" s="40"/>
      <c r="D211" s="16" t="s">
        <v>161</v>
      </c>
      <c r="E211" s="74">
        <f t="shared" si="108"/>
        <v>0</v>
      </c>
      <c r="F211" s="74"/>
      <c r="G211" s="74">
        <f>offset(G190,0,-1)*'Get Started'!$E$35/'Get Started'!$D$35</f>
        <v>0</v>
      </c>
      <c r="H211" s="74">
        <f>offset(H190,0,-1)*'Get Started'!$E$35/'Get Started'!$D$35</f>
        <v>0</v>
      </c>
      <c r="I211" s="74">
        <f>offset(I190,0,-1)*'Get Started'!$E$35/'Get Started'!$D$35</f>
        <v>0</v>
      </c>
      <c r="J211" s="74">
        <f>offset(J190,0,-1)*'Get Started'!$E$35/'Get Started'!$D$35</f>
        <v>0</v>
      </c>
      <c r="K211" s="74">
        <f>offset(K190,0,-1)*'Get Started'!$E$35/'Get Started'!$D$35</f>
        <v>0</v>
      </c>
      <c r="L211" s="74">
        <f>offset(L190,0,-1)*'Get Started'!$E$35/'Get Started'!$D$35</f>
        <v>0</v>
      </c>
      <c r="M211" s="74">
        <f>offset(M190,0,-1)*'Get Started'!$E$35/'Get Started'!$D$35</f>
        <v>0</v>
      </c>
      <c r="N211" s="74">
        <f>offset(N190,0,-1)*'Get Started'!$E$35/'Get Started'!$D$35</f>
        <v>0</v>
      </c>
      <c r="O211" s="74">
        <f>offset(O190,0,-1)*'Get Started'!$E$35/'Get Started'!$D$35</f>
        <v>0</v>
      </c>
      <c r="P211" s="74">
        <f>offset(P190,0,-1)*'Get Started'!$E$35/'Get Started'!$D$35</f>
        <v>0</v>
      </c>
      <c r="Q211" s="74">
        <f>offset(Q190,0,-1)*'Get Started'!$E$35/'Get Started'!$D$35</f>
        <v>0</v>
      </c>
      <c r="R211" s="74">
        <f>offset(R190,0,-1)*'Get Started'!$E$35/'Get Started'!$D$35</f>
        <v>0</v>
      </c>
      <c r="S211" s="74">
        <f>offset(S190,0,-1)*'Get Started'!$E$35/'Get Started'!$D$35</f>
        <v>0</v>
      </c>
      <c r="T211" s="74">
        <f>offset(T190,0,-1)*'Get Started'!$E$35/'Get Started'!$D$35</f>
        <v>0</v>
      </c>
      <c r="U211" s="74">
        <f>offset(U190,0,-1)*'Get Started'!$E$35/'Get Started'!$D$35</f>
        <v>0</v>
      </c>
      <c r="V211" s="74">
        <f>offset(V190,0,-1)*'Get Started'!$E$35/'Get Started'!$D$35</f>
        <v>0</v>
      </c>
      <c r="W211" s="74">
        <f>offset(W190,0,-1)*'Get Started'!$E$35/'Get Started'!$D$35</f>
        <v>0</v>
      </c>
      <c r="X211" s="74">
        <f>offset(X190,0,-1)*'Get Started'!$E$35/'Get Started'!$D$35</f>
        <v>0</v>
      </c>
      <c r="Y211" s="74">
        <f>offset(Y190,0,-1)*'Get Started'!$E$35/'Get Started'!$D$35</f>
        <v>0</v>
      </c>
      <c r="Z211" s="74">
        <f>offset(Z190,0,-1)*'Get Started'!$E$35/'Get Started'!$D$35</f>
        <v>0</v>
      </c>
    </row>
    <row r="212" hidden="1" outlineLevel="1">
      <c r="B212" s="93">
        <f t="shared" si="133"/>
        <v>12</v>
      </c>
      <c r="C212" s="40"/>
      <c r="D212" s="16" t="s">
        <v>161</v>
      </c>
      <c r="E212" s="74">
        <f t="shared" si="108"/>
        <v>0</v>
      </c>
      <c r="F212" s="74"/>
      <c r="G212" s="74">
        <f>offset(G191,0,-1)*'Get Started'!$E$35/'Get Started'!$D$35</f>
        <v>0</v>
      </c>
      <c r="H212" s="74">
        <f>offset(H191,0,-1)*'Get Started'!$E$35/'Get Started'!$D$35</f>
        <v>0</v>
      </c>
      <c r="I212" s="74">
        <f>offset(I191,0,-1)*'Get Started'!$E$35/'Get Started'!$D$35</f>
        <v>0</v>
      </c>
      <c r="J212" s="74">
        <f>offset(J191,0,-1)*'Get Started'!$E$35/'Get Started'!$D$35</f>
        <v>0</v>
      </c>
      <c r="K212" s="74">
        <f>offset(K191,0,-1)*'Get Started'!$E$35/'Get Started'!$D$35</f>
        <v>0</v>
      </c>
      <c r="L212" s="74">
        <f>offset(L191,0,-1)*'Get Started'!$E$35/'Get Started'!$D$35</f>
        <v>0</v>
      </c>
      <c r="M212" s="74">
        <f>offset(M191,0,-1)*'Get Started'!$E$35/'Get Started'!$D$35</f>
        <v>0</v>
      </c>
      <c r="N212" s="74">
        <f>offset(N191,0,-1)*'Get Started'!$E$35/'Get Started'!$D$35</f>
        <v>0</v>
      </c>
      <c r="O212" s="74">
        <f>offset(O191,0,-1)*'Get Started'!$E$35/'Get Started'!$D$35</f>
        <v>0</v>
      </c>
      <c r="P212" s="74">
        <f>offset(P191,0,-1)*'Get Started'!$E$35/'Get Started'!$D$35</f>
        <v>0</v>
      </c>
      <c r="Q212" s="74">
        <f>offset(Q191,0,-1)*'Get Started'!$E$35/'Get Started'!$D$35</f>
        <v>0</v>
      </c>
      <c r="R212" s="74">
        <f>offset(R191,0,-1)*'Get Started'!$E$35/'Get Started'!$D$35</f>
        <v>0</v>
      </c>
      <c r="S212" s="74">
        <f>offset(S191,0,-1)*'Get Started'!$E$35/'Get Started'!$D$35</f>
        <v>0</v>
      </c>
      <c r="T212" s="74">
        <f>offset(T191,0,-1)*'Get Started'!$E$35/'Get Started'!$D$35</f>
        <v>0</v>
      </c>
      <c r="U212" s="74">
        <f>offset(U191,0,-1)*'Get Started'!$E$35/'Get Started'!$D$35</f>
        <v>0</v>
      </c>
      <c r="V212" s="74">
        <f>offset(V191,0,-1)*'Get Started'!$E$35/'Get Started'!$D$35</f>
        <v>0</v>
      </c>
      <c r="W212" s="74">
        <f>offset(W191,0,-1)*'Get Started'!$E$35/'Get Started'!$D$35</f>
        <v>0</v>
      </c>
      <c r="X212" s="74">
        <f>offset(X191,0,-1)*'Get Started'!$E$35/'Get Started'!$D$35</f>
        <v>0</v>
      </c>
      <c r="Y212" s="74">
        <f>offset(Y191,0,-1)*'Get Started'!$E$35/'Get Started'!$D$35</f>
        <v>0</v>
      </c>
      <c r="Z212" s="74">
        <f>offset(Z191,0,-1)*'Get Started'!$E$35/'Get Started'!$D$35</f>
        <v>0</v>
      </c>
    </row>
    <row r="213" hidden="1" outlineLevel="1">
      <c r="B213" s="93">
        <f t="shared" si="133"/>
        <v>13</v>
      </c>
      <c r="C213" s="40"/>
      <c r="D213" s="16" t="s">
        <v>161</v>
      </c>
      <c r="E213" s="74">
        <f t="shared" si="108"/>
        <v>0</v>
      </c>
      <c r="F213" s="74"/>
      <c r="G213" s="74">
        <f>offset(G192,0,-1)*'Get Started'!$E$35/'Get Started'!$D$35</f>
        <v>0</v>
      </c>
      <c r="H213" s="74">
        <f>offset(H192,0,-1)*'Get Started'!$E$35/'Get Started'!$D$35</f>
        <v>0</v>
      </c>
      <c r="I213" s="74">
        <f>offset(I192,0,-1)*'Get Started'!$E$35/'Get Started'!$D$35</f>
        <v>0</v>
      </c>
      <c r="J213" s="74">
        <f>offset(J192,0,-1)*'Get Started'!$E$35/'Get Started'!$D$35</f>
        <v>0</v>
      </c>
      <c r="K213" s="74">
        <f>offset(K192,0,-1)*'Get Started'!$E$35/'Get Started'!$D$35</f>
        <v>0</v>
      </c>
      <c r="L213" s="74">
        <f>offset(L192,0,-1)*'Get Started'!$E$35/'Get Started'!$D$35</f>
        <v>0</v>
      </c>
      <c r="M213" s="74">
        <f>offset(M192,0,-1)*'Get Started'!$E$35/'Get Started'!$D$35</f>
        <v>0</v>
      </c>
      <c r="N213" s="74">
        <f>offset(N192,0,-1)*'Get Started'!$E$35/'Get Started'!$D$35</f>
        <v>0</v>
      </c>
      <c r="O213" s="74">
        <f>offset(O192,0,-1)*'Get Started'!$E$35/'Get Started'!$D$35</f>
        <v>0</v>
      </c>
      <c r="P213" s="74">
        <f>offset(P192,0,-1)*'Get Started'!$E$35/'Get Started'!$D$35</f>
        <v>0</v>
      </c>
      <c r="Q213" s="74">
        <f>offset(Q192,0,-1)*'Get Started'!$E$35/'Get Started'!$D$35</f>
        <v>0</v>
      </c>
      <c r="R213" s="74">
        <f>offset(R192,0,-1)*'Get Started'!$E$35/'Get Started'!$D$35</f>
        <v>0</v>
      </c>
      <c r="S213" s="74">
        <f>offset(S192,0,-1)*'Get Started'!$E$35/'Get Started'!$D$35</f>
        <v>0</v>
      </c>
      <c r="T213" s="74">
        <f>offset(T192,0,-1)*'Get Started'!$E$35/'Get Started'!$D$35</f>
        <v>0</v>
      </c>
      <c r="U213" s="74">
        <f>offset(U192,0,-1)*'Get Started'!$E$35/'Get Started'!$D$35</f>
        <v>0</v>
      </c>
      <c r="V213" s="74">
        <f>offset(V192,0,-1)*'Get Started'!$E$35/'Get Started'!$D$35</f>
        <v>0</v>
      </c>
      <c r="W213" s="74">
        <f>offset(W192,0,-1)*'Get Started'!$E$35/'Get Started'!$D$35</f>
        <v>0</v>
      </c>
      <c r="X213" s="74">
        <f>offset(X192,0,-1)*'Get Started'!$E$35/'Get Started'!$D$35</f>
        <v>0</v>
      </c>
      <c r="Y213" s="74">
        <f>offset(Y192,0,-1)*'Get Started'!$E$35/'Get Started'!$D$35</f>
        <v>0</v>
      </c>
      <c r="Z213" s="74">
        <f>offset(Z192,0,-1)*'Get Started'!$E$35/'Get Started'!$D$35</f>
        <v>0</v>
      </c>
    </row>
    <row r="214" hidden="1" outlineLevel="1">
      <c r="B214" s="93">
        <f t="shared" si="133"/>
        <v>14</v>
      </c>
      <c r="C214" s="40"/>
      <c r="D214" s="16" t="s">
        <v>161</v>
      </c>
      <c r="E214" s="74">
        <f t="shared" si="108"/>
        <v>0</v>
      </c>
      <c r="F214" s="74"/>
      <c r="G214" s="74">
        <f>offset(G193,0,-1)*'Get Started'!$E$35/'Get Started'!$D$35</f>
        <v>0</v>
      </c>
      <c r="H214" s="74">
        <f>offset(H193,0,-1)*'Get Started'!$E$35/'Get Started'!$D$35</f>
        <v>0</v>
      </c>
      <c r="I214" s="74">
        <f>offset(I193,0,-1)*'Get Started'!$E$35/'Get Started'!$D$35</f>
        <v>0</v>
      </c>
      <c r="J214" s="74">
        <f>offset(J193,0,-1)*'Get Started'!$E$35/'Get Started'!$D$35</f>
        <v>0</v>
      </c>
      <c r="K214" s="74">
        <f>offset(K193,0,-1)*'Get Started'!$E$35/'Get Started'!$D$35</f>
        <v>0</v>
      </c>
      <c r="L214" s="74">
        <f>offset(L193,0,-1)*'Get Started'!$E$35/'Get Started'!$D$35</f>
        <v>0</v>
      </c>
      <c r="M214" s="74">
        <f>offset(M193,0,-1)*'Get Started'!$E$35/'Get Started'!$D$35</f>
        <v>0</v>
      </c>
      <c r="N214" s="74">
        <f>offset(N193,0,-1)*'Get Started'!$E$35/'Get Started'!$D$35</f>
        <v>0</v>
      </c>
      <c r="O214" s="74">
        <f>offset(O193,0,-1)*'Get Started'!$E$35/'Get Started'!$D$35</f>
        <v>0</v>
      </c>
      <c r="P214" s="74">
        <f>offset(P193,0,-1)*'Get Started'!$E$35/'Get Started'!$D$35</f>
        <v>0</v>
      </c>
      <c r="Q214" s="74">
        <f>offset(Q193,0,-1)*'Get Started'!$E$35/'Get Started'!$D$35</f>
        <v>0</v>
      </c>
      <c r="R214" s="74">
        <f>offset(R193,0,-1)*'Get Started'!$E$35/'Get Started'!$D$35</f>
        <v>0</v>
      </c>
      <c r="S214" s="74">
        <f>offset(S193,0,-1)*'Get Started'!$E$35/'Get Started'!$D$35</f>
        <v>0</v>
      </c>
      <c r="T214" s="74">
        <f>offset(T193,0,-1)*'Get Started'!$E$35/'Get Started'!$D$35</f>
        <v>0</v>
      </c>
      <c r="U214" s="74">
        <f>offset(U193,0,-1)*'Get Started'!$E$35/'Get Started'!$D$35</f>
        <v>0</v>
      </c>
      <c r="V214" s="74">
        <f>offset(V193,0,-1)*'Get Started'!$E$35/'Get Started'!$D$35</f>
        <v>0</v>
      </c>
      <c r="W214" s="74">
        <f>offset(W193,0,-1)*'Get Started'!$E$35/'Get Started'!$D$35</f>
        <v>0</v>
      </c>
      <c r="X214" s="74">
        <f>offset(X193,0,-1)*'Get Started'!$E$35/'Get Started'!$D$35</f>
        <v>0</v>
      </c>
      <c r="Y214" s="74">
        <f>offset(Y193,0,-1)*'Get Started'!$E$35/'Get Started'!$D$35</f>
        <v>0</v>
      </c>
      <c r="Z214" s="74">
        <f>offset(Z193,0,-1)*'Get Started'!$E$35/'Get Started'!$D$35</f>
        <v>0</v>
      </c>
    </row>
    <row r="215" hidden="1" outlineLevel="1">
      <c r="B215" s="93">
        <f t="shared" si="133"/>
        <v>15</v>
      </c>
      <c r="C215" s="40"/>
      <c r="D215" s="16" t="s">
        <v>161</v>
      </c>
      <c r="E215" s="74">
        <f t="shared" si="108"/>
        <v>0</v>
      </c>
      <c r="F215" s="74"/>
      <c r="G215" s="74">
        <f>offset(G194,0,-1)*'Get Started'!$E$35/'Get Started'!$D$35</f>
        <v>0</v>
      </c>
      <c r="H215" s="74">
        <f>offset(H194,0,-1)*'Get Started'!$E$35/'Get Started'!$D$35</f>
        <v>0</v>
      </c>
      <c r="I215" s="74">
        <f>offset(I194,0,-1)*'Get Started'!$E$35/'Get Started'!$D$35</f>
        <v>0</v>
      </c>
      <c r="J215" s="74">
        <f>offset(J194,0,-1)*'Get Started'!$E$35/'Get Started'!$D$35</f>
        <v>0</v>
      </c>
      <c r="K215" s="74">
        <f>offset(K194,0,-1)*'Get Started'!$E$35/'Get Started'!$D$35</f>
        <v>0</v>
      </c>
      <c r="L215" s="74">
        <f>offset(L194,0,-1)*'Get Started'!$E$35/'Get Started'!$D$35</f>
        <v>0</v>
      </c>
      <c r="M215" s="74">
        <f>offset(M194,0,-1)*'Get Started'!$E$35/'Get Started'!$D$35</f>
        <v>0</v>
      </c>
      <c r="N215" s="74">
        <f>offset(N194,0,-1)*'Get Started'!$E$35/'Get Started'!$D$35</f>
        <v>0</v>
      </c>
      <c r="O215" s="74">
        <f>offset(O194,0,-1)*'Get Started'!$E$35/'Get Started'!$D$35</f>
        <v>0</v>
      </c>
      <c r="P215" s="74">
        <f>offset(P194,0,-1)*'Get Started'!$E$35/'Get Started'!$D$35</f>
        <v>0</v>
      </c>
      <c r="Q215" s="74">
        <f>offset(Q194,0,-1)*'Get Started'!$E$35/'Get Started'!$D$35</f>
        <v>0</v>
      </c>
      <c r="R215" s="74">
        <f>offset(R194,0,-1)*'Get Started'!$E$35/'Get Started'!$D$35</f>
        <v>0</v>
      </c>
      <c r="S215" s="74">
        <f>offset(S194,0,-1)*'Get Started'!$E$35/'Get Started'!$D$35</f>
        <v>0</v>
      </c>
      <c r="T215" s="74">
        <f>offset(T194,0,-1)*'Get Started'!$E$35/'Get Started'!$D$35</f>
        <v>0</v>
      </c>
      <c r="U215" s="74">
        <f>offset(U194,0,-1)*'Get Started'!$E$35/'Get Started'!$D$35</f>
        <v>0</v>
      </c>
      <c r="V215" s="74">
        <f>offset(V194,0,-1)*'Get Started'!$E$35/'Get Started'!$D$35</f>
        <v>0</v>
      </c>
      <c r="W215" s="74">
        <f>offset(W194,0,-1)*'Get Started'!$E$35/'Get Started'!$D$35</f>
        <v>0</v>
      </c>
      <c r="X215" s="74">
        <f>offset(X194,0,-1)*'Get Started'!$E$35/'Get Started'!$D$35</f>
        <v>0</v>
      </c>
      <c r="Y215" s="74">
        <f>offset(Y194,0,-1)*'Get Started'!$E$35/'Get Started'!$D$35</f>
        <v>0</v>
      </c>
      <c r="Z215" s="74">
        <f>offset(Z194,0,-1)*'Get Started'!$E$35/'Get Started'!$D$35</f>
        <v>0</v>
      </c>
    </row>
    <row r="216" hidden="1" outlineLevel="1">
      <c r="B216" s="93">
        <f t="shared" si="133"/>
        <v>16</v>
      </c>
      <c r="C216" s="40"/>
      <c r="D216" s="16" t="s">
        <v>161</v>
      </c>
      <c r="E216" s="74">
        <f t="shared" si="108"/>
        <v>0</v>
      </c>
      <c r="F216" s="74"/>
      <c r="G216" s="74">
        <f>offset(G195,0,-1)*'Get Started'!$E$35/'Get Started'!$D$35</f>
        <v>0</v>
      </c>
      <c r="H216" s="74">
        <f>offset(H195,0,-1)*'Get Started'!$E$35/'Get Started'!$D$35</f>
        <v>0</v>
      </c>
      <c r="I216" s="74">
        <f>offset(I195,0,-1)*'Get Started'!$E$35/'Get Started'!$D$35</f>
        <v>0</v>
      </c>
      <c r="J216" s="74">
        <f>offset(J195,0,-1)*'Get Started'!$E$35/'Get Started'!$D$35</f>
        <v>0</v>
      </c>
      <c r="K216" s="74">
        <f>offset(K195,0,-1)*'Get Started'!$E$35/'Get Started'!$D$35</f>
        <v>0</v>
      </c>
      <c r="L216" s="74">
        <f>offset(L195,0,-1)*'Get Started'!$E$35/'Get Started'!$D$35</f>
        <v>0</v>
      </c>
      <c r="M216" s="74">
        <f>offset(M195,0,-1)*'Get Started'!$E$35/'Get Started'!$D$35</f>
        <v>0</v>
      </c>
      <c r="N216" s="74">
        <f>offset(N195,0,-1)*'Get Started'!$E$35/'Get Started'!$D$35</f>
        <v>0</v>
      </c>
      <c r="O216" s="74">
        <f>offset(O195,0,-1)*'Get Started'!$E$35/'Get Started'!$D$35</f>
        <v>0</v>
      </c>
      <c r="P216" s="74">
        <f>offset(P195,0,-1)*'Get Started'!$E$35/'Get Started'!$D$35</f>
        <v>0</v>
      </c>
      <c r="Q216" s="74">
        <f>offset(Q195,0,-1)*'Get Started'!$E$35/'Get Started'!$D$35</f>
        <v>0</v>
      </c>
      <c r="R216" s="74">
        <f>offset(R195,0,-1)*'Get Started'!$E$35/'Get Started'!$D$35</f>
        <v>0</v>
      </c>
      <c r="S216" s="74">
        <f>offset(S195,0,-1)*'Get Started'!$E$35/'Get Started'!$D$35</f>
        <v>0</v>
      </c>
      <c r="T216" s="74">
        <f>offset(T195,0,-1)*'Get Started'!$E$35/'Get Started'!$D$35</f>
        <v>0</v>
      </c>
      <c r="U216" s="74">
        <f>offset(U195,0,-1)*'Get Started'!$E$35/'Get Started'!$D$35</f>
        <v>0</v>
      </c>
      <c r="V216" s="74">
        <f>offset(V195,0,-1)*'Get Started'!$E$35/'Get Started'!$D$35</f>
        <v>0</v>
      </c>
      <c r="W216" s="74">
        <f>offset(W195,0,-1)*'Get Started'!$E$35/'Get Started'!$D$35</f>
        <v>0</v>
      </c>
      <c r="X216" s="74">
        <f>offset(X195,0,-1)*'Get Started'!$E$35/'Get Started'!$D$35</f>
        <v>0</v>
      </c>
      <c r="Y216" s="74">
        <f>offset(Y195,0,-1)*'Get Started'!$E$35/'Get Started'!$D$35</f>
        <v>0</v>
      </c>
      <c r="Z216" s="74">
        <f>offset(Z195,0,-1)*'Get Started'!$E$35/'Get Started'!$D$35</f>
        <v>0</v>
      </c>
    </row>
    <row r="217" hidden="1" outlineLevel="1">
      <c r="B217" s="93">
        <f t="shared" si="133"/>
        <v>17</v>
      </c>
      <c r="C217" s="40"/>
      <c r="D217" s="16" t="s">
        <v>161</v>
      </c>
      <c r="E217" s="74">
        <f t="shared" si="108"/>
        <v>0</v>
      </c>
      <c r="F217" s="74"/>
      <c r="G217" s="74">
        <f>offset(G196,0,-1)*'Get Started'!$E$35/'Get Started'!$D$35</f>
        <v>0</v>
      </c>
      <c r="H217" s="74">
        <f>offset(H196,0,-1)*'Get Started'!$E$35/'Get Started'!$D$35</f>
        <v>0</v>
      </c>
      <c r="I217" s="74">
        <f>offset(I196,0,-1)*'Get Started'!$E$35/'Get Started'!$D$35</f>
        <v>0</v>
      </c>
      <c r="J217" s="74">
        <f>offset(J196,0,-1)*'Get Started'!$E$35/'Get Started'!$D$35</f>
        <v>0</v>
      </c>
      <c r="K217" s="74">
        <f>offset(K196,0,-1)*'Get Started'!$E$35/'Get Started'!$D$35</f>
        <v>0</v>
      </c>
      <c r="L217" s="74">
        <f>offset(L196,0,-1)*'Get Started'!$E$35/'Get Started'!$D$35</f>
        <v>0</v>
      </c>
      <c r="M217" s="74">
        <f>offset(M196,0,-1)*'Get Started'!$E$35/'Get Started'!$D$35</f>
        <v>0</v>
      </c>
      <c r="N217" s="74">
        <f>offset(N196,0,-1)*'Get Started'!$E$35/'Get Started'!$D$35</f>
        <v>0</v>
      </c>
      <c r="O217" s="74">
        <f>offset(O196,0,-1)*'Get Started'!$E$35/'Get Started'!$D$35</f>
        <v>0</v>
      </c>
      <c r="P217" s="74">
        <f>offset(P196,0,-1)*'Get Started'!$E$35/'Get Started'!$D$35</f>
        <v>0</v>
      </c>
      <c r="Q217" s="74">
        <f>offset(Q196,0,-1)*'Get Started'!$E$35/'Get Started'!$D$35</f>
        <v>0</v>
      </c>
      <c r="R217" s="74">
        <f>offset(R196,0,-1)*'Get Started'!$E$35/'Get Started'!$D$35</f>
        <v>0</v>
      </c>
      <c r="S217" s="74">
        <f>offset(S196,0,-1)*'Get Started'!$E$35/'Get Started'!$D$35</f>
        <v>0</v>
      </c>
      <c r="T217" s="74">
        <f>offset(T196,0,-1)*'Get Started'!$E$35/'Get Started'!$D$35</f>
        <v>0</v>
      </c>
      <c r="U217" s="74">
        <f>offset(U196,0,-1)*'Get Started'!$E$35/'Get Started'!$D$35</f>
        <v>0</v>
      </c>
      <c r="V217" s="74">
        <f>offset(V196,0,-1)*'Get Started'!$E$35/'Get Started'!$D$35</f>
        <v>0</v>
      </c>
      <c r="W217" s="74">
        <f>offset(W196,0,-1)*'Get Started'!$E$35/'Get Started'!$D$35</f>
        <v>0</v>
      </c>
      <c r="X217" s="74">
        <f>offset(X196,0,-1)*'Get Started'!$E$35/'Get Started'!$D$35</f>
        <v>0</v>
      </c>
      <c r="Y217" s="74">
        <f>offset(Y196,0,-1)*'Get Started'!$E$35/'Get Started'!$D$35</f>
        <v>0</v>
      </c>
      <c r="Z217" s="74">
        <f>offset(Z196,0,-1)*'Get Started'!$E$35/'Get Started'!$D$35</f>
        <v>0</v>
      </c>
    </row>
    <row r="218" hidden="1" outlineLevel="1">
      <c r="B218" s="93">
        <f t="shared" si="133"/>
        <v>18</v>
      </c>
      <c r="C218" s="40"/>
      <c r="D218" s="16" t="s">
        <v>161</v>
      </c>
      <c r="E218" s="74">
        <f t="shared" si="108"/>
        <v>0</v>
      </c>
      <c r="F218" s="74"/>
      <c r="G218" s="74">
        <f>offset(G197,0,-1)*'Get Started'!$E$35/'Get Started'!$D$35</f>
        <v>0</v>
      </c>
      <c r="H218" s="74">
        <f>offset(H197,0,-1)*'Get Started'!$E$35/'Get Started'!$D$35</f>
        <v>0</v>
      </c>
      <c r="I218" s="74">
        <f>offset(I197,0,-1)*'Get Started'!$E$35/'Get Started'!$D$35</f>
        <v>0</v>
      </c>
      <c r="J218" s="74">
        <f>offset(J197,0,-1)*'Get Started'!$E$35/'Get Started'!$D$35</f>
        <v>0</v>
      </c>
      <c r="K218" s="74">
        <f>offset(K197,0,-1)*'Get Started'!$E$35/'Get Started'!$D$35</f>
        <v>0</v>
      </c>
      <c r="L218" s="74">
        <f>offset(L197,0,-1)*'Get Started'!$E$35/'Get Started'!$D$35</f>
        <v>0</v>
      </c>
      <c r="M218" s="74">
        <f>offset(M197,0,-1)*'Get Started'!$E$35/'Get Started'!$D$35</f>
        <v>0</v>
      </c>
      <c r="N218" s="74">
        <f>offset(N197,0,-1)*'Get Started'!$E$35/'Get Started'!$D$35</f>
        <v>0</v>
      </c>
      <c r="O218" s="74">
        <f>offset(O197,0,-1)*'Get Started'!$E$35/'Get Started'!$D$35</f>
        <v>0</v>
      </c>
      <c r="P218" s="74">
        <f>offset(P197,0,-1)*'Get Started'!$E$35/'Get Started'!$D$35</f>
        <v>0</v>
      </c>
      <c r="Q218" s="74">
        <f>offset(Q197,0,-1)*'Get Started'!$E$35/'Get Started'!$D$35</f>
        <v>0</v>
      </c>
      <c r="R218" s="74">
        <f>offset(R197,0,-1)*'Get Started'!$E$35/'Get Started'!$D$35</f>
        <v>0</v>
      </c>
      <c r="S218" s="74">
        <f>offset(S197,0,-1)*'Get Started'!$E$35/'Get Started'!$D$35</f>
        <v>0</v>
      </c>
      <c r="T218" s="74">
        <f>offset(T197,0,-1)*'Get Started'!$E$35/'Get Started'!$D$35</f>
        <v>0</v>
      </c>
      <c r="U218" s="74">
        <f>offset(U197,0,-1)*'Get Started'!$E$35/'Get Started'!$D$35</f>
        <v>0</v>
      </c>
      <c r="V218" s="74">
        <f>offset(V197,0,-1)*'Get Started'!$E$35/'Get Started'!$D$35</f>
        <v>0</v>
      </c>
      <c r="W218" s="74">
        <f>offset(W197,0,-1)*'Get Started'!$E$35/'Get Started'!$D$35</f>
        <v>0</v>
      </c>
      <c r="X218" s="74">
        <f>offset(X197,0,-1)*'Get Started'!$E$35/'Get Started'!$D$35</f>
        <v>0</v>
      </c>
      <c r="Y218" s="74">
        <f>offset(Y197,0,-1)*'Get Started'!$E$35/'Get Started'!$D$35</f>
        <v>0</v>
      </c>
      <c r="Z218" s="74">
        <f>offset(Z197,0,-1)*'Get Started'!$E$35/'Get Started'!$D$35</f>
        <v>0</v>
      </c>
    </row>
    <row r="219" hidden="1" outlineLevel="1">
      <c r="B219" s="93">
        <f t="shared" si="133"/>
        <v>19</v>
      </c>
      <c r="C219" s="40"/>
      <c r="D219" s="16" t="s">
        <v>161</v>
      </c>
      <c r="E219" s="74">
        <f t="shared" si="108"/>
        <v>0</v>
      </c>
      <c r="F219" s="74"/>
      <c r="G219" s="74">
        <f>offset(G198,0,-1)*'Get Started'!$E$35/'Get Started'!$D$35</f>
        <v>0</v>
      </c>
      <c r="H219" s="74">
        <f>offset(H198,0,-1)*'Get Started'!$E$35/'Get Started'!$D$35</f>
        <v>0</v>
      </c>
      <c r="I219" s="74">
        <f>offset(I198,0,-1)*'Get Started'!$E$35/'Get Started'!$D$35</f>
        <v>0</v>
      </c>
      <c r="J219" s="74">
        <f>offset(J198,0,-1)*'Get Started'!$E$35/'Get Started'!$D$35</f>
        <v>0</v>
      </c>
      <c r="K219" s="74">
        <f>offset(K198,0,-1)*'Get Started'!$E$35/'Get Started'!$D$35</f>
        <v>0</v>
      </c>
      <c r="L219" s="74">
        <f>offset(L198,0,-1)*'Get Started'!$E$35/'Get Started'!$D$35</f>
        <v>0</v>
      </c>
      <c r="M219" s="74">
        <f>offset(M198,0,-1)*'Get Started'!$E$35/'Get Started'!$D$35</f>
        <v>0</v>
      </c>
      <c r="N219" s="74">
        <f>offset(N198,0,-1)*'Get Started'!$E$35/'Get Started'!$D$35</f>
        <v>0</v>
      </c>
      <c r="O219" s="74">
        <f>offset(O198,0,-1)*'Get Started'!$E$35/'Get Started'!$D$35</f>
        <v>0</v>
      </c>
      <c r="P219" s="74">
        <f>offset(P198,0,-1)*'Get Started'!$E$35/'Get Started'!$D$35</f>
        <v>0</v>
      </c>
      <c r="Q219" s="74">
        <f>offset(Q198,0,-1)*'Get Started'!$E$35/'Get Started'!$D$35</f>
        <v>0</v>
      </c>
      <c r="R219" s="74">
        <f>offset(R198,0,-1)*'Get Started'!$E$35/'Get Started'!$D$35</f>
        <v>0</v>
      </c>
      <c r="S219" s="74">
        <f>offset(S198,0,-1)*'Get Started'!$E$35/'Get Started'!$D$35</f>
        <v>0</v>
      </c>
      <c r="T219" s="74">
        <f>offset(T198,0,-1)*'Get Started'!$E$35/'Get Started'!$D$35</f>
        <v>0</v>
      </c>
      <c r="U219" s="74">
        <f>offset(U198,0,-1)*'Get Started'!$E$35/'Get Started'!$D$35</f>
        <v>0</v>
      </c>
      <c r="V219" s="74">
        <f>offset(V198,0,-1)*'Get Started'!$E$35/'Get Started'!$D$35</f>
        <v>0</v>
      </c>
      <c r="W219" s="74">
        <f>offset(W198,0,-1)*'Get Started'!$E$35/'Get Started'!$D$35</f>
        <v>0</v>
      </c>
      <c r="X219" s="74">
        <f>offset(X198,0,-1)*'Get Started'!$E$35/'Get Started'!$D$35</f>
        <v>0</v>
      </c>
      <c r="Y219" s="74">
        <f>offset(Y198,0,-1)*'Get Started'!$E$35/'Get Started'!$D$35</f>
        <v>0</v>
      </c>
      <c r="Z219" s="74">
        <f>offset(Z198,0,-1)*'Get Started'!$E$35/'Get Started'!$D$35</f>
        <v>0</v>
      </c>
    </row>
    <row r="220" hidden="1" outlineLevel="1">
      <c r="B220" s="93">
        <f t="shared" si="133"/>
        <v>20</v>
      </c>
      <c r="C220" s="40"/>
      <c r="D220" s="16" t="s">
        <v>161</v>
      </c>
      <c r="E220" s="74">
        <f t="shared" si="108"/>
        <v>0</v>
      </c>
      <c r="F220" s="74"/>
      <c r="G220" s="74">
        <f>offset(G199,0,-1)*'Get Started'!$E$35/'Get Started'!$D$35</f>
        <v>0</v>
      </c>
      <c r="H220" s="74">
        <f>offset(H199,0,-1)*'Get Started'!$E$35/'Get Started'!$D$35</f>
        <v>0</v>
      </c>
      <c r="I220" s="74">
        <f>offset(I199,0,-1)*'Get Started'!$E$35/'Get Started'!$D$35</f>
        <v>0</v>
      </c>
      <c r="J220" s="74">
        <f>offset(J199,0,-1)*'Get Started'!$E$35/'Get Started'!$D$35</f>
        <v>0</v>
      </c>
      <c r="K220" s="74">
        <f>offset(K199,0,-1)*'Get Started'!$E$35/'Get Started'!$D$35</f>
        <v>0</v>
      </c>
      <c r="L220" s="74">
        <f>offset(L199,0,-1)*'Get Started'!$E$35/'Get Started'!$D$35</f>
        <v>0</v>
      </c>
      <c r="M220" s="74">
        <f>offset(M199,0,-1)*'Get Started'!$E$35/'Get Started'!$D$35</f>
        <v>0</v>
      </c>
      <c r="N220" s="74">
        <f>offset(N199,0,-1)*'Get Started'!$E$35/'Get Started'!$D$35</f>
        <v>0</v>
      </c>
      <c r="O220" s="74">
        <f>offset(O199,0,-1)*'Get Started'!$E$35/'Get Started'!$D$35</f>
        <v>0</v>
      </c>
      <c r="P220" s="74">
        <f>offset(P199,0,-1)*'Get Started'!$E$35/'Get Started'!$D$35</f>
        <v>0</v>
      </c>
      <c r="Q220" s="74">
        <f>offset(Q199,0,-1)*'Get Started'!$E$35/'Get Started'!$D$35</f>
        <v>0</v>
      </c>
      <c r="R220" s="74">
        <f>offset(R199,0,-1)*'Get Started'!$E$35/'Get Started'!$D$35</f>
        <v>0</v>
      </c>
      <c r="S220" s="74">
        <f>offset(S199,0,-1)*'Get Started'!$E$35/'Get Started'!$D$35</f>
        <v>0</v>
      </c>
      <c r="T220" s="74">
        <f>offset(T199,0,-1)*'Get Started'!$E$35/'Get Started'!$D$35</f>
        <v>0</v>
      </c>
      <c r="U220" s="74">
        <f>offset(U199,0,-1)*'Get Started'!$E$35/'Get Started'!$D$35</f>
        <v>0</v>
      </c>
      <c r="V220" s="74">
        <f>offset(V199,0,-1)*'Get Started'!$E$35/'Get Started'!$D$35</f>
        <v>0</v>
      </c>
      <c r="W220" s="74">
        <f>offset(W199,0,-1)*'Get Started'!$E$35/'Get Started'!$D$35</f>
        <v>0</v>
      </c>
      <c r="X220" s="74">
        <f>offset(X199,0,-1)*'Get Started'!$E$35/'Get Started'!$D$35</f>
        <v>0</v>
      </c>
      <c r="Y220" s="74">
        <f>offset(Y199,0,-1)*'Get Started'!$E$35/'Get Started'!$D$35</f>
        <v>0</v>
      </c>
      <c r="Z220" s="74">
        <f>offset(Z199,0,-1)*'Get Started'!$E$35/'Get Started'!$D$35</f>
        <v>0</v>
      </c>
    </row>
    <row r="221" collapsed="1">
      <c r="B221" s="16" t="s">
        <v>182</v>
      </c>
      <c r="C221" s="16"/>
      <c r="D221" s="16" t="s">
        <v>161</v>
      </c>
      <c r="E221" s="74">
        <f t="shared" si="108"/>
        <v>93133700</v>
      </c>
      <c r="F221" s="78"/>
      <c r="G221" s="77">
        <f t="shared" ref="G221:Z221" si="134">sum(G222:G241)</f>
        <v>7761141.667</v>
      </c>
      <c r="H221" s="77">
        <f t="shared" si="134"/>
        <v>15522283.33</v>
      </c>
      <c r="I221" s="77">
        <f t="shared" si="134"/>
        <v>23283425</v>
      </c>
      <c r="J221" s="77">
        <f t="shared" si="134"/>
        <v>23283425</v>
      </c>
      <c r="K221" s="77">
        <f t="shared" si="134"/>
        <v>15522283.33</v>
      </c>
      <c r="L221" s="77">
        <f t="shared" si="134"/>
        <v>7761141.667</v>
      </c>
      <c r="M221" s="77">
        <f t="shared" si="134"/>
        <v>0</v>
      </c>
      <c r="N221" s="77">
        <f t="shared" si="134"/>
        <v>0</v>
      </c>
      <c r="O221" s="77">
        <f t="shared" si="134"/>
        <v>0</v>
      </c>
      <c r="P221" s="77">
        <f t="shared" si="134"/>
        <v>0</v>
      </c>
      <c r="Q221" s="77">
        <f t="shared" si="134"/>
        <v>0</v>
      </c>
      <c r="R221" s="77">
        <f t="shared" si="134"/>
        <v>0</v>
      </c>
      <c r="S221" s="77">
        <f t="shared" si="134"/>
        <v>0</v>
      </c>
      <c r="T221" s="77">
        <f t="shared" si="134"/>
        <v>0</v>
      </c>
      <c r="U221" s="77">
        <f t="shared" si="134"/>
        <v>0</v>
      </c>
      <c r="V221" s="77">
        <f t="shared" si="134"/>
        <v>0</v>
      </c>
      <c r="W221" s="77">
        <f t="shared" si="134"/>
        <v>0</v>
      </c>
      <c r="X221" s="77">
        <f t="shared" si="134"/>
        <v>0</v>
      </c>
      <c r="Y221" s="77">
        <f t="shared" si="134"/>
        <v>0</v>
      </c>
      <c r="Z221" s="77">
        <f t="shared" si="134"/>
        <v>0</v>
      </c>
    </row>
    <row r="222" hidden="1" outlineLevel="1">
      <c r="B222" s="93">
        <f>G$4</f>
        <v>1</v>
      </c>
      <c r="C222" s="40"/>
      <c r="D222" s="16" t="s">
        <v>161</v>
      </c>
      <c r="E222" s="74">
        <f t="shared" si="108"/>
        <v>31044566.67</v>
      </c>
      <c r="F222" s="74"/>
      <c r="G222" s="74">
        <f>G180*'Get Started'!$E$35/'Get Started'!$D$35+G180</f>
        <v>7761141.667</v>
      </c>
      <c r="H222" s="74">
        <f>H180*'Get Started'!$E$35/'Get Started'!$D$35+H180</f>
        <v>7761141.667</v>
      </c>
      <c r="I222" s="74">
        <f>I180*'Get Started'!$E$35/'Get Started'!$D$35+I180</f>
        <v>7761141.667</v>
      </c>
      <c r="J222" s="74">
        <f>J180*'Get Started'!$E$35/'Get Started'!$D$35+J180</f>
        <v>7761141.667</v>
      </c>
      <c r="K222" s="74">
        <f>K180*'Get Started'!$E$35/'Get Started'!$D$35+K180</f>
        <v>0</v>
      </c>
      <c r="L222" s="74">
        <f>L180*'Get Started'!$E$35/'Get Started'!$D$35+L180</f>
        <v>0</v>
      </c>
      <c r="M222" s="74">
        <f>M180*'Get Started'!$E$35/'Get Started'!$D$35+M180</f>
        <v>0</v>
      </c>
      <c r="N222" s="74">
        <f>N180*'Get Started'!$E$35/'Get Started'!$D$35+N180</f>
        <v>0</v>
      </c>
      <c r="O222" s="74">
        <f>O180*'Get Started'!$E$35/'Get Started'!$D$35+O180</f>
        <v>0</v>
      </c>
      <c r="P222" s="74">
        <f>P180*'Get Started'!$E$35/'Get Started'!$D$35+P180</f>
        <v>0</v>
      </c>
      <c r="Q222" s="74">
        <f>Q180*'Get Started'!$E$35/'Get Started'!$D$35+Q180</f>
        <v>0</v>
      </c>
      <c r="R222" s="74">
        <f>R180*'Get Started'!$E$35/'Get Started'!$D$35+R180</f>
        <v>0</v>
      </c>
      <c r="S222" s="74">
        <f>S180*'Get Started'!$E$35/'Get Started'!$D$35+S180</f>
        <v>0</v>
      </c>
      <c r="T222" s="74">
        <f>T180*'Get Started'!$E$35/'Get Started'!$D$35+T180</f>
        <v>0</v>
      </c>
      <c r="U222" s="74">
        <f>U180*'Get Started'!$E$35/'Get Started'!$D$35+U180</f>
        <v>0</v>
      </c>
      <c r="V222" s="74">
        <f>V180*'Get Started'!$E$35/'Get Started'!$D$35+V180</f>
        <v>0</v>
      </c>
      <c r="W222" s="74">
        <f>W180*'Get Started'!$E$35/'Get Started'!$D$35+W180</f>
        <v>0</v>
      </c>
      <c r="X222" s="74">
        <f>X180*'Get Started'!$E$35/'Get Started'!$D$35+X180</f>
        <v>0</v>
      </c>
      <c r="Y222" s="74">
        <f>Y180*'Get Started'!$E$35/'Get Started'!$D$35+Y180</f>
        <v>0</v>
      </c>
      <c r="Z222" s="74">
        <f>Z180*'Get Started'!$E$35/'Get Started'!$D$35+Z180</f>
        <v>0</v>
      </c>
    </row>
    <row r="223" hidden="1" outlineLevel="1">
      <c r="B223" s="93">
        <f t="shared" ref="B223:B241" si="135">B222+1</f>
        <v>2</v>
      </c>
      <c r="C223" s="40"/>
      <c r="D223" s="16" t="s">
        <v>161</v>
      </c>
      <c r="E223" s="74">
        <f t="shared" si="108"/>
        <v>31044566.67</v>
      </c>
      <c r="F223" s="74"/>
      <c r="G223" s="74">
        <f>G181*'Get Started'!$E$35/'Get Started'!$D$35+G181</f>
        <v>0</v>
      </c>
      <c r="H223" s="74">
        <f>H181*'Get Started'!$E$35/'Get Started'!$D$35+H181</f>
        <v>7761141.667</v>
      </c>
      <c r="I223" s="74">
        <f>I181*'Get Started'!$E$35/'Get Started'!$D$35+I181</f>
        <v>7761141.667</v>
      </c>
      <c r="J223" s="74">
        <f>J181*'Get Started'!$E$35/'Get Started'!$D$35+J181</f>
        <v>7761141.667</v>
      </c>
      <c r="K223" s="74">
        <f>K181*'Get Started'!$E$35/'Get Started'!$D$35+K181</f>
        <v>7761141.667</v>
      </c>
      <c r="L223" s="74">
        <f>L181*'Get Started'!$E$35/'Get Started'!$D$35+L181</f>
        <v>0</v>
      </c>
      <c r="M223" s="74">
        <f>M181*'Get Started'!$E$35/'Get Started'!$D$35+M181</f>
        <v>0</v>
      </c>
      <c r="N223" s="74">
        <f>N181*'Get Started'!$E$35/'Get Started'!$D$35+N181</f>
        <v>0</v>
      </c>
      <c r="O223" s="74">
        <f>O181*'Get Started'!$E$35/'Get Started'!$D$35+O181</f>
        <v>0</v>
      </c>
      <c r="P223" s="74">
        <f>P181*'Get Started'!$E$35/'Get Started'!$D$35+P181</f>
        <v>0</v>
      </c>
      <c r="Q223" s="74">
        <f>Q181*'Get Started'!$E$35/'Get Started'!$D$35+Q181</f>
        <v>0</v>
      </c>
      <c r="R223" s="74">
        <f>R181*'Get Started'!$E$35/'Get Started'!$D$35+R181</f>
        <v>0</v>
      </c>
      <c r="S223" s="74">
        <f>S181*'Get Started'!$E$35/'Get Started'!$D$35+S181</f>
        <v>0</v>
      </c>
      <c r="T223" s="74">
        <f>T181*'Get Started'!$E$35/'Get Started'!$D$35+T181</f>
        <v>0</v>
      </c>
      <c r="U223" s="74">
        <f>U181*'Get Started'!$E$35/'Get Started'!$D$35+U181</f>
        <v>0</v>
      </c>
      <c r="V223" s="74">
        <f>V181*'Get Started'!$E$35/'Get Started'!$D$35+V181</f>
        <v>0</v>
      </c>
      <c r="W223" s="74">
        <f>W181*'Get Started'!$E$35/'Get Started'!$D$35+W181</f>
        <v>0</v>
      </c>
      <c r="X223" s="74">
        <f>X181*'Get Started'!$E$35/'Get Started'!$D$35+X181</f>
        <v>0</v>
      </c>
      <c r="Y223" s="74">
        <f>Y181*'Get Started'!$E$35/'Get Started'!$D$35+Y181</f>
        <v>0</v>
      </c>
      <c r="Z223" s="74">
        <f>Z181*'Get Started'!$E$35/'Get Started'!$D$35+Z181</f>
        <v>0</v>
      </c>
    </row>
    <row r="224" hidden="1" outlineLevel="1">
      <c r="B224" s="93">
        <f t="shared" si="135"/>
        <v>3</v>
      </c>
      <c r="C224" s="40"/>
      <c r="D224" s="16" t="s">
        <v>161</v>
      </c>
      <c r="E224" s="74">
        <f t="shared" si="108"/>
        <v>31044566.67</v>
      </c>
      <c r="F224" s="74"/>
      <c r="G224" s="74">
        <f>G182*'Get Started'!$E$35/'Get Started'!$D$35+G182</f>
        <v>0</v>
      </c>
      <c r="H224" s="74">
        <f>H182*'Get Started'!$E$35/'Get Started'!$D$35+H182</f>
        <v>0</v>
      </c>
      <c r="I224" s="74">
        <f>I182*'Get Started'!$E$35/'Get Started'!$D$35+I182</f>
        <v>7761141.667</v>
      </c>
      <c r="J224" s="74">
        <f>J182*'Get Started'!$E$35/'Get Started'!$D$35+J182</f>
        <v>7761141.667</v>
      </c>
      <c r="K224" s="74">
        <f>K182*'Get Started'!$E$35/'Get Started'!$D$35+K182</f>
        <v>7761141.667</v>
      </c>
      <c r="L224" s="74">
        <f>L182*'Get Started'!$E$35/'Get Started'!$D$35+L182</f>
        <v>7761141.667</v>
      </c>
      <c r="M224" s="74">
        <f>M182*'Get Started'!$E$35/'Get Started'!$D$35+M182</f>
        <v>0</v>
      </c>
      <c r="N224" s="74">
        <f>N182*'Get Started'!$E$35/'Get Started'!$D$35+N182</f>
        <v>0</v>
      </c>
      <c r="O224" s="74">
        <f>O182*'Get Started'!$E$35/'Get Started'!$D$35+O182</f>
        <v>0</v>
      </c>
      <c r="P224" s="74">
        <f>P182*'Get Started'!$E$35/'Get Started'!$D$35+P182</f>
        <v>0</v>
      </c>
      <c r="Q224" s="74">
        <f>Q182*'Get Started'!$E$35/'Get Started'!$D$35+Q182</f>
        <v>0</v>
      </c>
      <c r="R224" s="74">
        <f>R182*'Get Started'!$E$35/'Get Started'!$D$35+R182</f>
        <v>0</v>
      </c>
      <c r="S224" s="74">
        <f>S182*'Get Started'!$E$35/'Get Started'!$D$35+S182</f>
        <v>0</v>
      </c>
      <c r="T224" s="74">
        <f>T182*'Get Started'!$E$35/'Get Started'!$D$35+T182</f>
        <v>0</v>
      </c>
      <c r="U224" s="74">
        <f>U182*'Get Started'!$E$35/'Get Started'!$D$35+U182</f>
        <v>0</v>
      </c>
      <c r="V224" s="74">
        <f>V182*'Get Started'!$E$35/'Get Started'!$D$35+V182</f>
        <v>0</v>
      </c>
      <c r="W224" s="74">
        <f>W182*'Get Started'!$E$35/'Get Started'!$D$35+W182</f>
        <v>0</v>
      </c>
      <c r="X224" s="74">
        <f>X182*'Get Started'!$E$35/'Get Started'!$D$35+X182</f>
        <v>0</v>
      </c>
      <c r="Y224" s="74">
        <f>Y182*'Get Started'!$E$35/'Get Started'!$D$35+Y182</f>
        <v>0</v>
      </c>
      <c r="Z224" s="74">
        <f>Z182*'Get Started'!$E$35/'Get Started'!$D$35+Z182</f>
        <v>0</v>
      </c>
    </row>
    <row r="225" hidden="1" outlineLevel="1">
      <c r="B225" s="93">
        <f t="shared" si="135"/>
        <v>4</v>
      </c>
      <c r="C225" s="40"/>
      <c r="D225" s="16" t="s">
        <v>161</v>
      </c>
      <c r="E225" s="74">
        <f t="shared" si="108"/>
        <v>0</v>
      </c>
      <c r="F225" s="74"/>
      <c r="G225" s="74">
        <f>G183*'Get Started'!$E$35/'Get Started'!$D$35+G183</f>
        <v>0</v>
      </c>
      <c r="H225" s="74">
        <f>H183*'Get Started'!$E$35/'Get Started'!$D$35+H183</f>
        <v>0</v>
      </c>
      <c r="I225" s="74">
        <f>I183*'Get Started'!$E$35/'Get Started'!$D$35+I183</f>
        <v>0</v>
      </c>
      <c r="J225" s="74">
        <f>J183*'Get Started'!$E$35/'Get Started'!$D$35+J183</f>
        <v>0</v>
      </c>
      <c r="K225" s="74">
        <f>K183*'Get Started'!$E$35/'Get Started'!$D$35+K183</f>
        <v>0</v>
      </c>
      <c r="L225" s="74">
        <f>L183*'Get Started'!$E$35/'Get Started'!$D$35+L183</f>
        <v>0</v>
      </c>
      <c r="M225" s="74">
        <f>M183*'Get Started'!$E$35/'Get Started'!$D$35+M183</f>
        <v>0</v>
      </c>
      <c r="N225" s="74">
        <f>N183*'Get Started'!$E$35/'Get Started'!$D$35+N183</f>
        <v>0</v>
      </c>
      <c r="O225" s="74">
        <f>O183*'Get Started'!$E$35/'Get Started'!$D$35+O183</f>
        <v>0</v>
      </c>
      <c r="P225" s="74">
        <f>P183*'Get Started'!$E$35/'Get Started'!$D$35+P183</f>
        <v>0</v>
      </c>
      <c r="Q225" s="74">
        <f>Q183*'Get Started'!$E$35/'Get Started'!$D$35+Q183</f>
        <v>0</v>
      </c>
      <c r="R225" s="74">
        <f>R183*'Get Started'!$E$35/'Get Started'!$D$35+R183</f>
        <v>0</v>
      </c>
      <c r="S225" s="74">
        <f>S183*'Get Started'!$E$35/'Get Started'!$D$35+S183</f>
        <v>0</v>
      </c>
      <c r="T225" s="74">
        <f>T183*'Get Started'!$E$35/'Get Started'!$D$35+T183</f>
        <v>0</v>
      </c>
      <c r="U225" s="74">
        <f>U183*'Get Started'!$E$35/'Get Started'!$D$35+U183</f>
        <v>0</v>
      </c>
      <c r="V225" s="74">
        <f>V183*'Get Started'!$E$35/'Get Started'!$D$35+V183</f>
        <v>0</v>
      </c>
      <c r="W225" s="74">
        <f>W183*'Get Started'!$E$35/'Get Started'!$D$35+W183</f>
        <v>0</v>
      </c>
      <c r="X225" s="74">
        <f>X183*'Get Started'!$E$35/'Get Started'!$D$35+X183</f>
        <v>0</v>
      </c>
      <c r="Y225" s="74">
        <f>Y183*'Get Started'!$E$35/'Get Started'!$D$35+Y183</f>
        <v>0</v>
      </c>
      <c r="Z225" s="74">
        <f>Z183*'Get Started'!$E$35/'Get Started'!$D$35+Z183</f>
        <v>0</v>
      </c>
    </row>
    <row r="226" hidden="1" outlineLevel="1">
      <c r="B226" s="93">
        <f t="shared" si="135"/>
        <v>5</v>
      </c>
      <c r="C226" s="40"/>
      <c r="D226" s="16" t="s">
        <v>161</v>
      </c>
      <c r="E226" s="74">
        <f t="shared" si="108"/>
        <v>0</v>
      </c>
      <c r="F226" s="74"/>
      <c r="G226" s="74">
        <f>G184*'Get Started'!$E$35/'Get Started'!$D$35+G184</f>
        <v>0</v>
      </c>
      <c r="H226" s="74">
        <f>H184*'Get Started'!$E$35/'Get Started'!$D$35+H184</f>
        <v>0</v>
      </c>
      <c r="I226" s="74">
        <f>I184*'Get Started'!$E$35/'Get Started'!$D$35+I184</f>
        <v>0</v>
      </c>
      <c r="J226" s="74">
        <f>J184*'Get Started'!$E$35/'Get Started'!$D$35+J184</f>
        <v>0</v>
      </c>
      <c r="K226" s="74">
        <f>K184*'Get Started'!$E$35/'Get Started'!$D$35+K184</f>
        <v>0</v>
      </c>
      <c r="L226" s="74">
        <f>L184*'Get Started'!$E$35/'Get Started'!$D$35+L184</f>
        <v>0</v>
      </c>
      <c r="M226" s="74">
        <f>M184*'Get Started'!$E$35/'Get Started'!$D$35+M184</f>
        <v>0</v>
      </c>
      <c r="N226" s="74">
        <f>N184*'Get Started'!$E$35/'Get Started'!$D$35+N184</f>
        <v>0</v>
      </c>
      <c r="O226" s="74">
        <f>O184*'Get Started'!$E$35/'Get Started'!$D$35+O184</f>
        <v>0</v>
      </c>
      <c r="P226" s="74">
        <f>P184*'Get Started'!$E$35/'Get Started'!$D$35+P184</f>
        <v>0</v>
      </c>
      <c r="Q226" s="74">
        <f>Q184*'Get Started'!$E$35/'Get Started'!$D$35+Q184</f>
        <v>0</v>
      </c>
      <c r="R226" s="74">
        <f>R184*'Get Started'!$E$35/'Get Started'!$D$35+R184</f>
        <v>0</v>
      </c>
      <c r="S226" s="74">
        <f>S184*'Get Started'!$E$35/'Get Started'!$D$35+S184</f>
        <v>0</v>
      </c>
      <c r="T226" s="74">
        <f>T184*'Get Started'!$E$35/'Get Started'!$D$35+T184</f>
        <v>0</v>
      </c>
      <c r="U226" s="74">
        <f>U184*'Get Started'!$E$35/'Get Started'!$D$35+U184</f>
        <v>0</v>
      </c>
      <c r="V226" s="74">
        <f>V184*'Get Started'!$E$35/'Get Started'!$D$35+V184</f>
        <v>0</v>
      </c>
      <c r="W226" s="74">
        <f>W184*'Get Started'!$E$35/'Get Started'!$D$35+W184</f>
        <v>0</v>
      </c>
      <c r="X226" s="74">
        <f>X184*'Get Started'!$E$35/'Get Started'!$D$35+X184</f>
        <v>0</v>
      </c>
      <c r="Y226" s="74">
        <f>Y184*'Get Started'!$E$35/'Get Started'!$D$35+Y184</f>
        <v>0</v>
      </c>
      <c r="Z226" s="74">
        <f>Z184*'Get Started'!$E$35/'Get Started'!$D$35+Z184</f>
        <v>0</v>
      </c>
    </row>
    <row r="227" hidden="1" outlineLevel="1">
      <c r="B227" s="93">
        <f t="shared" si="135"/>
        <v>6</v>
      </c>
      <c r="C227" s="40"/>
      <c r="D227" s="16" t="s">
        <v>161</v>
      </c>
      <c r="E227" s="74">
        <f t="shared" si="108"/>
        <v>0</v>
      </c>
      <c r="F227" s="74"/>
      <c r="G227" s="74">
        <f>G185*'Get Started'!$E$35/'Get Started'!$D$35+G185</f>
        <v>0</v>
      </c>
      <c r="H227" s="74">
        <f>H185*'Get Started'!$E$35/'Get Started'!$D$35+H185</f>
        <v>0</v>
      </c>
      <c r="I227" s="74">
        <f>I185*'Get Started'!$E$35/'Get Started'!$D$35+I185</f>
        <v>0</v>
      </c>
      <c r="J227" s="74">
        <f>J185*'Get Started'!$E$35/'Get Started'!$D$35+J185</f>
        <v>0</v>
      </c>
      <c r="K227" s="74">
        <f>K185*'Get Started'!$E$35/'Get Started'!$D$35+K185</f>
        <v>0</v>
      </c>
      <c r="L227" s="74">
        <f>L185*'Get Started'!$E$35/'Get Started'!$D$35+L185</f>
        <v>0</v>
      </c>
      <c r="M227" s="74">
        <f>M185*'Get Started'!$E$35/'Get Started'!$D$35+M185</f>
        <v>0</v>
      </c>
      <c r="N227" s="74">
        <f>N185*'Get Started'!$E$35/'Get Started'!$D$35+N185</f>
        <v>0</v>
      </c>
      <c r="O227" s="74">
        <f>O185*'Get Started'!$E$35/'Get Started'!$D$35+O185</f>
        <v>0</v>
      </c>
      <c r="P227" s="74">
        <f>P185*'Get Started'!$E$35/'Get Started'!$D$35+P185</f>
        <v>0</v>
      </c>
      <c r="Q227" s="74">
        <f>Q185*'Get Started'!$E$35/'Get Started'!$D$35+Q185</f>
        <v>0</v>
      </c>
      <c r="R227" s="74">
        <f>R185*'Get Started'!$E$35/'Get Started'!$D$35+R185</f>
        <v>0</v>
      </c>
      <c r="S227" s="74">
        <f>S185*'Get Started'!$E$35/'Get Started'!$D$35+S185</f>
        <v>0</v>
      </c>
      <c r="T227" s="74">
        <f>T185*'Get Started'!$E$35/'Get Started'!$D$35+T185</f>
        <v>0</v>
      </c>
      <c r="U227" s="74">
        <f>U185*'Get Started'!$E$35/'Get Started'!$D$35+U185</f>
        <v>0</v>
      </c>
      <c r="V227" s="74">
        <f>V185*'Get Started'!$E$35/'Get Started'!$D$35+V185</f>
        <v>0</v>
      </c>
      <c r="W227" s="74">
        <f>W185*'Get Started'!$E$35/'Get Started'!$D$35+W185</f>
        <v>0</v>
      </c>
      <c r="X227" s="74">
        <f>X185*'Get Started'!$E$35/'Get Started'!$D$35+X185</f>
        <v>0</v>
      </c>
      <c r="Y227" s="74">
        <f>Y185*'Get Started'!$E$35/'Get Started'!$D$35+Y185</f>
        <v>0</v>
      </c>
      <c r="Z227" s="74">
        <f>Z185*'Get Started'!$E$35/'Get Started'!$D$35+Z185</f>
        <v>0</v>
      </c>
    </row>
    <row r="228" hidden="1" outlineLevel="1">
      <c r="B228" s="93">
        <f t="shared" si="135"/>
        <v>7</v>
      </c>
      <c r="C228" s="40"/>
      <c r="D228" s="16" t="s">
        <v>161</v>
      </c>
      <c r="E228" s="74">
        <f t="shared" si="108"/>
        <v>0</v>
      </c>
      <c r="F228" s="74"/>
      <c r="G228" s="74">
        <f>G186*'Get Started'!$E$35/'Get Started'!$D$35+G186</f>
        <v>0</v>
      </c>
      <c r="H228" s="74">
        <f>H186*'Get Started'!$E$35/'Get Started'!$D$35+H186</f>
        <v>0</v>
      </c>
      <c r="I228" s="74">
        <f>I186*'Get Started'!$E$35/'Get Started'!$D$35+I186</f>
        <v>0</v>
      </c>
      <c r="J228" s="74">
        <f>J186*'Get Started'!$E$35/'Get Started'!$D$35+J186</f>
        <v>0</v>
      </c>
      <c r="K228" s="74">
        <f>K186*'Get Started'!$E$35/'Get Started'!$D$35+K186</f>
        <v>0</v>
      </c>
      <c r="L228" s="74">
        <f>L186*'Get Started'!$E$35/'Get Started'!$D$35+L186</f>
        <v>0</v>
      </c>
      <c r="M228" s="74">
        <f>M186*'Get Started'!$E$35/'Get Started'!$D$35+M186</f>
        <v>0</v>
      </c>
      <c r="N228" s="74">
        <f>N186*'Get Started'!$E$35/'Get Started'!$D$35+N186</f>
        <v>0</v>
      </c>
      <c r="O228" s="74">
        <f>O186*'Get Started'!$E$35/'Get Started'!$D$35+O186</f>
        <v>0</v>
      </c>
      <c r="P228" s="74">
        <f>P186*'Get Started'!$E$35/'Get Started'!$D$35+P186</f>
        <v>0</v>
      </c>
      <c r="Q228" s="74">
        <f>Q186*'Get Started'!$E$35/'Get Started'!$D$35+Q186</f>
        <v>0</v>
      </c>
      <c r="R228" s="74">
        <f>R186*'Get Started'!$E$35/'Get Started'!$D$35+R186</f>
        <v>0</v>
      </c>
      <c r="S228" s="74">
        <f>S186*'Get Started'!$E$35/'Get Started'!$D$35+S186</f>
        <v>0</v>
      </c>
      <c r="T228" s="74">
        <f>T186*'Get Started'!$E$35/'Get Started'!$D$35+T186</f>
        <v>0</v>
      </c>
      <c r="U228" s="74">
        <f>U186*'Get Started'!$E$35/'Get Started'!$D$35+U186</f>
        <v>0</v>
      </c>
      <c r="V228" s="74">
        <f>V186*'Get Started'!$E$35/'Get Started'!$D$35+V186</f>
        <v>0</v>
      </c>
      <c r="W228" s="74">
        <f>W186*'Get Started'!$E$35/'Get Started'!$D$35+W186</f>
        <v>0</v>
      </c>
      <c r="X228" s="74">
        <f>X186*'Get Started'!$E$35/'Get Started'!$D$35+X186</f>
        <v>0</v>
      </c>
      <c r="Y228" s="74">
        <f>Y186*'Get Started'!$E$35/'Get Started'!$D$35+Y186</f>
        <v>0</v>
      </c>
      <c r="Z228" s="74">
        <f>Z186*'Get Started'!$E$35/'Get Started'!$D$35+Z186</f>
        <v>0</v>
      </c>
    </row>
    <row r="229" hidden="1" outlineLevel="1">
      <c r="B229" s="93">
        <f t="shared" si="135"/>
        <v>8</v>
      </c>
      <c r="C229" s="40"/>
      <c r="D229" s="16" t="s">
        <v>161</v>
      </c>
      <c r="E229" s="74">
        <f t="shared" si="108"/>
        <v>0</v>
      </c>
      <c r="F229" s="74"/>
      <c r="G229" s="74">
        <f>G187*'Get Started'!$E$35/'Get Started'!$D$35+G187</f>
        <v>0</v>
      </c>
      <c r="H229" s="74">
        <f>H187*'Get Started'!$E$35/'Get Started'!$D$35+H187</f>
        <v>0</v>
      </c>
      <c r="I229" s="74">
        <f>I187*'Get Started'!$E$35/'Get Started'!$D$35+I187</f>
        <v>0</v>
      </c>
      <c r="J229" s="74">
        <f>J187*'Get Started'!$E$35/'Get Started'!$D$35+J187</f>
        <v>0</v>
      </c>
      <c r="K229" s="74">
        <f>K187*'Get Started'!$E$35/'Get Started'!$D$35+K187</f>
        <v>0</v>
      </c>
      <c r="L229" s="74">
        <f>L187*'Get Started'!$E$35/'Get Started'!$D$35+L187</f>
        <v>0</v>
      </c>
      <c r="M229" s="74">
        <f>M187*'Get Started'!$E$35/'Get Started'!$D$35+M187</f>
        <v>0</v>
      </c>
      <c r="N229" s="74">
        <f>N187*'Get Started'!$E$35/'Get Started'!$D$35+N187</f>
        <v>0</v>
      </c>
      <c r="O229" s="74">
        <f>O187*'Get Started'!$E$35/'Get Started'!$D$35+O187</f>
        <v>0</v>
      </c>
      <c r="P229" s="74">
        <f>P187*'Get Started'!$E$35/'Get Started'!$D$35+P187</f>
        <v>0</v>
      </c>
      <c r="Q229" s="74">
        <f>Q187*'Get Started'!$E$35/'Get Started'!$D$35+Q187</f>
        <v>0</v>
      </c>
      <c r="R229" s="74">
        <f>R187*'Get Started'!$E$35/'Get Started'!$D$35+R187</f>
        <v>0</v>
      </c>
      <c r="S229" s="74">
        <f>S187*'Get Started'!$E$35/'Get Started'!$D$35+S187</f>
        <v>0</v>
      </c>
      <c r="T229" s="74">
        <f>T187*'Get Started'!$E$35/'Get Started'!$D$35+T187</f>
        <v>0</v>
      </c>
      <c r="U229" s="74">
        <f>U187*'Get Started'!$E$35/'Get Started'!$D$35+U187</f>
        <v>0</v>
      </c>
      <c r="V229" s="74">
        <f>V187*'Get Started'!$E$35/'Get Started'!$D$35+V187</f>
        <v>0</v>
      </c>
      <c r="W229" s="74">
        <f>W187*'Get Started'!$E$35/'Get Started'!$D$35+W187</f>
        <v>0</v>
      </c>
      <c r="X229" s="74">
        <f>X187*'Get Started'!$E$35/'Get Started'!$D$35+X187</f>
        <v>0</v>
      </c>
      <c r="Y229" s="74">
        <f>Y187*'Get Started'!$E$35/'Get Started'!$D$35+Y187</f>
        <v>0</v>
      </c>
      <c r="Z229" s="74">
        <f>Z187*'Get Started'!$E$35/'Get Started'!$D$35+Z187</f>
        <v>0</v>
      </c>
    </row>
    <row r="230" hidden="1" outlineLevel="1">
      <c r="B230" s="93">
        <f t="shared" si="135"/>
        <v>9</v>
      </c>
      <c r="C230" s="40"/>
      <c r="D230" s="16" t="s">
        <v>161</v>
      </c>
      <c r="E230" s="74">
        <f t="shared" si="108"/>
        <v>0</v>
      </c>
      <c r="F230" s="74"/>
      <c r="G230" s="74">
        <f>G188*'Get Started'!$E$35/'Get Started'!$D$35+G188</f>
        <v>0</v>
      </c>
      <c r="H230" s="74">
        <f>H188*'Get Started'!$E$35/'Get Started'!$D$35+H188</f>
        <v>0</v>
      </c>
      <c r="I230" s="74">
        <f>I188*'Get Started'!$E$35/'Get Started'!$D$35+I188</f>
        <v>0</v>
      </c>
      <c r="J230" s="74">
        <f>J188*'Get Started'!$E$35/'Get Started'!$D$35+J188</f>
        <v>0</v>
      </c>
      <c r="K230" s="74">
        <f>K188*'Get Started'!$E$35/'Get Started'!$D$35+K188</f>
        <v>0</v>
      </c>
      <c r="L230" s="74">
        <f>L188*'Get Started'!$E$35/'Get Started'!$D$35+L188</f>
        <v>0</v>
      </c>
      <c r="M230" s="74">
        <f>M188*'Get Started'!$E$35/'Get Started'!$D$35+M188</f>
        <v>0</v>
      </c>
      <c r="N230" s="74">
        <f>N188*'Get Started'!$E$35/'Get Started'!$D$35+N188</f>
        <v>0</v>
      </c>
      <c r="O230" s="74">
        <f>O188*'Get Started'!$E$35/'Get Started'!$D$35+O188</f>
        <v>0</v>
      </c>
      <c r="P230" s="74">
        <f>P188*'Get Started'!$E$35/'Get Started'!$D$35+P188</f>
        <v>0</v>
      </c>
      <c r="Q230" s="74">
        <f>Q188*'Get Started'!$E$35/'Get Started'!$D$35+Q188</f>
        <v>0</v>
      </c>
      <c r="R230" s="74">
        <f>R188*'Get Started'!$E$35/'Get Started'!$D$35+R188</f>
        <v>0</v>
      </c>
      <c r="S230" s="74">
        <f>S188*'Get Started'!$E$35/'Get Started'!$D$35+S188</f>
        <v>0</v>
      </c>
      <c r="T230" s="74">
        <f>T188*'Get Started'!$E$35/'Get Started'!$D$35+T188</f>
        <v>0</v>
      </c>
      <c r="U230" s="74">
        <f>U188*'Get Started'!$E$35/'Get Started'!$D$35+U188</f>
        <v>0</v>
      </c>
      <c r="V230" s="74">
        <f>V188*'Get Started'!$E$35/'Get Started'!$D$35+V188</f>
        <v>0</v>
      </c>
      <c r="W230" s="74">
        <f>W188*'Get Started'!$E$35/'Get Started'!$D$35+W188</f>
        <v>0</v>
      </c>
      <c r="X230" s="74">
        <f>X188*'Get Started'!$E$35/'Get Started'!$D$35+X188</f>
        <v>0</v>
      </c>
      <c r="Y230" s="74">
        <f>Y188*'Get Started'!$E$35/'Get Started'!$D$35+Y188</f>
        <v>0</v>
      </c>
      <c r="Z230" s="74">
        <f>Z188*'Get Started'!$E$35/'Get Started'!$D$35+Z188</f>
        <v>0</v>
      </c>
    </row>
    <row r="231" hidden="1" outlineLevel="1">
      <c r="B231" s="93">
        <f t="shared" si="135"/>
        <v>10</v>
      </c>
      <c r="C231" s="40"/>
      <c r="D231" s="16" t="s">
        <v>161</v>
      </c>
      <c r="E231" s="74">
        <f t="shared" si="108"/>
        <v>0</v>
      </c>
      <c r="F231" s="74"/>
      <c r="G231" s="74">
        <f>G189*'Get Started'!$E$35/'Get Started'!$D$35+G189</f>
        <v>0</v>
      </c>
      <c r="H231" s="74">
        <f>H189*'Get Started'!$E$35/'Get Started'!$D$35+H189</f>
        <v>0</v>
      </c>
      <c r="I231" s="74">
        <f>I189*'Get Started'!$E$35/'Get Started'!$D$35+I189</f>
        <v>0</v>
      </c>
      <c r="J231" s="74">
        <f>J189*'Get Started'!$E$35/'Get Started'!$D$35+J189</f>
        <v>0</v>
      </c>
      <c r="K231" s="74">
        <f>K189*'Get Started'!$E$35/'Get Started'!$D$35+K189</f>
        <v>0</v>
      </c>
      <c r="L231" s="74">
        <f>L189*'Get Started'!$E$35/'Get Started'!$D$35+L189</f>
        <v>0</v>
      </c>
      <c r="M231" s="74">
        <f>M189*'Get Started'!$E$35/'Get Started'!$D$35+M189</f>
        <v>0</v>
      </c>
      <c r="N231" s="74">
        <f>N189*'Get Started'!$E$35/'Get Started'!$D$35+N189</f>
        <v>0</v>
      </c>
      <c r="O231" s="74">
        <f>O189*'Get Started'!$E$35/'Get Started'!$D$35+O189</f>
        <v>0</v>
      </c>
      <c r="P231" s="74">
        <f>P189*'Get Started'!$E$35/'Get Started'!$D$35+P189</f>
        <v>0</v>
      </c>
      <c r="Q231" s="74">
        <f>Q189*'Get Started'!$E$35/'Get Started'!$D$35+Q189</f>
        <v>0</v>
      </c>
      <c r="R231" s="74">
        <f>R189*'Get Started'!$E$35/'Get Started'!$D$35+R189</f>
        <v>0</v>
      </c>
      <c r="S231" s="74">
        <f>S189*'Get Started'!$E$35/'Get Started'!$D$35+S189</f>
        <v>0</v>
      </c>
      <c r="T231" s="74">
        <f>T189*'Get Started'!$E$35/'Get Started'!$D$35+T189</f>
        <v>0</v>
      </c>
      <c r="U231" s="74">
        <f>U189*'Get Started'!$E$35/'Get Started'!$D$35+U189</f>
        <v>0</v>
      </c>
      <c r="V231" s="74">
        <f>V189*'Get Started'!$E$35/'Get Started'!$D$35+V189</f>
        <v>0</v>
      </c>
      <c r="W231" s="74">
        <f>W189*'Get Started'!$E$35/'Get Started'!$D$35+W189</f>
        <v>0</v>
      </c>
      <c r="X231" s="74">
        <f>X189*'Get Started'!$E$35/'Get Started'!$D$35+X189</f>
        <v>0</v>
      </c>
      <c r="Y231" s="74">
        <f>Y189*'Get Started'!$E$35/'Get Started'!$D$35+Y189</f>
        <v>0</v>
      </c>
      <c r="Z231" s="74">
        <f>Z189*'Get Started'!$E$35/'Get Started'!$D$35+Z189</f>
        <v>0</v>
      </c>
    </row>
    <row r="232" hidden="1" outlineLevel="1">
      <c r="B232" s="93">
        <f t="shared" si="135"/>
        <v>11</v>
      </c>
      <c r="C232" s="40"/>
      <c r="D232" s="16" t="s">
        <v>161</v>
      </c>
      <c r="E232" s="74">
        <f t="shared" si="108"/>
        <v>0</v>
      </c>
      <c r="F232" s="74"/>
      <c r="G232" s="74">
        <f>G190*'Get Started'!$E$35/'Get Started'!$D$35+G190</f>
        <v>0</v>
      </c>
      <c r="H232" s="74">
        <f>H190*'Get Started'!$E$35/'Get Started'!$D$35+H190</f>
        <v>0</v>
      </c>
      <c r="I232" s="74">
        <f>I190*'Get Started'!$E$35/'Get Started'!$D$35+I190</f>
        <v>0</v>
      </c>
      <c r="J232" s="74">
        <f>J190*'Get Started'!$E$35/'Get Started'!$D$35+J190</f>
        <v>0</v>
      </c>
      <c r="K232" s="74">
        <f>K190*'Get Started'!$E$35/'Get Started'!$D$35+K190</f>
        <v>0</v>
      </c>
      <c r="L232" s="74">
        <f>L190*'Get Started'!$E$35/'Get Started'!$D$35+L190</f>
        <v>0</v>
      </c>
      <c r="M232" s="74">
        <f>M190*'Get Started'!$E$35/'Get Started'!$D$35+M190</f>
        <v>0</v>
      </c>
      <c r="N232" s="74">
        <f>N190*'Get Started'!$E$35/'Get Started'!$D$35+N190</f>
        <v>0</v>
      </c>
      <c r="O232" s="74">
        <f>O190*'Get Started'!$E$35/'Get Started'!$D$35+O190</f>
        <v>0</v>
      </c>
      <c r="P232" s="74">
        <f>P190*'Get Started'!$E$35/'Get Started'!$D$35+P190</f>
        <v>0</v>
      </c>
      <c r="Q232" s="74">
        <f>Q190*'Get Started'!$E$35/'Get Started'!$D$35+Q190</f>
        <v>0</v>
      </c>
      <c r="R232" s="74">
        <f>R190*'Get Started'!$E$35/'Get Started'!$D$35+R190</f>
        <v>0</v>
      </c>
      <c r="S232" s="74">
        <f>S190*'Get Started'!$E$35/'Get Started'!$D$35+S190</f>
        <v>0</v>
      </c>
      <c r="T232" s="74">
        <f>T190*'Get Started'!$E$35/'Get Started'!$D$35+T190</f>
        <v>0</v>
      </c>
      <c r="U232" s="74">
        <f>U190*'Get Started'!$E$35/'Get Started'!$D$35+U190</f>
        <v>0</v>
      </c>
      <c r="V232" s="74">
        <f>V190*'Get Started'!$E$35/'Get Started'!$D$35+V190</f>
        <v>0</v>
      </c>
      <c r="W232" s="74">
        <f>W190*'Get Started'!$E$35/'Get Started'!$D$35+W190</f>
        <v>0</v>
      </c>
      <c r="X232" s="74">
        <f>X190*'Get Started'!$E$35/'Get Started'!$D$35+X190</f>
        <v>0</v>
      </c>
      <c r="Y232" s="74">
        <f>Y190*'Get Started'!$E$35/'Get Started'!$D$35+Y190</f>
        <v>0</v>
      </c>
      <c r="Z232" s="74">
        <f>Z190*'Get Started'!$E$35/'Get Started'!$D$35+Z190</f>
        <v>0</v>
      </c>
    </row>
    <row r="233" hidden="1" outlineLevel="1">
      <c r="B233" s="93">
        <f t="shared" si="135"/>
        <v>12</v>
      </c>
      <c r="C233" s="40"/>
      <c r="D233" s="16" t="s">
        <v>161</v>
      </c>
      <c r="E233" s="74">
        <f t="shared" si="108"/>
        <v>0</v>
      </c>
      <c r="F233" s="74"/>
      <c r="G233" s="74">
        <f>G191*'Get Started'!$E$35/'Get Started'!$D$35+G191</f>
        <v>0</v>
      </c>
      <c r="H233" s="74">
        <f>H191*'Get Started'!$E$35/'Get Started'!$D$35+H191</f>
        <v>0</v>
      </c>
      <c r="I233" s="74">
        <f>I191*'Get Started'!$E$35/'Get Started'!$D$35+I191</f>
        <v>0</v>
      </c>
      <c r="J233" s="74">
        <f>J191*'Get Started'!$E$35/'Get Started'!$D$35+J191</f>
        <v>0</v>
      </c>
      <c r="K233" s="74">
        <f>K191*'Get Started'!$E$35/'Get Started'!$D$35+K191</f>
        <v>0</v>
      </c>
      <c r="L233" s="74">
        <f>L191*'Get Started'!$E$35/'Get Started'!$D$35+L191</f>
        <v>0</v>
      </c>
      <c r="M233" s="74">
        <f>M191*'Get Started'!$E$35/'Get Started'!$D$35+M191</f>
        <v>0</v>
      </c>
      <c r="N233" s="74">
        <f>N191*'Get Started'!$E$35/'Get Started'!$D$35+N191</f>
        <v>0</v>
      </c>
      <c r="O233" s="74">
        <f>O191*'Get Started'!$E$35/'Get Started'!$D$35+O191</f>
        <v>0</v>
      </c>
      <c r="P233" s="74">
        <f>P191*'Get Started'!$E$35/'Get Started'!$D$35+P191</f>
        <v>0</v>
      </c>
      <c r="Q233" s="74">
        <f>Q191*'Get Started'!$E$35/'Get Started'!$D$35+Q191</f>
        <v>0</v>
      </c>
      <c r="R233" s="74">
        <f>R191*'Get Started'!$E$35/'Get Started'!$D$35+R191</f>
        <v>0</v>
      </c>
      <c r="S233" s="74">
        <f>S191*'Get Started'!$E$35/'Get Started'!$D$35+S191</f>
        <v>0</v>
      </c>
      <c r="T233" s="74">
        <f>T191*'Get Started'!$E$35/'Get Started'!$D$35+T191</f>
        <v>0</v>
      </c>
      <c r="U233" s="74">
        <f>U191*'Get Started'!$E$35/'Get Started'!$D$35+U191</f>
        <v>0</v>
      </c>
      <c r="V233" s="74">
        <f>V191*'Get Started'!$E$35/'Get Started'!$D$35+V191</f>
        <v>0</v>
      </c>
      <c r="W233" s="74">
        <f>W191*'Get Started'!$E$35/'Get Started'!$D$35+W191</f>
        <v>0</v>
      </c>
      <c r="X233" s="74">
        <f>X191*'Get Started'!$E$35/'Get Started'!$D$35+X191</f>
        <v>0</v>
      </c>
      <c r="Y233" s="74">
        <f>Y191*'Get Started'!$E$35/'Get Started'!$D$35+Y191</f>
        <v>0</v>
      </c>
      <c r="Z233" s="74">
        <f>Z191*'Get Started'!$E$35/'Get Started'!$D$35+Z191</f>
        <v>0</v>
      </c>
    </row>
    <row r="234" hidden="1" outlineLevel="1">
      <c r="B234" s="93">
        <f t="shared" si="135"/>
        <v>13</v>
      </c>
      <c r="C234" s="40"/>
      <c r="D234" s="16" t="s">
        <v>161</v>
      </c>
      <c r="E234" s="74">
        <f t="shared" si="108"/>
        <v>0</v>
      </c>
      <c r="F234" s="74"/>
      <c r="G234" s="74">
        <f>G192*'Get Started'!$E$35/'Get Started'!$D$35+G192</f>
        <v>0</v>
      </c>
      <c r="H234" s="74">
        <f>H192*'Get Started'!$E$35/'Get Started'!$D$35+H192</f>
        <v>0</v>
      </c>
      <c r="I234" s="74">
        <f>I192*'Get Started'!$E$35/'Get Started'!$D$35+I192</f>
        <v>0</v>
      </c>
      <c r="J234" s="74">
        <f>J192*'Get Started'!$E$35/'Get Started'!$D$35+J192</f>
        <v>0</v>
      </c>
      <c r="K234" s="74">
        <f>K192*'Get Started'!$E$35/'Get Started'!$D$35+K192</f>
        <v>0</v>
      </c>
      <c r="L234" s="74">
        <f>L192*'Get Started'!$E$35/'Get Started'!$D$35+L192</f>
        <v>0</v>
      </c>
      <c r="M234" s="74">
        <f>M192*'Get Started'!$E$35/'Get Started'!$D$35+M192</f>
        <v>0</v>
      </c>
      <c r="N234" s="74">
        <f>N192*'Get Started'!$E$35/'Get Started'!$D$35+N192</f>
        <v>0</v>
      </c>
      <c r="O234" s="74">
        <f>O192*'Get Started'!$E$35/'Get Started'!$D$35+O192</f>
        <v>0</v>
      </c>
      <c r="P234" s="74">
        <f>P192*'Get Started'!$E$35/'Get Started'!$D$35+P192</f>
        <v>0</v>
      </c>
      <c r="Q234" s="74">
        <f>Q192*'Get Started'!$E$35/'Get Started'!$D$35+Q192</f>
        <v>0</v>
      </c>
      <c r="R234" s="74">
        <f>R192*'Get Started'!$E$35/'Get Started'!$D$35+R192</f>
        <v>0</v>
      </c>
      <c r="S234" s="74">
        <f>S192*'Get Started'!$E$35/'Get Started'!$D$35+S192</f>
        <v>0</v>
      </c>
      <c r="T234" s="74">
        <f>T192*'Get Started'!$E$35/'Get Started'!$D$35+T192</f>
        <v>0</v>
      </c>
      <c r="U234" s="74">
        <f>U192*'Get Started'!$E$35/'Get Started'!$D$35+U192</f>
        <v>0</v>
      </c>
      <c r="V234" s="74">
        <f>V192*'Get Started'!$E$35/'Get Started'!$D$35+V192</f>
        <v>0</v>
      </c>
      <c r="W234" s="74">
        <f>W192*'Get Started'!$E$35/'Get Started'!$D$35+W192</f>
        <v>0</v>
      </c>
      <c r="X234" s="74">
        <f>X192*'Get Started'!$E$35/'Get Started'!$D$35+X192</f>
        <v>0</v>
      </c>
      <c r="Y234" s="74">
        <f>Y192*'Get Started'!$E$35/'Get Started'!$D$35+Y192</f>
        <v>0</v>
      </c>
      <c r="Z234" s="74">
        <f>Z192*'Get Started'!$E$35/'Get Started'!$D$35+Z192</f>
        <v>0</v>
      </c>
    </row>
    <row r="235" hidden="1" outlineLevel="1">
      <c r="B235" s="93">
        <f t="shared" si="135"/>
        <v>14</v>
      </c>
      <c r="C235" s="40"/>
      <c r="D235" s="16" t="s">
        <v>161</v>
      </c>
      <c r="E235" s="74">
        <f t="shared" si="108"/>
        <v>0</v>
      </c>
      <c r="F235" s="74"/>
      <c r="G235" s="74">
        <f>G193*'Get Started'!$E$35/'Get Started'!$D$35+G193</f>
        <v>0</v>
      </c>
      <c r="H235" s="74">
        <f>H193*'Get Started'!$E$35/'Get Started'!$D$35+H193</f>
        <v>0</v>
      </c>
      <c r="I235" s="74">
        <f>I193*'Get Started'!$E$35/'Get Started'!$D$35+I193</f>
        <v>0</v>
      </c>
      <c r="J235" s="74">
        <f>J193*'Get Started'!$E$35/'Get Started'!$D$35+J193</f>
        <v>0</v>
      </c>
      <c r="K235" s="74">
        <f>K193*'Get Started'!$E$35/'Get Started'!$D$35+K193</f>
        <v>0</v>
      </c>
      <c r="L235" s="74">
        <f>L193*'Get Started'!$E$35/'Get Started'!$D$35+L193</f>
        <v>0</v>
      </c>
      <c r="M235" s="74">
        <f>M193*'Get Started'!$E$35/'Get Started'!$D$35+M193</f>
        <v>0</v>
      </c>
      <c r="N235" s="74">
        <f>N193*'Get Started'!$E$35/'Get Started'!$D$35+N193</f>
        <v>0</v>
      </c>
      <c r="O235" s="74">
        <f>O193*'Get Started'!$E$35/'Get Started'!$D$35+O193</f>
        <v>0</v>
      </c>
      <c r="P235" s="74">
        <f>P193*'Get Started'!$E$35/'Get Started'!$D$35+P193</f>
        <v>0</v>
      </c>
      <c r="Q235" s="74">
        <f>Q193*'Get Started'!$E$35/'Get Started'!$D$35+Q193</f>
        <v>0</v>
      </c>
      <c r="R235" s="74">
        <f>R193*'Get Started'!$E$35/'Get Started'!$D$35+R193</f>
        <v>0</v>
      </c>
      <c r="S235" s="74">
        <f>S193*'Get Started'!$E$35/'Get Started'!$D$35+S193</f>
        <v>0</v>
      </c>
      <c r="T235" s="74">
        <f>T193*'Get Started'!$E$35/'Get Started'!$D$35+T193</f>
        <v>0</v>
      </c>
      <c r="U235" s="74">
        <f>U193*'Get Started'!$E$35/'Get Started'!$D$35+U193</f>
        <v>0</v>
      </c>
      <c r="V235" s="74">
        <f>V193*'Get Started'!$E$35/'Get Started'!$D$35+V193</f>
        <v>0</v>
      </c>
      <c r="W235" s="74">
        <f>W193*'Get Started'!$E$35/'Get Started'!$D$35+W193</f>
        <v>0</v>
      </c>
      <c r="X235" s="74">
        <f>X193*'Get Started'!$E$35/'Get Started'!$D$35+X193</f>
        <v>0</v>
      </c>
      <c r="Y235" s="74">
        <f>Y193*'Get Started'!$E$35/'Get Started'!$D$35+Y193</f>
        <v>0</v>
      </c>
      <c r="Z235" s="74">
        <f>Z193*'Get Started'!$E$35/'Get Started'!$D$35+Z193</f>
        <v>0</v>
      </c>
    </row>
    <row r="236" hidden="1" outlineLevel="1">
      <c r="B236" s="93">
        <f t="shared" si="135"/>
        <v>15</v>
      </c>
      <c r="C236" s="40"/>
      <c r="D236" s="16" t="s">
        <v>161</v>
      </c>
      <c r="E236" s="74">
        <f t="shared" si="108"/>
        <v>0</v>
      </c>
      <c r="F236" s="74"/>
      <c r="G236" s="74">
        <f>G194*'Get Started'!$E$35/'Get Started'!$D$35+G194</f>
        <v>0</v>
      </c>
      <c r="H236" s="74">
        <f>H194*'Get Started'!$E$35/'Get Started'!$D$35+H194</f>
        <v>0</v>
      </c>
      <c r="I236" s="74">
        <f>I194*'Get Started'!$E$35/'Get Started'!$D$35+I194</f>
        <v>0</v>
      </c>
      <c r="J236" s="74">
        <f>J194*'Get Started'!$E$35/'Get Started'!$D$35+J194</f>
        <v>0</v>
      </c>
      <c r="K236" s="74">
        <f>K194*'Get Started'!$E$35/'Get Started'!$D$35+K194</f>
        <v>0</v>
      </c>
      <c r="L236" s="74">
        <f>L194*'Get Started'!$E$35/'Get Started'!$D$35+L194</f>
        <v>0</v>
      </c>
      <c r="M236" s="74">
        <f>M194*'Get Started'!$E$35/'Get Started'!$D$35+M194</f>
        <v>0</v>
      </c>
      <c r="N236" s="74">
        <f>N194*'Get Started'!$E$35/'Get Started'!$D$35+N194</f>
        <v>0</v>
      </c>
      <c r="O236" s="74">
        <f>O194*'Get Started'!$E$35/'Get Started'!$D$35+O194</f>
        <v>0</v>
      </c>
      <c r="P236" s="74">
        <f>P194*'Get Started'!$E$35/'Get Started'!$D$35+P194</f>
        <v>0</v>
      </c>
      <c r="Q236" s="74">
        <f>Q194*'Get Started'!$E$35/'Get Started'!$D$35+Q194</f>
        <v>0</v>
      </c>
      <c r="R236" s="74">
        <f>R194*'Get Started'!$E$35/'Get Started'!$D$35+R194</f>
        <v>0</v>
      </c>
      <c r="S236" s="74">
        <f>S194*'Get Started'!$E$35/'Get Started'!$D$35+S194</f>
        <v>0</v>
      </c>
      <c r="T236" s="74">
        <f>T194*'Get Started'!$E$35/'Get Started'!$D$35+T194</f>
        <v>0</v>
      </c>
      <c r="U236" s="74">
        <f>U194*'Get Started'!$E$35/'Get Started'!$D$35+U194</f>
        <v>0</v>
      </c>
      <c r="V236" s="74">
        <f>V194*'Get Started'!$E$35/'Get Started'!$D$35+V194</f>
        <v>0</v>
      </c>
      <c r="W236" s="74">
        <f>W194*'Get Started'!$E$35/'Get Started'!$D$35+W194</f>
        <v>0</v>
      </c>
      <c r="X236" s="74">
        <f>X194*'Get Started'!$E$35/'Get Started'!$D$35+X194</f>
        <v>0</v>
      </c>
      <c r="Y236" s="74">
        <f>Y194*'Get Started'!$E$35/'Get Started'!$D$35+Y194</f>
        <v>0</v>
      </c>
      <c r="Z236" s="74">
        <f>Z194*'Get Started'!$E$35/'Get Started'!$D$35+Z194</f>
        <v>0</v>
      </c>
    </row>
    <row r="237" hidden="1" outlineLevel="1">
      <c r="B237" s="93">
        <f t="shared" si="135"/>
        <v>16</v>
      </c>
      <c r="C237" s="40"/>
      <c r="D237" s="16" t="s">
        <v>161</v>
      </c>
      <c r="E237" s="74">
        <f t="shared" si="108"/>
        <v>0</v>
      </c>
      <c r="F237" s="74"/>
      <c r="G237" s="74">
        <f>G195*'Get Started'!$E$35/'Get Started'!$D$35+G195</f>
        <v>0</v>
      </c>
      <c r="H237" s="74">
        <f>H195*'Get Started'!$E$35/'Get Started'!$D$35+H195</f>
        <v>0</v>
      </c>
      <c r="I237" s="74">
        <f>I195*'Get Started'!$E$35/'Get Started'!$D$35+I195</f>
        <v>0</v>
      </c>
      <c r="J237" s="74">
        <f>J195*'Get Started'!$E$35/'Get Started'!$D$35+J195</f>
        <v>0</v>
      </c>
      <c r="K237" s="74">
        <f>K195*'Get Started'!$E$35/'Get Started'!$D$35+K195</f>
        <v>0</v>
      </c>
      <c r="L237" s="74">
        <f>L195*'Get Started'!$E$35/'Get Started'!$D$35+L195</f>
        <v>0</v>
      </c>
      <c r="M237" s="74">
        <f>M195*'Get Started'!$E$35/'Get Started'!$D$35+M195</f>
        <v>0</v>
      </c>
      <c r="N237" s="74">
        <f>N195*'Get Started'!$E$35/'Get Started'!$D$35+N195</f>
        <v>0</v>
      </c>
      <c r="O237" s="74">
        <f>O195*'Get Started'!$E$35/'Get Started'!$D$35+O195</f>
        <v>0</v>
      </c>
      <c r="P237" s="74">
        <f>P195*'Get Started'!$E$35/'Get Started'!$D$35+P195</f>
        <v>0</v>
      </c>
      <c r="Q237" s="74">
        <f>Q195*'Get Started'!$E$35/'Get Started'!$D$35+Q195</f>
        <v>0</v>
      </c>
      <c r="R237" s="74">
        <f>R195*'Get Started'!$E$35/'Get Started'!$D$35+R195</f>
        <v>0</v>
      </c>
      <c r="S237" s="74">
        <f>S195*'Get Started'!$E$35/'Get Started'!$D$35+S195</f>
        <v>0</v>
      </c>
      <c r="T237" s="74">
        <f>T195*'Get Started'!$E$35/'Get Started'!$D$35+T195</f>
        <v>0</v>
      </c>
      <c r="U237" s="74">
        <f>U195*'Get Started'!$E$35/'Get Started'!$D$35+U195</f>
        <v>0</v>
      </c>
      <c r="V237" s="74">
        <f>V195*'Get Started'!$E$35/'Get Started'!$D$35+V195</f>
        <v>0</v>
      </c>
      <c r="W237" s="74">
        <f>W195*'Get Started'!$E$35/'Get Started'!$D$35+W195</f>
        <v>0</v>
      </c>
      <c r="X237" s="74">
        <f>X195*'Get Started'!$E$35/'Get Started'!$D$35+X195</f>
        <v>0</v>
      </c>
      <c r="Y237" s="74">
        <f>Y195*'Get Started'!$E$35/'Get Started'!$D$35+Y195</f>
        <v>0</v>
      </c>
      <c r="Z237" s="74">
        <f>Z195*'Get Started'!$E$35/'Get Started'!$D$35+Z195</f>
        <v>0</v>
      </c>
    </row>
    <row r="238" hidden="1" outlineLevel="1">
      <c r="B238" s="93">
        <f t="shared" si="135"/>
        <v>17</v>
      </c>
      <c r="C238" s="40"/>
      <c r="D238" s="16" t="s">
        <v>161</v>
      </c>
      <c r="E238" s="74">
        <f t="shared" si="108"/>
        <v>0</v>
      </c>
      <c r="F238" s="74"/>
      <c r="G238" s="74">
        <f>G196*'Get Started'!$E$35/'Get Started'!$D$35+G196</f>
        <v>0</v>
      </c>
      <c r="H238" s="74">
        <f>H196*'Get Started'!$E$35/'Get Started'!$D$35+H196</f>
        <v>0</v>
      </c>
      <c r="I238" s="74">
        <f>I196*'Get Started'!$E$35/'Get Started'!$D$35+I196</f>
        <v>0</v>
      </c>
      <c r="J238" s="74">
        <f>J196*'Get Started'!$E$35/'Get Started'!$D$35+J196</f>
        <v>0</v>
      </c>
      <c r="K238" s="74">
        <f>K196*'Get Started'!$E$35/'Get Started'!$D$35+K196</f>
        <v>0</v>
      </c>
      <c r="L238" s="74">
        <f>L196*'Get Started'!$E$35/'Get Started'!$D$35+L196</f>
        <v>0</v>
      </c>
      <c r="M238" s="74">
        <f>M196*'Get Started'!$E$35/'Get Started'!$D$35+M196</f>
        <v>0</v>
      </c>
      <c r="N238" s="74">
        <f>N196*'Get Started'!$E$35/'Get Started'!$D$35+N196</f>
        <v>0</v>
      </c>
      <c r="O238" s="74">
        <f>O196*'Get Started'!$E$35/'Get Started'!$D$35+O196</f>
        <v>0</v>
      </c>
      <c r="P238" s="74">
        <f>P196*'Get Started'!$E$35/'Get Started'!$D$35+P196</f>
        <v>0</v>
      </c>
      <c r="Q238" s="74">
        <f>Q196*'Get Started'!$E$35/'Get Started'!$D$35+Q196</f>
        <v>0</v>
      </c>
      <c r="R238" s="74">
        <f>R196*'Get Started'!$E$35/'Get Started'!$D$35+R196</f>
        <v>0</v>
      </c>
      <c r="S238" s="74">
        <f>S196*'Get Started'!$E$35/'Get Started'!$D$35+S196</f>
        <v>0</v>
      </c>
      <c r="T238" s="74">
        <f>T196*'Get Started'!$E$35/'Get Started'!$D$35+T196</f>
        <v>0</v>
      </c>
      <c r="U238" s="74">
        <f>U196*'Get Started'!$E$35/'Get Started'!$D$35+U196</f>
        <v>0</v>
      </c>
      <c r="V238" s="74">
        <f>V196*'Get Started'!$E$35/'Get Started'!$D$35+V196</f>
        <v>0</v>
      </c>
      <c r="W238" s="74">
        <f>W196*'Get Started'!$E$35/'Get Started'!$D$35+W196</f>
        <v>0</v>
      </c>
      <c r="X238" s="74">
        <f>X196*'Get Started'!$E$35/'Get Started'!$D$35+X196</f>
        <v>0</v>
      </c>
      <c r="Y238" s="74">
        <f>Y196*'Get Started'!$E$35/'Get Started'!$D$35+Y196</f>
        <v>0</v>
      </c>
      <c r="Z238" s="74">
        <f>Z196*'Get Started'!$E$35/'Get Started'!$D$35+Z196</f>
        <v>0</v>
      </c>
    </row>
    <row r="239" hidden="1" outlineLevel="1">
      <c r="B239" s="93">
        <f t="shared" si="135"/>
        <v>18</v>
      </c>
      <c r="C239" s="40"/>
      <c r="D239" s="16" t="s">
        <v>161</v>
      </c>
      <c r="E239" s="74">
        <f t="shared" si="108"/>
        <v>0</v>
      </c>
      <c r="F239" s="74"/>
      <c r="G239" s="74">
        <f>G197*'Get Started'!$E$35/'Get Started'!$D$35+G197</f>
        <v>0</v>
      </c>
      <c r="H239" s="74">
        <f>H197*'Get Started'!$E$35/'Get Started'!$D$35+H197</f>
        <v>0</v>
      </c>
      <c r="I239" s="74">
        <f>I197*'Get Started'!$E$35/'Get Started'!$D$35+I197</f>
        <v>0</v>
      </c>
      <c r="J239" s="74">
        <f>J197*'Get Started'!$E$35/'Get Started'!$D$35+J197</f>
        <v>0</v>
      </c>
      <c r="K239" s="74">
        <f>K197*'Get Started'!$E$35/'Get Started'!$D$35+K197</f>
        <v>0</v>
      </c>
      <c r="L239" s="74">
        <f>L197*'Get Started'!$E$35/'Get Started'!$D$35+L197</f>
        <v>0</v>
      </c>
      <c r="M239" s="74">
        <f>M197*'Get Started'!$E$35/'Get Started'!$D$35+M197</f>
        <v>0</v>
      </c>
      <c r="N239" s="74">
        <f>N197*'Get Started'!$E$35/'Get Started'!$D$35+N197</f>
        <v>0</v>
      </c>
      <c r="O239" s="74">
        <f>O197*'Get Started'!$E$35/'Get Started'!$D$35+O197</f>
        <v>0</v>
      </c>
      <c r="P239" s="74">
        <f>P197*'Get Started'!$E$35/'Get Started'!$D$35+P197</f>
        <v>0</v>
      </c>
      <c r="Q239" s="74">
        <f>Q197*'Get Started'!$E$35/'Get Started'!$D$35+Q197</f>
        <v>0</v>
      </c>
      <c r="R239" s="74">
        <f>R197*'Get Started'!$E$35/'Get Started'!$D$35+R197</f>
        <v>0</v>
      </c>
      <c r="S239" s="74">
        <f>S197*'Get Started'!$E$35/'Get Started'!$D$35+S197</f>
        <v>0</v>
      </c>
      <c r="T239" s="74">
        <f>T197*'Get Started'!$E$35/'Get Started'!$D$35+T197</f>
        <v>0</v>
      </c>
      <c r="U239" s="74">
        <f>U197*'Get Started'!$E$35/'Get Started'!$D$35+U197</f>
        <v>0</v>
      </c>
      <c r="V239" s="74">
        <f>V197*'Get Started'!$E$35/'Get Started'!$D$35+V197</f>
        <v>0</v>
      </c>
      <c r="W239" s="74">
        <f>W197*'Get Started'!$E$35/'Get Started'!$D$35+W197</f>
        <v>0</v>
      </c>
      <c r="X239" s="74">
        <f>X197*'Get Started'!$E$35/'Get Started'!$D$35+X197</f>
        <v>0</v>
      </c>
      <c r="Y239" s="74">
        <f>Y197*'Get Started'!$E$35/'Get Started'!$D$35+Y197</f>
        <v>0</v>
      </c>
      <c r="Z239" s="74">
        <f>Z197*'Get Started'!$E$35/'Get Started'!$D$35+Z197</f>
        <v>0</v>
      </c>
    </row>
    <row r="240" hidden="1" outlineLevel="1">
      <c r="B240" s="93">
        <f t="shared" si="135"/>
        <v>19</v>
      </c>
      <c r="C240" s="40"/>
      <c r="D240" s="16" t="s">
        <v>161</v>
      </c>
      <c r="E240" s="74">
        <f t="shared" si="108"/>
        <v>0</v>
      </c>
      <c r="F240" s="74"/>
      <c r="G240" s="74">
        <f>G198*'Get Started'!$E$35/'Get Started'!$D$35+G198</f>
        <v>0</v>
      </c>
      <c r="H240" s="74">
        <f>H198*'Get Started'!$E$35/'Get Started'!$D$35+H198</f>
        <v>0</v>
      </c>
      <c r="I240" s="74">
        <f>I198*'Get Started'!$E$35/'Get Started'!$D$35+I198</f>
        <v>0</v>
      </c>
      <c r="J240" s="74">
        <f>J198*'Get Started'!$E$35/'Get Started'!$D$35+J198</f>
        <v>0</v>
      </c>
      <c r="K240" s="74">
        <f>K198*'Get Started'!$E$35/'Get Started'!$D$35+K198</f>
        <v>0</v>
      </c>
      <c r="L240" s="74">
        <f>L198*'Get Started'!$E$35/'Get Started'!$D$35+L198</f>
        <v>0</v>
      </c>
      <c r="M240" s="74">
        <f>M198*'Get Started'!$E$35/'Get Started'!$D$35+M198</f>
        <v>0</v>
      </c>
      <c r="N240" s="74">
        <f>N198*'Get Started'!$E$35/'Get Started'!$D$35+N198</f>
        <v>0</v>
      </c>
      <c r="O240" s="74">
        <f>O198*'Get Started'!$E$35/'Get Started'!$D$35+O198</f>
        <v>0</v>
      </c>
      <c r="P240" s="74">
        <f>P198*'Get Started'!$E$35/'Get Started'!$D$35+P198</f>
        <v>0</v>
      </c>
      <c r="Q240" s="74">
        <f>Q198*'Get Started'!$E$35/'Get Started'!$D$35+Q198</f>
        <v>0</v>
      </c>
      <c r="R240" s="74">
        <f>R198*'Get Started'!$E$35/'Get Started'!$D$35+R198</f>
        <v>0</v>
      </c>
      <c r="S240" s="74">
        <f>S198*'Get Started'!$E$35/'Get Started'!$D$35+S198</f>
        <v>0</v>
      </c>
      <c r="T240" s="74">
        <f>T198*'Get Started'!$E$35/'Get Started'!$D$35+T198</f>
        <v>0</v>
      </c>
      <c r="U240" s="74">
        <f>U198*'Get Started'!$E$35/'Get Started'!$D$35+U198</f>
        <v>0</v>
      </c>
      <c r="V240" s="74">
        <f>V198*'Get Started'!$E$35/'Get Started'!$D$35+V198</f>
        <v>0</v>
      </c>
      <c r="W240" s="74">
        <f>W198*'Get Started'!$E$35/'Get Started'!$D$35+W198</f>
        <v>0</v>
      </c>
      <c r="X240" s="74">
        <f>X198*'Get Started'!$E$35/'Get Started'!$D$35+X198</f>
        <v>0</v>
      </c>
      <c r="Y240" s="74">
        <f>Y198*'Get Started'!$E$35/'Get Started'!$D$35+Y198</f>
        <v>0</v>
      </c>
      <c r="Z240" s="74">
        <f>Z198*'Get Started'!$E$35/'Get Started'!$D$35+Z198</f>
        <v>0</v>
      </c>
    </row>
    <row r="241" hidden="1" outlineLevel="1">
      <c r="B241" s="93">
        <f t="shared" si="135"/>
        <v>20</v>
      </c>
      <c r="C241" s="40"/>
      <c r="D241" s="16" t="s">
        <v>161</v>
      </c>
      <c r="E241" s="74">
        <f t="shared" si="108"/>
        <v>0</v>
      </c>
      <c r="F241" s="74"/>
      <c r="G241" s="74">
        <f>G199*'Get Started'!$E$35/'Get Started'!$D$35+G199</f>
        <v>0</v>
      </c>
      <c r="H241" s="74">
        <f>H199*'Get Started'!$E$35/'Get Started'!$D$35+H199</f>
        <v>0</v>
      </c>
      <c r="I241" s="74">
        <f>I199*'Get Started'!$E$35/'Get Started'!$D$35+I199</f>
        <v>0</v>
      </c>
      <c r="J241" s="74">
        <f>J199*'Get Started'!$E$35/'Get Started'!$D$35+J199</f>
        <v>0</v>
      </c>
      <c r="K241" s="74">
        <f>K199*'Get Started'!$E$35/'Get Started'!$D$35+K199</f>
        <v>0</v>
      </c>
      <c r="L241" s="74">
        <f>L199*'Get Started'!$E$35/'Get Started'!$D$35+L199</f>
        <v>0</v>
      </c>
      <c r="M241" s="74">
        <f>M199*'Get Started'!$E$35/'Get Started'!$D$35+M199</f>
        <v>0</v>
      </c>
      <c r="N241" s="74">
        <f>N199*'Get Started'!$E$35/'Get Started'!$D$35+N199</f>
        <v>0</v>
      </c>
      <c r="O241" s="74">
        <f>O199*'Get Started'!$E$35/'Get Started'!$D$35+O199</f>
        <v>0</v>
      </c>
      <c r="P241" s="74">
        <f>P199*'Get Started'!$E$35/'Get Started'!$D$35+P199</f>
        <v>0</v>
      </c>
      <c r="Q241" s="74">
        <f>Q199*'Get Started'!$E$35/'Get Started'!$D$35+Q199</f>
        <v>0</v>
      </c>
      <c r="R241" s="74">
        <f>R199*'Get Started'!$E$35/'Get Started'!$D$35+R199</f>
        <v>0</v>
      </c>
      <c r="S241" s="74">
        <f>S199*'Get Started'!$E$35/'Get Started'!$D$35+S199</f>
        <v>0</v>
      </c>
      <c r="T241" s="74">
        <f>T199*'Get Started'!$E$35/'Get Started'!$D$35+T199</f>
        <v>0</v>
      </c>
      <c r="U241" s="74">
        <f>U199*'Get Started'!$E$35/'Get Started'!$D$35+U199</f>
        <v>0</v>
      </c>
      <c r="V241" s="74">
        <f>V199*'Get Started'!$E$35/'Get Started'!$D$35+V199</f>
        <v>0</v>
      </c>
      <c r="W241" s="74">
        <f>W199*'Get Started'!$E$35/'Get Started'!$D$35+W199</f>
        <v>0</v>
      </c>
      <c r="X241" s="74">
        <f>X199*'Get Started'!$E$35/'Get Started'!$D$35+X199</f>
        <v>0</v>
      </c>
      <c r="Y241" s="74">
        <f>Y199*'Get Started'!$E$35/'Get Started'!$D$35+Y199</f>
        <v>0</v>
      </c>
      <c r="Z241" s="74">
        <f>Z199*'Get Started'!$E$35/'Get Started'!$D$35+Z199</f>
        <v>0</v>
      </c>
    </row>
    <row r="242" collapsed="1">
      <c r="B242" s="16" t="s">
        <v>183</v>
      </c>
      <c r="C242" s="16"/>
      <c r="D242" s="16" t="s">
        <v>161</v>
      </c>
      <c r="E242" s="74">
        <f t="shared" si="108"/>
        <v>93133700</v>
      </c>
      <c r="F242" s="78"/>
      <c r="G242" s="77">
        <f t="shared" ref="G242:Z242" si="136">sum(G243:G262)</f>
        <v>4656685</v>
      </c>
      <c r="H242" s="77">
        <f t="shared" si="136"/>
        <v>12417826.67</v>
      </c>
      <c r="I242" s="77">
        <f t="shared" si="136"/>
        <v>20178968.33</v>
      </c>
      <c r="J242" s="77">
        <f t="shared" si="136"/>
        <v>23283425</v>
      </c>
      <c r="K242" s="77">
        <f t="shared" si="136"/>
        <v>18626740</v>
      </c>
      <c r="L242" s="77">
        <f t="shared" si="136"/>
        <v>10865598.33</v>
      </c>
      <c r="M242" s="77">
        <f t="shared" si="136"/>
        <v>3104456.667</v>
      </c>
      <c r="N242" s="77">
        <f t="shared" si="136"/>
        <v>0</v>
      </c>
      <c r="O242" s="77">
        <f t="shared" si="136"/>
        <v>0</v>
      </c>
      <c r="P242" s="77">
        <f t="shared" si="136"/>
        <v>0</v>
      </c>
      <c r="Q242" s="77">
        <f t="shared" si="136"/>
        <v>0</v>
      </c>
      <c r="R242" s="77">
        <f t="shared" si="136"/>
        <v>0</v>
      </c>
      <c r="S242" s="77">
        <f t="shared" si="136"/>
        <v>0</v>
      </c>
      <c r="T242" s="77">
        <f t="shared" si="136"/>
        <v>0</v>
      </c>
      <c r="U242" s="77">
        <f t="shared" si="136"/>
        <v>0</v>
      </c>
      <c r="V242" s="77">
        <f t="shared" si="136"/>
        <v>0</v>
      </c>
      <c r="W242" s="77">
        <f t="shared" si="136"/>
        <v>0</v>
      </c>
      <c r="X242" s="77">
        <f t="shared" si="136"/>
        <v>0</v>
      </c>
      <c r="Y242" s="77">
        <f t="shared" si="136"/>
        <v>0</v>
      </c>
      <c r="Z242" s="77">
        <f t="shared" si="136"/>
        <v>0</v>
      </c>
    </row>
    <row r="243" hidden="1" outlineLevel="1">
      <c r="B243" s="93">
        <f>G$4</f>
        <v>1</v>
      </c>
      <c r="C243" s="40"/>
      <c r="D243" s="16" t="s">
        <v>161</v>
      </c>
      <c r="E243" s="74">
        <f t="shared" si="108"/>
        <v>31044566.67</v>
      </c>
      <c r="F243" s="74"/>
      <c r="G243" s="74">
        <f t="shared" ref="G243:Z243" si="137">G201+G180</f>
        <v>4656685</v>
      </c>
      <c r="H243" s="74">
        <f t="shared" si="137"/>
        <v>7761141.667</v>
      </c>
      <c r="I243" s="74">
        <f t="shared" si="137"/>
        <v>7761141.667</v>
      </c>
      <c r="J243" s="74">
        <f t="shared" si="137"/>
        <v>7761141.667</v>
      </c>
      <c r="K243" s="74">
        <f t="shared" si="137"/>
        <v>3104456.667</v>
      </c>
      <c r="L243" s="74">
        <f t="shared" si="137"/>
        <v>0</v>
      </c>
      <c r="M243" s="74">
        <f t="shared" si="137"/>
        <v>0</v>
      </c>
      <c r="N243" s="74">
        <f t="shared" si="137"/>
        <v>0</v>
      </c>
      <c r="O243" s="74">
        <f t="shared" si="137"/>
        <v>0</v>
      </c>
      <c r="P243" s="74">
        <f t="shared" si="137"/>
        <v>0</v>
      </c>
      <c r="Q243" s="74">
        <f t="shared" si="137"/>
        <v>0</v>
      </c>
      <c r="R243" s="74">
        <f t="shared" si="137"/>
        <v>0</v>
      </c>
      <c r="S243" s="74">
        <f t="shared" si="137"/>
        <v>0</v>
      </c>
      <c r="T243" s="74">
        <f t="shared" si="137"/>
        <v>0</v>
      </c>
      <c r="U243" s="74">
        <f t="shared" si="137"/>
        <v>0</v>
      </c>
      <c r="V243" s="74">
        <f t="shared" si="137"/>
        <v>0</v>
      </c>
      <c r="W243" s="74">
        <f t="shared" si="137"/>
        <v>0</v>
      </c>
      <c r="X243" s="74">
        <f t="shared" si="137"/>
        <v>0</v>
      </c>
      <c r="Y243" s="74">
        <f t="shared" si="137"/>
        <v>0</v>
      </c>
      <c r="Z243" s="74">
        <f t="shared" si="137"/>
        <v>0</v>
      </c>
    </row>
    <row r="244" hidden="1" outlineLevel="1">
      <c r="B244" s="93">
        <f t="shared" ref="B244:B262" si="139">B243+1</f>
        <v>2</v>
      </c>
      <c r="C244" s="40"/>
      <c r="D244" s="16" t="s">
        <v>161</v>
      </c>
      <c r="E244" s="74">
        <f t="shared" si="108"/>
        <v>31044566.67</v>
      </c>
      <c r="F244" s="74"/>
      <c r="G244" s="74">
        <f t="shared" ref="G244:Z244" si="138">G202+G181</f>
        <v>0</v>
      </c>
      <c r="H244" s="74">
        <f t="shared" si="138"/>
        <v>4656685</v>
      </c>
      <c r="I244" s="74">
        <f t="shared" si="138"/>
        <v>7761141.667</v>
      </c>
      <c r="J244" s="74">
        <f t="shared" si="138"/>
        <v>7761141.667</v>
      </c>
      <c r="K244" s="74">
        <f t="shared" si="138"/>
        <v>7761141.667</v>
      </c>
      <c r="L244" s="74">
        <f t="shared" si="138"/>
        <v>3104456.667</v>
      </c>
      <c r="M244" s="74">
        <f t="shared" si="138"/>
        <v>0</v>
      </c>
      <c r="N244" s="74">
        <f t="shared" si="138"/>
        <v>0</v>
      </c>
      <c r="O244" s="74">
        <f t="shared" si="138"/>
        <v>0</v>
      </c>
      <c r="P244" s="74">
        <f t="shared" si="138"/>
        <v>0</v>
      </c>
      <c r="Q244" s="74">
        <f t="shared" si="138"/>
        <v>0</v>
      </c>
      <c r="R244" s="74">
        <f t="shared" si="138"/>
        <v>0</v>
      </c>
      <c r="S244" s="74">
        <f t="shared" si="138"/>
        <v>0</v>
      </c>
      <c r="T244" s="74">
        <f t="shared" si="138"/>
        <v>0</v>
      </c>
      <c r="U244" s="74">
        <f t="shared" si="138"/>
        <v>0</v>
      </c>
      <c r="V244" s="74">
        <f t="shared" si="138"/>
        <v>0</v>
      </c>
      <c r="W244" s="74">
        <f t="shared" si="138"/>
        <v>0</v>
      </c>
      <c r="X244" s="74">
        <f t="shared" si="138"/>
        <v>0</v>
      </c>
      <c r="Y244" s="74">
        <f t="shared" si="138"/>
        <v>0</v>
      </c>
      <c r="Z244" s="74">
        <f t="shared" si="138"/>
        <v>0</v>
      </c>
    </row>
    <row r="245" hidden="1" outlineLevel="1">
      <c r="B245" s="93">
        <f t="shared" si="139"/>
        <v>3</v>
      </c>
      <c r="C245" s="40"/>
      <c r="D245" s="16" t="s">
        <v>161</v>
      </c>
      <c r="E245" s="74">
        <f t="shared" si="108"/>
        <v>31044566.67</v>
      </c>
      <c r="F245" s="74"/>
      <c r="G245" s="74">
        <f t="shared" ref="G245:Z245" si="140">G203+G182</f>
        <v>0</v>
      </c>
      <c r="H245" s="74">
        <f t="shared" si="140"/>
        <v>0</v>
      </c>
      <c r="I245" s="74">
        <f t="shared" si="140"/>
        <v>4656685</v>
      </c>
      <c r="J245" s="74">
        <f t="shared" si="140"/>
        <v>7761141.667</v>
      </c>
      <c r="K245" s="74">
        <f t="shared" si="140"/>
        <v>7761141.667</v>
      </c>
      <c r="L245" s="74">
        <f t="shared" si="140"/>
        <v>7761141.667</v>
      </c>
      <c r="M245" s="74">
        <f t="shared" si="140"/>
        <v>3104456.667</v>
      </c>
      <c r="N245" s="74">
        <f t="shared" si="140"/>
        <v>0</v>
      </c>
      <c r="O245" s="74">
        <f t="shared" si="140"/>
        <v>0</v>
      </c>
      <c r="P245" s="74">
        <f t="shared" si="140"/>
        <v>0</v>
      </c>
      <c r="Q245" s="74">
        <f t="shared" si="140"/>
        <v>0</v>
      </c>
      <c r="R245" s="74">
        <f t="shared" si="140"/>
        <v>0</v>
      </c>
      <c r="S245" s="74">
        <f t="shared" si="140"/>
        <v>0</v>
      </c>
      <c r="T245" s="74">
        <f t="shared" si="140"/>
        <v>0</v>
      </c>
      <c r="U245" s="74">
        <f t="shared" si="140"/>
        <v>0</v>
      </c>
      <c r="V245" s="74">
        <f t="shared" si="140"/>
        <v>0</v>
      </c>
      <c r="W245" s="74">
        <f t="shared" si="140"/>
        <v>0</v>
      </c>
      <c r="X245" s="74">
        <f t="shared" si="140"/>
        <v>0</v>
      </c>
      <c r="Y245" s="74">
        <f t="shared" si="140"/>
        <v>0</v>
      </c>
      <c r="Z245" s="74">
        <f t="shared" si="140"/>
        <v>0</v>
      </c>
    </row>
    <row r="246" hidden="1" outlineLevel="1">
      <c r="B246" s="93">
        <f t="shared" si="139"/>
        <v>4</v>
      </c>
      <c r="C246" s="40"/>
      <c r="D246" s="16" t="s">
        <v>161</v>
      </c>
      <c r="E246" s="74">
        <f t="shared" si="108"/>
        <v>0</v>
      </c>
      <c r="F246" s="74"/>
      <c r="G246" s="74">
        <f t="shared" ref="G246:Z246" si="141">G204+G183</f>
        <v>0</v>
      </c>
      <c r="H246" s="74">
        <f t="shared" si="141"/>
        <v>0</v>
      </c>
      <c r="I246" s="74">
        <f t="shared" si="141"/>
        <v>0</v>
      </c>
      <c r="J246" s="74">
        <f t="shared" si="141"/>
        <v>0</v>
      </c>
      <c r="K246" s="74">
        <f t="shared" si="141"/>
        <v>0</v>
      </c>
      <c r="L246" s="74">
        <f t="shared" si="141"/>
        <v>0</v>
      </c>
      <c r="M246" s="74">
        <f t="shared" si="141"/>
        <v>0</v>
      </c>
      <c r="N246" s="74">
        <f t="shared" si="141"/>
        <v>0</v>
      </c>
      <c r="O246" s="74">
        <f t="shared" si="141"/>
        <v>0</v>
      </c>
      <c r="P246" s="74">
        <f t="shared" si="141"/>
        <v>0</v>
      </c>
      <c r="Q246" s="74">
        <f t="shared" si="141"/>
        <v>0</v>
      </c>
      <c r="R246" s="74">
        <f t="shared" si="141"/>
        <v>0</v>
      </c>
      <c r="S246" s="74">
        <f t="shared" si="141"/>
        <v>0</v>
      </c>
      <c r="T246" s="74">
        <f t="shared" si="141"/>
        <v>0</v>
      </c>
      <c r="U246" s="74">
        <f t="shared" si="141"/>
        <v>0</v>
      </c>
      <c r="V246" s="74">
        <f t="shared" si="141"/>
        <v>0</v>
      </c>
      <c r="W246" s="74">
        <f t="shared" si="141"/>
        <v>0</v>
      </c>
      <c r="X246" s="74">
        <f t="shared" si="141"/>
        <v>0</v>
      </c>
      <c r="Y246" s="74">
        <f t="shared" si="141"/>
        <v>0</v>
      </c>
      <c r="Z246" s="74">
        <f t="shared" si="141"/>
        <v>0</v>
      </c>
    </row>
    <row r="247" hidden="1" outlineLevel="1">
      <c r="B247" s="93">
        <f t="shared" si="139"/>
        <v>5</v>
      </c>
      <c r="C247" s="40"/>
      <c r="D247" s="16" t="s">
        <v>161</v>
      </c>
      <c r="E247" s="74">
        <f t="shared" si="108"/>
        <v>0</v>
      </c>
      <c r="F247" s="74"/>
      <c r="G247" s="74">
        <f t="shared" ref="G247:Z247" si="142">G205+G184</f>
        <v>0</v>
      </c>
      <c r="H247" s="74">
        <f t="shared" si="142"/>
        <v>0</v>
      </c>
      <c r="I247" s="74">
        <f t="shared" si="142"/>
        <v>0</v>
      </c>
      <c r="J247" s="74">
        <f t="shared" si="142"/>
        <v>0</v>
      </c>
      <c r="K247" s="74">
        <f t="shared" si="142"/>
        <v>0</v>
      </c>
      <c r="L247" s="74">
        <f t="shared" si="142"/>
        <v>0</v>
      </c>
      <c r="M247" s="74">
        <f t="shared" si="142"/>
        <v>0</v>
      </c>
      <c r="N247" s="74">
        <f t="shared" si="142"/>
        <v>0</v>
      </c>
      <c r="O247" s="74">
        <f t="shared" si="142"/>
        <v>0</v>
      </c>
      <c r="P247" s="74">
        <f t="shared" si="142"/>
        <v>0</v>
      </c>
      <c r="Q247" s="74">
        <f t="shared" si="142"/>
        <v>0</v>
      </c>
      <c r="R247" s="74">
        <f t="shared" si="142"/>
        <v>0</v>
      </c>
      <c r="S247" s="74">
        <f t="shared" si="142"/>
        <v>0</v>
      </c>
      <c r="T247" s="74">
        <f t="shared" si="142"/>
        <v>0</v>
      </c>
      <c r="U247" s="74">
        <f t="shared" si="142"/>
        <v>0</v>
      </c>
      <c r="V247" s="74">
        <f t="shared" si="142"/>
        <v>0</v>
      </c>
      <c r="W247" s="74">
        <f t="shared" si="142"/>
        <v>0</v>
      </c>
      <c r="X247" s="74">
        <f t="shared" si="142"/>
        <v>0</v>
      </c>
      <c r="Y247" s="74">
        <f t="shared" si="142"/>
        <v>0</v>
      </c>
      <c r="Z247" s="74">
        <f t="shared" si="142"/>
        <v>0</v>
      </c>
    </row>
    <row r="248" hidden="1" outlineLevel="1">
      <c r="B248" s="93">
        <f t="shared" si="139"/>
        <v>6</v>
      </c>
      <c r="C248" s="40"/>
      <c r="D248" s="16" t="s">
        <v>161</v>
      </c>
      <c r="E248" s="74">
        <f t="shared" si="108"/>
        <v>0</v>
      </c>
      <c r="F248" s="74"/>
      <c r="G248" s="74">
        <f t="shared" ref="G248:Z248" si="143">G206+G185</f>
        <v>0</v>
      </c>
      <c r="H248" s="74">
        <f t="shared" si="143"/>
        <v>0</v>
      </c>
      <c r="I248" s="74">
        <f t="shared" si="143"/>
        <v>0</v>
      </c>
      <c r="J248" s="74">
        <f t="shared" si="143"/>
        <v>0</v>
      </c>
      <c r="K248" s="74">
        <f t="shared" si="143"/>
        <v>0</v>
      </c>
      <c r="L248" s="74">
        <f t="shared" si="143"/>
        <v>0</v>
      </c>
      <c r="M248" s="74">
        <f t="shared" si="143"/>
        <v>0</v>
      </c>
      <c r="N248" s="74">
        <f t="shared" si="143"/>
        <v>0</v>
      </c>
      <c r="O248" s="74">
        <f t="shared" si="143"/>
        <v>0</v>
      </c>
      <c r="P248" s="74">
        <f t="shared" si="143"/>
        <v>0</v>
      </c>
      <c r="Q248" s="74">
        <f t="shared" si="143"/>
        <v>0</v>
      </c>
      <c r="R248" s="74">
        <f t="shared" si="143"/>
        <v>0</v>
      </c>
      <c r="S248" s="74">
        <f t="shared" si="143"/>
        <v>0</v>
      </c>
      <c r="T248" s="74">
        <f t="shared" si="143"/>
        <v>0</v>
      </c>
      <c r="U248" s="74">
        <f t="shared" si="143"/>
        <v>0</v>
      </c>
      <c r="V248" s="74">
        <f t="shared" si="143"/>
        <v>0</v>
      </c>
      <c r="W248" s="74">
        <f t="shared" si="143"/>
        <v>0</v>
      </c>
      <c r="X248" s="74">
        <f t="shared" si="143"/>
        <v>0</v>
      </c>
      <c r="Y248" s="74">
        <f t="shared" si="143"/>
        <v>0</v>
      </c>
      <c r="Z248" s="74">
        <f t="shared" si="143"/>
        <v>0</v>
      </c>
    </row>
    <row r="249" hidden="1" outlineLevel="1">
      <c r="B249" s="93">
        <f t="shared" si="139"/>
        <v>7</v>
      </c>
      <c r="C249" s="40"/>
      <c r="D249" s="16" t="s">
        <v>161</v>
      </c>
      <c r="E249" s="74">
        <f t="shared" si="108"/>
        <v>0</v>
      </c>
      <c r="F249" s="74"/>
      <c r="G249" s="74">
        <f t="shared" ref="G249:Z249" si="144">G207+G186</f>
        <v>0</v>
      </c>
      <c r="H249" s="74">
        <f t="shared" si="144"/>
        <v>0</v>
      </c>
      <c r="I249" s="74">
        <f t="shared" si="144"/>
        <v>0</v>
      </c>
      <c r="J249" s="74">
        <f t="shared" si="144"/>
        <v>0</v>
      </c>
      <c r="K249" s="74">
        <f t="shared" si="144"/>
        <v>0</v>
      </c>
      <c r="L249" s="74">
        <f t="shared" si="144"/>
        <v>0</v>
      </c>
      <c r="M249" s="74">
        <f t="shared" si="144"/>
        <v>0</v>
      </c>
      <c r="N249" s="74">
        <f t="shared" si="144"/>
        <v>0</v>
      </c>
      <c r="O249" s="74">
        <f t="shared" si="144"/>
        <v>0</v>
      </c>
      <c r="P249" s="74">
        <f t="shared" si="144"/>
        <v>0</v>
      </c>
      <c r="Q249" s="74">
        <f t="shared" si="144"/>
        <v>0</v>
      </c>
      <c r="R249" s="74">
        <f t="shared" si="144"/>
        <v>0</v>
      </c>
      <c r="S249" s="74">
        <f t="shared" si="144"/>
        <v>0</v>
      </c>
      <c r="T249" s="74">
        <f t="shared" si="144"/>
        <v>0</v>
      </c>
      <c r="U249" s="74">
        <f t="shared" si="144"/>
        <v>0</v>
      </c>
      <c r="V249" s="74">
        <f t="shared" si="144"/>
        <v>0</v>
      </c>
      <c r="W249" s="74">
        <f t="shared" si="144"/>
        <v>0</v>
      </c>
      <c r="X249" s="74">
        <f t="shared" si="144"/>
        <v>0</v>
      </c>
      <c r="Y249" s="74">
        <f t="shared" si="144"/>
        <v>0</v>
      </c>
      <c r="Z249" s="74">
        <f t="shared" si="144"/>
        <v>0</v>
      </c>
    </row>
    <row r="250" hidden="1" outlineLevel="1">
      <c r="B250" s="93">
        <f t="shared" si="139"/>
        <v>8</v>
      </c>
      <c r="C250" s="40"/>
      <c r="D250" s="16" t="s">
        <v>161</v>
      </c>
      <c r="E250" s="74">
        <f t="shared" si="108"/>
        <v>0</v>
      </c>
      <c r="F250" s="74"/>
      <c r="G250" s="74">
        <f t="shared" ref="G250:Z250" si="145">G208+G187</f>
        <v>0</v>
      </c>
      <c r="H250" s="74">
        <f t="shared" si="145"/>
        <v>0</v>
      </c>
      <c r="I250" s="74">
        <f t="shared" si="145"/>
        <v>0</v>
      </c>
      <c r="J250" s="74">
        <f t="shared" si="145"/>
        <v>0</v>
      </c>
      <c r="K250" s="74">
        <f t="shared" si="145"/>
        <v>0</v>
      </c>
      <c r="L250" s="74">
        <f t="shared" si="145"/>
        <v>0</v>
      </c>
      <c r="M250" s="74">
        <f t="shared" si="145"/>
        <v>0</v>
      </c>
      <c r="N250" s="74">
        <f t="shared" si="145"/>
        <v>0</v>
      </c>
      <c r="O250" s="74">
        <f t="shared" si="145"/>
        <v>0</v>
      </c>
      <c r="P250" s="74">
        <f t="shared" si="145"/>
        <v>0</v>
      </c>
      <c r="Q250" s="74">
        <f t="shared" si="145"/>
        <v>0</v>
      </c>
      <c r="R250" s="74">
        <f t="shared" si="145"/>
        <v>0</v>
      </c>
      <c r="S250" s="74">
        <f t="shared" si="145"/>
        <v>0</v>
      </c>
      <c r="T250" s="74">
        <f t="shared" si="145"/>
        <v>0</v>
      </c>
      <c r="U250" s="74">
        <f t="shared" si="145"/>
        <v>0</v>
      </c>
      <c r="V250" s="74">
        <f t="shared" si="145"/>
        <v>0</v>
      </c>
      <c r="W250" s="74">
        <f t="shared" si="145"/>
        <v>0</v>
      </c>
      <c r="X250" s="74">
        <f t="shared" si="145"/>
        <v>0</v>
      </c>
      <c r="Y250" s="74">
        <f t="shared" si="145"/>
        <v>0</v>
      </c>
      <c r="Z250" s="74">
        <f t="shared" si="145"/>
        <v>0</v>
      </c>
    </row>
    <row r="251" hidden="1" outlineLevel="1">
      <c r="B251" s="93">
        <f t="shared" si="139"/>
        <v>9</v>
      </c>
      <c r="C251" s="40"/>
      <c r="D251" s="16" t="s">
        <v>161</v>
      </c>
      <c r="E251" s="74">
        <f t="shared" si="108"/>
        <v>0</v>
      </c>
      <c r="F251" s="74"/>
      <c r="G251" s="74">
        <f t="shared" ref="G251:Z251" si="146">G209+G188</f>
        <v>0</v>
      </c>
      <c r="H251" s="74">
        <f t="shared" si="146"/>
        <v>0</v>
      </c>
      <c r="I251" s="74">
        <f t="shared" si="146"/>
        <v>0</v>
      </c>
      <c r="J251" s="74">
        <f t="shared" si="146"/>
        <v>0</v>
      </c>
      <c r="K251" s="74">
        <f t="shared" si="146"/>
        <v>0</v>
      </c>
      <c r="L251" s="74">
        <f t="shared" si="146"/>
        <v>0</v>
      </c>
      <c r="M251" s="74">
        <f t="shared" si="146"/>
        <v>0</v>
      </c>
      <c r="N251" s="74">
        <f t="shared" si="146"/>
        <v>0</v>
      </c>
      <c r="O251" s="74">
        <f t="shared" si="146"/>
        <v>0</v>
      </c>
      <c r="P251" s="74">
        <f t="shared" si="146"/>
        <v>0</v>
      </c>
      <c r="Q251" s="74">
        <f t="shared" si="146"/>
        <v>0</v>
      </c>
      <c r="R251" s="74">
        <f t="shared" si="146"/>
        <v>0</v>
      </c>
      <c r="S251" s="74">
        <f t="shared" si="146"/>
        <v>0</v>
      </c>
      <c r="T251" s="74">
        <f t="shared" si="146"/>
        <v>0</v>
      </c>
      <c r="U251" s="74">
        <f t="shared" si="146"/>
        <v>0</v>
      </c>
      <c r="V251" s="74">
        <f t="shared" si="146"/>
        <v>0</v>
      </c>
      <c r="W251" s="74">
        <f t="shared" si="146"/>
        <v>0</v>
      </c>
      <c r="X251" s="74">
        <f t="shared" si="146"/>
        <v>0</v>
      </c>
      <c r="Y251" s="74">
        <f t="shared" si="146"/>
        <v>0</v>
      </c>
      <c r="Z251" s="74">
        <f t="shared" si="146"/>
        <v>0</v>
      </c>
    </row>
    <row r="252" hidden="1" outlineLevel="1">
      <c r="B252" s="93">
        <f t="shared" si="139"/>
        <v>10</v>
      </c>
      <c r="C252" s="40"/>
      <c r="D252" s="16" t="s">
        <v>161</v>
      </c>
      <c r="E252" s="74">
        <f t="shared" si="108"/>
        <v>0</v>
      </c>
      <c r="F252" s="74"/>
      <c r="G252" s="74">
        <f t="shared" ref="G252:Z252" si="147">G210+G189</f>
        <v>0</v>
      </c>
      <c r="H252" s="74">
        <f t="shared" si="147"/>
        <v>0</v>
      </c>
      <c r="I252" s="74">
        <f t="shared" si="147"/>
        <v>0</v>
      </c>
      <c r="J252" s="74">
        <f t="shared" si="147"/>
        <v>0</v>
      </c>
      <c r="K252" s="74">
        <f t="shared" si="147"/>
        <v>0</v>
      </c>
      <c r="L252" s="74">
        <f t="shared" si="147"/>
        <v>0</v>
      </c>
      <c r="M252" s="74">
        <f t="shared" si="147"/>
        <v>0</v>
      </c>
      <c r="N252" s="74">
        <f t="shared" si="147"/>
        <v>0</v>
      </c>
      <c r="O252" s="74">
        <f t="shared" si="147"/>
        <v>0</v>
      </c>
      <c r="P252" s="74">
        <f t="shared" si="147"/>
        <v>0</v>
      </c>
      <c r="Q252" s="74">
        <f t="shared" si="147"/>
        <v>0</v>
      </c>
      <c r="R252" s="74">
        <f t="shared" si="147"/>
        <v>0</v>
      </c>
      <c r="S252" s="74">
        <f t="shared" si="147"/>
        <v>0</v>
      </c>
      <c r="T252" s="74">
        <f t="shared" si="147"/>
        <v>0</v>
      </c>
      <c r="U252" s="74">
        <f t="shared" si="147"/>
        <v>0</v>
      </c>
      <c r="V252" s="74">
        <f t="shared" si="147"/>
        <v>0</v>
      </c>
      <c r="W252" s="74">
        <f t="shared" si="147"/>
        <v>0</v>
      </c>
      <c r="X252" s="74">
        <f t="shared" si="147"/>
        <v>0</v>
      </c>
      <c r="Y252" s="74">
        <f t="shared" si="147"/>
        <v>0</v>
      </c>
      <c r="Z252" s="74">
        <f t="shared" si="147"/>
        <v>0</v>
      </c>
    </row>
    <row r="253" hidden="1" outlineLevel="1">
      <c r="B253" s="93">
        <f t="shared" si="139"/>
        <v>11</v>
      </c>
      <c r="C253" s="40"/>
      <c r="D253" s="16" t="s">
        <v>161</v>
      </c>
      <c r="E253" s="74">
        <f t="shared" si="108"/>
        <v>0</v>
      </c>
      <c r="F253" s="74"/>
      <c r="G253" s="74">
        <f t="shared" ref="G253:Z253" si="148">G211+G190</f>
        <v>0</v>
      </c>
      <c r="H253" s="74">
        <f t="shared" si="148"/>
        <v>0</v>
      </c>
      <c r="I253" s="74">
        <f t="shared" si="148"/>
        <v>0</v>
      </c>
      <c r="J253" s="74">
        <f t="shared" si="148"/>
        <v>0</v>
      </c>
      <c r="K253" s="74">
        <f t="shared" si="148"/>
        <v>0</v>
      </c>
      <c r="L253" s="74">
        <f t="shared" si="148"/>
        <v>0</v>
      </c>
      <c r="M253" s="74">
        <f t="shared" si="148"/>
        <v>0</v>
      </c>
      <c r="N253" s="74">
        <f t="shared" si="148"/>
        <v>0</v>
      </c>
      <c r="O253" s="74">
        <f t="shared" si="148"/>
        <v>0</v>
      </c>
      <c r="P253" s="74">
        <f t="shared" si="148"/>
        <v>0</v>
      </c>
      <c r="Q253" s="74">
        <f t="shared" si="148"/>
        <v>0</v>
      </c>
      <c r="R253" s="74">
        <f t="shared" si="148"/>
        <v>0</v>
      </c>
      <c r="S253" s="74">
        <f t="shared" si="148"/>
        <v>0</v>
      </c>
      <c r="T253" s="74">
        <f t="shared" si="148"/>
        <v>0</v>
      </c>
      <c r="U253" s="74">
        <f t="shared" si="148"/>
        <v>0</v>
      </c>
      <c r="V253" s="74">
        <f t="shared" si="148"/>
        <v>0</v>
      </c>
      <c r="W253" s="74">
        <f t="shared" si="148"/>
        <v>0</v>
      </c>
      <c r="X253" s="74">
        <f t="shared" si="148"/>
        <v>0</v>
      </c>
      <c r="Y253" s="74">
        <f t="shared" si="148"/>
        <v>0</v>
      </c>
      <c r="Z253" s="74">
        <f t="shared" si="148"/>
        <v>0</v>
      </c>
    </row>
    <row r="254" hidden="1" outlineLevel="1">
      <c r="B254" s="93">
        <f t="shared" si="139"/>
        <v>12</v>
      </c>
      <c r="C254" s="40"/>
      <c r="D254" s="16" t="s">
        <v>161</v>
      </c>
      <c r="E254" s="74">
        <f t="shared" si="108"/>
        <v>0</v>
      </c>
      <c r="F254" s="74"/>
      <c r="G254" s="74">
        <f t="shared" ref="G254:Z254" si="149">G212+G191</f>
        <v>0</v>
      </c>
      <c r="H254" s="74">
        <f t="shared" si="149"/>
        <v>0</v>
      </c>
      <c r="I254" s="74">
        <f t="shared" si="149"/>
        <v>0</v>
      </c>
      <c r="J254" s="74">
        <f t="shared" si="149"/>
        <v>0</v>
      </c>
      <c r="K254" s="74">
        <f t="shared" si="149"/>
        <v>0</v>
      </c>
      <c r="L254" s="74">
        <f t="shared" si="149"/>
        <v>0</v>
      </c>
      <c r="M254" s="74">
        <f t="shared" si="149"/>
        <v>0</v>
      </c>
      <c r="N254" s="74">
        <f t="shared" si="149"/>
        <v>0</v>
      </c>
      <c r="O254" s="74">
        <f t="shared" si="149"/>
        <v>0</v>
      </c>
      <c r="P254" s="74">
        <f t="shared" si="149"/>
        <v>0</v>
      </c>
      <c r="Q254" s="74">
        <f t="shared" si="149"/>
        <v>0</v>
      </c>
      <c r="R254" s="74">
        <f t="shared" si="149"/>
        <v>0</v>
      </c>
      <c r="S254" s="74">
        <f t="shared" si="149"/>
        <v>0</v>
      </c>
      <c r="T254" s="74">
        <f t="shared" si="149"/>
        <v>0</v>
      </c>
      <c r="U254" s="74">
        <f t="shared" si="149"/>
        <v>0</v>
      </c>
      <c r="V254" s="74">
        <f t="shared" si="149"/>
        <v>0</v>
      </c>
      <c r="W254" s="74">
        <f t="shared" si="149"/>
        <v>0</v>
      </c>
      <c r="X254" s="74">
        <f t="shared" si="149"/>
        <v>0</v>
      </c>
      <c r="Y254" s="74">
        <f t="shared" si="149"/>
        <v>0</v>
      </c>
      <c r="Z254" s="74">
        <f t="shared" si="149"/>
        <v>0</v>
      </c>
    </row>
    <row r="255" hidden="1" outlineLevel="1">
      <c r="B255" s="93">
        <f t="shared" si="139"/>
        <v>13</v>
      </c>
      <c r="C255" s="40"/>
      <c r="D255" s="16" t="s">
        <v>161</v>
      </c>
      <c r="E255" s="74">
        <f t="shared" si="108"/>
        <v>0</v>
      </c>
      <c r="F255" s="74"/>
      <c r="G255" s="74">
        <f t="shared" ref="G255:Z255" si="150">G213+G192</f>
        <v>0</v>
      </c>
      <c r="H255" s="74">
        <f t="shared" si="150"/>
        <v>0</v>
      </c>
      <c r="I255" s="74">
        <f t="shared" si="150"/>
        <v>0</v>
      </c>
      <c r="J255" s="74">
        <f t="shared" si="150"/>
        <v>0</v>
      </c>
      <c r="K255" s="74">
        <f t="shared" si="150"/>
        <v>0</v>
      </c>
      <c r="L255" s="74">
        <f t="shared" si="150"/>
        <v>0</v>
      </c>
      <c r="M255" s="74">
        <f t="shared" si="150"/>
        <v>0</v>
      </c>
      <c r="N255" s="74">
        <f t="shared" si="150"/>
        <v>0</v>
      </c>
      <c r="O255" s="74">
        <f t="shared" si="150"/>
        <v>0</v>
      </c>
      <c r="P255" s="74">
        <f t="shared" si="150"/>
        <v>0</v>
      </c>
      <c r="Q255" s="74">
        <f t="shared" si="150"/>
        <v>0</v>
      </c>
      <c r="R255" s="74">
        <f t="shared" si="150"/>
        <v>0</v>
      </c>
      <c r="S255" s="74">
        <f t="shared" si="150"/>
        <v>0</v>
      </c>
      <c r="T255" s="74">
        <f t="shared" si="150"/>
        <v>0</v>
      </c>
      <c r="U255" s="74">
        <f t="shared" si="150"/>
        <v>0</v>
      </c>
      <c r="V255" s="74">
        <f t="shared" si="150"/>
        <v>0</v>
      </c>
      <c r="W255" s="74">
        <f t="shared" si="150"/>
        <v>0</v>
      </c>
      <c r="X255" s="74">
        <f t="shared" si="150"/>
        <v>0</v>
      </c>
      <c r="Y255" s="74">
        <f t="shared" si="150"/>
        <v>0</v>
      </c>
      <c r="Z255" s="74">
        <f t="shared" si="150"/>
        <v>0</v>
      </c>
    </row>
    <row r="256" hidden="1" outlineLevel="1">
      <c r="B256" s="93">
        <f t="shared" si="139"/>
        <v>14</v>
      </c>
      <c r="C256" s="40"/>
      <c r="D256" s="16" t="s">
        <v>161</v>
      </c>
      <c r="E256" s="74">
        <f t="shared" si="108"/>
        <v>0</v>
      </c>
      <c r="F256" s="74"/>
      <c r="G256" s="74">
        <f t="shared" ref="G256:Z256" si="151">G214+G193</f>
        <v>0</v>
      </c>
      <c r="H256" s="74">
        <f t="shared" si="151"/>
        <v>0</v>
      </c>
      <c r="I256" s="74">
        <f t="shared" si="151"/>
        <v>0</v>
      </c>
      <c r="J256" s="74">
        <f t="shared" si="151"/>
        <v>0</v>
      </c>
      <c r="K256" s="74">
        <f t="shared" si="151"/>
        <v>0</v>
      </c>
      <c r="L256" s="74">
        <f t="shared" si="151"/>
        <v>0</v>
      </c>
      <c r="M256" s="74">
        <f t="shared" si="151"/>
        <v>0</v>
      </c>
      <c r="N256" s="74">
        <f t="shared" si="151"/>
        <v>0</v>
      </c>
      <c r="O256" s="74">
        <f t="shared" si="151"/>
        <v>0</v>
      </c>
      <c r="P256" s="74">
        <f t="shared" si="151"/>
        <v>0</v>
      </c>
      <c r="Q256" s="74">
        <f t="shared" si="151"/>
        <v>0</v>
      </c>
      <c r="R256" s="74">
        <f t="shared" si="151"/>
        <v>0</v>
      </c>
      <c r="S256" s="74">
        <f t="shared" si="151"/>
        <v>0</v>
      </c>
      <c r="T256" s="74">
        <f t="shared" si="151"/>
        <v>0</v>
      </c>
      <c r="U256" s="74">
        <f t="shared" si="151"/>
        <v>0</v>
      </c>
      <c r="V256" s="74">
        <f t="shared" si="151"/>
        <v>0</v>
      </c>
      <c r="W256" s="74">
        <f t="shared" si="151"/>
        <v>0</v>
      </c>
      <c r="X256" s="74">
        <f t="shared" si="151"/>
        <v>0</v>
      </c>
      <c r="Y256" s="74">
        <f t="shared" si="151"/>
        <v>0</v>
      </c>
      <c r="Z256" s="74">
        <f t="shared" si="151"/>
        <v>0</v>
      </c>
    </row>
    <row r="257" hidden="1" outlineLevel="1">
      <c r="B257" s="93">
        <f t="shared" si="139"/>
        <v>15</v>
      </c>
      <c r="C257" s="40"/>
      <c r="D257" s="16" t="s">
        <v>161</v>
      </c>
      <c r="E257" s="74">
        <f t="shared" si="108"/>
        <v>0</v>
      </c>
      <c r="F257" s="74"/>
      <c r="G257" s="74">
        <f t="shared" ref="G257:Z257" si="152">G215+G194</f>
        <v>0</v>
      </c>
      <c r="H257" s="74">
        <f t="shared" si="152"/>
        <v>0</v>
      </c>
      <c r="I257" s="74">
        <f t="shared" si="152"/>
        <v>0</v>
      </c>
      <c r="J257" s="74">
        <f t="shared" si="152"/>
        <v>0</v>
      </c>
      <c r="K257" s="74">
        <f t="shared" si="152"/>
        <v>0</v>
      </c>
      <c r="L257" s="74">
        <f t="shared" si="152"/>
        <v>0</v>
      </c>
      <c r="M257" s="74">
        <f t="shared" si="152"/>
        <v>0</v>
      </c>
      <c r="N257" s="74">
        <f t="shared" si="152"/>
        <v>0</v>
      </c>
      <c r="O257" s="74">
        <f t="shared" si="152"/>
        <v>0</v>
      </c>
      <c r="P257" s="74">
        <f t="shared" si="152"/>
        <v>0</v>
      </c>
      <c r="Q257" s="74">
        <f t="shared" si="152"/>
        <v>0</v>
      </c>
      <c r="R257" s="74">
        <f t="shared" si="152"/>
        <v>0</v>
      </c>
      <c r="S257" s="74">
        <f t="shared" si="152"/>
        <v>0</v>
      </c>
      <c r="T257" s="74">
        <f t="shared" si="152"/>
        <v>0</v>
      </c>
      <c r="U257" s="74">
        <f t="shared" si="152"/>
        <v>0</v>
      </c>
      <c r="V257" s="74">
        <f t="shared" si="152"/>
        <v>0</v>
      </c>
      <c r="W257" s="74">
        <f t="shared" si="152"/>
        <v>0</v>
      </c>
      <c r="X257" s="74">
        <f t="shared" si="152"/>
        <v>0</v>
      </c>
      <c r="Y257" s="74">
        <f t="shared" si="152"/>
        <v>0</v>
      </c>
      <c r="Z257" s="74">
        <f t="shared" si="152"/>
        <v>0</v>
      </c>
    </row>
    <row r="258" hidden="1" outlineLevel="1">
      <c r="B258" s="93">
        <f t="shared" si="139"/>
        <v>16</v>
      </c>
      <c r="C258" s="40"/>
      <c r="D258" s="16" t="s">
        <v>161</v>
      </c>
      <c r="E258" s="74">
        <f t="shared" si="108"/>
        <v>0</v>
      </c>
      <c r="F258" s="74"/>
      <c r="G258" s="74">
        <f t="shared" ref="G258:Z258" si="153">G216+G195</f>
        <v>0</v>
      </c>
      <c r="H258" s="74">
        <f t="shared" si="153"/>
        <v>0</v>
      </c>
      <c r="I258" s="74">
        <f t="shared" si="153"/>
        <v>0</v>
      </c>
      <c r="J258" s="74">
        <f t="shared" si="153"/>
        <v>0</v>
      </c>
      <c r="K258" s="74">
        <f t="shared" si="153"/>
        <v>0</v>
      </c>
      <c r="L258" s="74">
        <f t="shared" si="153"/>
        <v>0</v>
      </c>
      <c r="M258" s="74">
        <f t="shared" si="153"/>
        <v>0</v>
      </c>
      <c r="N258" s="74">
        <f t="shared" si="153"/>
        <v>0</v>
      </c>
      <c r="O258" s="74">
        <f t="shared" si="153"/>
        <v>0</v>
      </c>
      <c r="P258" s="74">
        <f t="shared" si="153"/>
        <v>0</v>
      </c>
      <c r="Q258" s="74">
        <f t="shared" si="153"/>
        <v>0</v>
      </c>
      <c r="R258" s="74">
        <f t="shared" si="153"/>
        <v>0</v>
      </c>
      <c r="S258" s="74">
        <f t="shared" si="153"/>
        <v>0</v>
      </c>
      <c r="T258" s="74">
        <f t="shared" si="153"/>
        <v>0</v>
      </c>
      <c r="U258" s="74">
        <f t="shared" si="153"/>
        <v>0</v>
      </c>
      <c r="V258" s="74">
        <f t="shared" si="153"/>
        <v>0</v>
      </c>
      <c r="W258" s="74">
        <f t="shared" si="153"/>
        <v>0</v>
      </c>
      <c r="X258" s="74">
        <f t="shared" si="153"/>
        <v>0</v>
      </c>
      <c r="Y258" s="74">
        <f t="shared" si="153"/>
        <v>0</v>
      </c>
      <c r="Z258" s="74">
        <f t="shared" si="153"/>
        <v>0</v>
      </c>
    </row>
    <row r="259" hidden="1" outlineLevel="1">
      <c r="B259" s="93">
        <f t="shared" si="139"/>
        <v>17</v>
      </c>
      <c r="C259" s="40"/>
      <c r="D259" s="16" t="s">
        <v>161</v>
      </c>
      <c r="E259" s="74">
        <f t="shared" si="108"/>
        <v>0</v>
      </c>
      <c r="F259" s="74"/>
      <c r="G259" s="74">
        <f t="shared" ref="G259:Z259" si="154">G217+G196</f>
        <v>0</v>
      </c>
      <c r="H259" s="74">
        <f t="shared" si="154"/>
        <v>0</v>
      </c>
      <c r="I259" s="74">
        <f t="shared" si="154"/>
        <v>0</v>
      </c>
      <c r="J259" s="74">
        <f t="shared" si="154"/>
        <v>0</v>
      </c>
      <c r="K259" s="74">
        <f t="shared" si="154"/>
        <v>0</v>
      </c>
      <c r="L259" s="74">
        <f t="shared" si="154"/>
        <v>0</v>
      </c>
      <c r="M259" s="74">
        <f t="shared" si="154"/>
        <v>0</v>
      </c>
      <c r="N259" s="74">
        <f t="shared" si="154"/>
        <v>0</v>
      </c>
      <c r="O259" s="74">
        <f t="shared" si="154"/>
        <v>0</v>
      </c>
      <c r="P259" s="74">
        <f t="shared" si="154"/>
        <v>0</v>
      </c>
      <c r="Q259" s="74">
        <f t="shared" si="154"/>
        <v>0</v>
      </c>
      <c r="R259" s="74">
        <f t="shared" si="154"/>
        <v>0</v>
      </c>
      <c r="S259" s="74">
        <f t="shared" si="154"/>
        <v>0</v>
      </c>
      <c r="T259" s="74">
        <f t="shared" si="154"/>
        <v>0</v>
      </c>
      <c r="U259" s="74">
        <f t="shared" si="154"/>
        <v>0</v>
      </c>
      <c r="V259" s="74">
        <f t="shared" si="154"/>
        <v>0</v>
      </c>
      <c r="W259" s="74">
        <f t="shared" si="154"/>
        <v>0</v>
      </c>
      <c r="X259" s="74">
        <f t="shared" si="154"/>
        <v>0</v>
      </c>
      <c r="Y259" s="74">
        <f t="shared" si="154"/>
        <v>0</v>
      </c>
      <c r="Z259" s="74">
        <f t="shared" si="154"/>
        <v>0</v>
      </c>
    </row>
    <row r="260" hidden="1" outlineLevel="1">
      <c r="B260" s="93">
        <f t="shared" si="139"/>
        <v>18</v>
      </c>
      <c r="C260" s="40"/>
      <c r="D260" s="16" t="s">
        <v>161</v>
      </c>
      <c r="E260" s="74">
        <f t="shared" si="108"/>
        <v>0</v>
      </c>
      <c r="F260" s="74"/>
      <c r="G260" s="74">
        <f t="shared" ref="G260:Z260" si="155">G218+G197</f>
        <v>0</v>
      </c>
      <c r="H260" s="74">
        <f t="shared" si="155"/>
        <v>0</v>
      </c>
      <c r="I260" s="74">
        <f t="shared" si="155"/>
        <v>0</v>
      </c>
      <c r="J260" s="74">
        <f t="shared" si="155"/>
        <v>0</v>
      </c>
      <c r="K260" s="74">
        <f t="shared" si="155"/>
        <v>0</v>
      </c>
      <c r="L260" s="74">
        <f t="shared" si="155"/>
        <v>0</v>
      </c>
      <c r="M260" s="74">
        <f t="shared" si="155"/>
        <v>0</v>
      </c>
      <c r="N260" s="74">
        <f t="shared" si="155"/>
        <v>0</v>
      </c>
      <c r="O260" s="74">
        <f t="shared" si="155"/>
        <v>0</v>
      </c>
      <c r="P260" s="74">
        <f t="shared" si="155"/>
        <v>0</v>
      </c>
      <c r="Q260" s="74">
        <f t="shared" si="155"/>
        <v>0</v>
      </c>
      <c r="R260" s="74">
        <f t="shared" si="155"/>
        <v>0</v>
      </c>
      <c r="S260" s="74">
        <f t="shared" si="155"/>
        <v>0</v>
      </c>
      <c r="T260" s="74">
        <f t="shared" si="155"/>
        <v>0</v>
      </c>
      <c r="U260" s="74">
        <f t="shared" si="155"/>
        <v>0</v>
      </c>
      <c r="V260" s="74">
        <f t="shared" si="155"/>
        <v>0</v>
      </c>
      <c r="W260" s="74">
        <f t="shared" si="155"/>
        <v>0</v>
      </c>
      <c r="X260" s="74">
        <f t="shared" si="155"/>
        <v>0</v>
      </c>
      <c r="Y260" s="74">
        <f t="shared" si="155"/>
        <v>0</v>
      </c>
      <c r="Z260" s="74">
        <f t="shared" si="155"/>
        <v>0</v>
      </c>
    </row>
    <row r="261" hidden="1" outlineLevel="1">
      <c r="B261" s="93">
        <f t="shared" si="139"/>
        <v>19</v>
      </c>
      <c r="C261" s="40"/>
      <c r="D261" s="16" t="s">
        <v>161</v>
      </c>
      <c r="E261" s="74">
        <f t="shared" si="108"/>
        <v>0</v>
      </c>
      <c r="F261" s="74"/>
      <c r="G261" s="74">
        <f t="shared" ref="G261:Z261" si="156">G219+G198</f>
        <v>0</v>
      </c>
      <c r="H261" s="74">
        <f t="shared" si="156"/>
        <v>0</v>
      </c>
      <c r="I261" s="74">
        <f t="shared" si="156"/>
        <v>0</v>
      </c>
      <c r="J261" s="74">
        <f t="shared" si="156"/>
        <v>0</v>
      </c>
      <c r="K261" s="74">
        <f t="shared" si="156"/>
        <v>0</v>
      </c>
      <c r="L261" s="74">
        <f t="shared" si="156"/>
        <v>0</v>
      </c>
      <c r="M261" s="74">
        <f t="shared" si="156"/>
        <v>0</v>
      </c>
      <c r="N261" s="74">
        <f t="shared" si="156"/>
        <v>0</v>
      </c>
      <c r="O261" s="74">
        <f t="shared" si="156"/>
        <v>0</v>
      </c>
      <c r="P261" s="74">
        <f t="shared" si="156"/>
        <v>0</v>
      </c>
      <c r="Q261" s="74">
        <f t="shared" si="156"/>
        <v>0</v>
      </c>
      <c r="R261" s="74">
        <f t="shared" si="156"/>
        <v>0</v>
      </c>
      <c r="S261" s="74">
        <f t="shared" si="156"/>
        <v>0</v>
      </c>
      <c r="T261" s="74">
        <f t="shared" si="156"/>
        <v>0</v>
      </c>
      <c r="U261" s="74">
        <f t="shared" si="156"/>
        <v>0</v>
      </c>
      <c r="V261" s="74">
        <f t="shared" si="156"/>
        <v>0</v>
      </c>
      <c r="W261" s="74">
        <f t="shared" si="156"/>
        <v>0</v>
      </c>
      <c r="X261" s="74">
        <f t="shared" si="156"/>
        <v>0</v>
      </c>
      <c r="Y261" s="74">
        <f t="shared" si="156"/>
        <v>0</v>
      </c>
      <c r="Z261" s="74">
        <f t="shared" si="156"/>
        <v>0</v>
      </c>
    </row>
    <row r="262" hidden="1" outlineLevel="1">
      <c r="B262" s="93">
        <f t="shared" si="139"/>
        <v>20</v>
      </c>
      <c r="C262" s="40"/>
      <c r="D262" s="16" t="s">
        <v>161</v>
      </c>
      <c r="E262" s="74">
        <f t="shared" si="108"/>
        <v>0</v>
      </c>
      <c r="F262" s="74"/>
      <c r="G262" s="74">
        <f t="shared" ref="G262:Z262" si="157">G220+G199</f>
        <v>0</v>
      </c>
      <c r="H262" s="74">
        <f t="shared" si="157"/>
        <v>0</v>
      </c>
      <c r="I262" s="74">
        <f t="shared" si="157"/>
        <v>0</v>
      </c>
      <c r="J262" s="74">
        <f t="shared" si="157"/>
        <v>0</v>
      </c>
      <c r="K262" s="74">
        <f t="shared" si="157"/>
        <v>0</v>
      </c>
      <c r="L262" s="74">
        <f t="shared" si="157"/>
        <v>0</v>
      </c>
      <c r="M262" s="74">
        <f t="shared" si="157"/>
        <v>0</v>
      </c>
      <c r="N262" s="74">
        <f t="shared" si="157"/>
        <v>0</v>
      </c>
      <c r="O262" s="74">
        <f t="shared" si="157"/>
        <v>0</v>
      </c>
      <c r="P262" s="74">
        <f t="shared" si="157"/>
        <v>0</v>
      </c>
      <c r="Q262" s="74">
        <f t="shared" si="157"/>
        <v>0</v>
      </c>
      <c r="R262" s="74">
        <f t="shared" si="157"/>
        <v>0</v>
      </c>
      <c r="S262" s="74">
        <f t="shared" si="157"/>
        <v>0</v>
      </c>
      <c r="T262" s="74">
        <f t="shared" si="157"/>
        <v>0</v>
      </c>
      <c r="U262" s="74">
        <f t="shared" si="157"/>
        <v>0</v>
      </c>
      <c r="V262" s="74">
        <f t="shared" si="157"/>
        <v>0</v>
      </c>
      <c r="W262" s="74">
        <f t="shared" si="157"/>
        <v>0</v>
      </c>
      <c r="X262" s="74">
        <f t="shared" si="157"/>
        <v>0</v>
      </c>
      <c r="Y262" s="74">
        <f t="shared" si="157"/>
        <v>0</v>
      </c>
      <c r="Z262" s="74">
        <f t="shared" si="157"/>
        <v>0</v>
      </c>
    </row>
    <row r="263" collapsed="1">
      <c r="B263" s="16" t="s">
        <v>184</v>
      </c>
      <c r="C263" s="16"/>
      <c r="D263" s="16" t="s">
        <v>161</v>
      </c>
      <c r="E263" s="74">
        <f t="shared" si="108"/>
        <v>590700</v>
      </c>
      <c r="F263" s="78"/>
      <c r="G263" s="77">
        <f t="shared" ref="G263:Z263" si="158">sum(G264:G283)</f>
        <v>196900</v>
      </c>
      <c r="H263" s="77">
        <f t="shared" si="158"/>
        <v>196900</v>
      </c>
      <c r="I263" s="77">
        <f t="shared" si="158"/>
        <v>196900</v>
      </c>
      <c r="J263" s="77">
        <f t="shared" si="158"/>
        <v>0</v>
      </c>
      <c r="K263" s="77">
        <f t="shared" si="158"/>
        <v>0</v>
      </c>
      <c r="L263" s="77">
        <f t="shared" si="158"/>
        <v>0</v>
      </c>
      <c r="M263" s="77">
        <f t="shared" si="158"/>
        <v>0</v>
      </c>
      <c r="N263" s="77">
        <f t="shared" si="158"/>
        <v>0</v>
      </c>
      <c r="O263" s="77">
        <f t="shared" si="158"/>
        <v>0</v>
      </c>
      <c r="P263" s="77">
        <f t="shared" si="158"/>
        <v>0</v>
      </c>
      <c r="Q263" s="77">
        <f t="shared" si="158"/>
        <v>0</v>
      </c>
      <c r="R263" s="77">
        <f t="shared" si="158"/>
        <v>0</v>
      </c>
      <c r="S263" s="77">
        <f t="shared" si="158"/>
        <v>0</v>
      </c>
      <c r="T263" s="77">
        <f t="shared" si="158"/>
        <v>0</v>
      </c>
      <c r="U263" s="77">
        <f t="shared" si="158"/>
        <v>0</v>
      </c>
      <c r="V263" s="77">
        <f t="shared" si="158"/>
        <v>0</v>
      </c>
      <c r="W263" s="77">
        <f t="shared" si="158"/>
        <v>0</v>
      </c>
      <c r="X263" s="77">
        <f t="shared" si="158"/>
        <v>0</v>
      </c>
      <c r="Y263" s="77">
        <f t="shared" si="158"/>
        <v>0</v>
      </c>
      <c r="Z263" s="77">
        <f t="shared" si="158"/>
        <v>0</v>
      </c>
    </row>
    <row r="264" hidden="1" outlineLevel="1">
      <c r="B264" s="93">
        <f>G$4</f>
        <v>1</v>
      </c>
      <c r="C264" s="40"/>
      <c r="D264" s="16" t="s">
        <v>161</v>
      </c>
      <c r="E264" s="74">
        <f t="shared" si="108"/>
        <v>196900</v>
      </c>
      <c r="F264" s="74"/>
      <c r="G264" s="74">
        <f t="array" ref="G264">if(and(G$4-$B264+1=1,index($G$131:$Z$131,$B264)&gt;0),'Get Started'!$D$27*index($G$132:$Z$132,$B264),0)</f>
        <v>196900</v>
      </c>
      <c r="H264" s="74">
        <f t="array" ref="H264">if(and(H$4-$B264+1=1,index($G$131:$Z$131,$B264)&gt;0),'Get Started'!$D$27*index($G$132:$Z$132,$B264),0)</f>
        <v>0</v>
      </c>
      <c r="I264" s="74">
        <f t="array" ref="I264">if(and(I$4-$B264+1=1,index($G$131:$Z$131,$B264)&gt;0),'Get Started'!$D$27*index($G$132:$Z$132,$B264),0)</f>
        <v>0</v>
      </c>
      <c r="J264" s="74">
        <f t="array" ref="J264">if(and(J$4-$B264+1=1,index($G$131:$Z$131,$B264)&gt;0),'Get Started'!$D$27*index($G$132:$Z$132,$B264),0)</f>
        <v>0</v>
      </c>
      <c r="K264" s="74">
        <f t="array" ref="K264">if(and(K$4-$B264+1=1,index($G$131:$Z$131,$B264)&gt;0),'Get Started'!$D$27*index($G$132:$Z$132,$B264),0)</f>
        <v>0</v>
      </c>
      <c r="L264" s="74">
        <f t="array" ref="L264">if(and(L$4-$B264+1=1,index($G$131:$Z$131,$B264)&gt;0),'Get Started'!$D$27*index($G$132:$Z$132,$B264),0)</f>
        <v>0</v>
      </c>
      <c r="M264" s="74">
        <f t="array" ref="M264">if(and(M$4-$B264+1=1,index($G$131:$Z$131,$B264)&gt;0),'Get Started'!$D$27*index($G$132:$Z$132,$B264),0)</f>
        <v>0</v>
      </c>
      <c r="N264" s="74">
        <f t="array" ref="N264">if(and(N$4-$B264+1=1,index($G$131:$Z$131,$B264)&gt;0),'Get Started'!$D$27*index($G$132:$Z$132,$B264),0)</f>
        <v>0</v>
      </c>
      <c r="O264" s="74">
        <f t="array" ref="O264">if(and(O$4-$B264+1=1,index($G$131:$Z$131,$B264)&gt;0),'Get Started'!$D$27*index($G$132:$Z$132,$B264),0)</f>
        <v>0</v>
      </c>
      <c r="P264" s="74">
        <f t="array" ref="P264">if(and(P$4-$B264+1=1,index($G$131:$Z$131,$B264)&gt;0),'Get Started'!$D$27*index($G$132:$Z$132,$B264),0)</f>
        <v>0</v>
      </c>
      <c r="Q264" s="74">
        <f t="array" ref="Q264">if(and(Q$4-$B264+1=1,index($G$131:$Z$131,$B264)&gt;0),'Get Started'!$D$27*index($G$132:$Z$132,$B264),0)</f>
        <v>0</v>
      </c>
      <c r="R264" s="74">
        <f t="array" ref="R264">if(and(R$4-$B264+1=1,index($G$131:$Z$131,$B264)&gt;0),'Get Started'!$D$27*index($G$132:$Z$132,$B264),0)</f>
        <v>0</v>
      </c>
      <c r="S264" s="74">
        <f t="array" ref="S264">if(and(S$4-$B264+1=1,index($G$131:$Z$131,$B264)&gt;0),'Get Started'!$D$27*index($G$132:$Z$132,$B264),0)</f>
        <v>0</v>
      </c>
      <c r="T264" s="74">
        <f t="array" ref="T264">if(and(T$4-$B264+1=1,index($G$131:$Z$131,$B264)&gt;0),'Get Started'!$D$27*index($G$132:$Z$132,$B264),0)</f>
        <v>0</v>
      </c>
      <c r="U264" s="74">
        <f t="array" ref="U264">if(and(U$4-$B264+1=1,index($G$131:$Z$131,$B264)&gt;0),'Get Started'!$D$27*index($G$132:$Z$132,$B264),0)</f>
        <v>0</v>
      </c>
      <c r="V264" s="74">
        <f t="array" ref="V264">if(and(V$4-$B264+1=1,index($G$131:$Z$131,$B264)&gt;0),'Get Started'!$D$27*index($G$132:$Z$132,$B264),0)</f>
        <v>0</v>
      </c>
      <c r="W264" s="74">
        <f t="array" ref="W264">if(and(W$4-$B264+1=1,index($G$131:$Z$131,$B264)&gt;0),'Get Started'!$D$27*index($G$132:$Z$132,$B264),0)</f>
        <v>0</v>
      </c>
      <c r="X264" s="74">
        <f t="array" ref="X264">if(and(X$4-$B264+1=1,index($G$131:$Z$131,$B264)&gt;0),'Get Started'!$D$27*index($G$132:$Z$132,$B264),0)</f>
        <v>0</v>
      </c>
      <c r="Y264" s="74">
        <f t="array" ref="Y264">if(and(Y$4-$B264+1=1,index($G$131:$Z$131,$B264)&gt;0),'Get Started'!$D$27*index($G$132:$Z$132,$B264),0)</f>
        <v>0</v>
      </c>
      <c r="Z264" s="74">
        <f t="array" ref="Z264">if(and(Z$4-$B264+1=1,index($G$131:$Z$131,$B264)&gt;0),'Get Started'!$D$27*index($G$132:$Z$132,$B264),0)</f>
        <v>0</v>
      </c>
    </row>
    <row r="265" hidden="1" outlineLevel="1">
      <c r="B265" s="93">
        <f t="shared" ref="B265:B283" si="159">B264+1</f>
        <v>2</v>
      </c>
      <c r="C265" s="40"/>
      <c r="D265" s="16" t="s">
        <v>161</v>
      </c>
      <c r="E265" s="74">
        <f t="shared" si="108"/>
        <v>196900</v>
      </c>
      <c r="F265" s="74"/>
      <c r="G265" s="74">
        <f t="array" ref="G265">if(and(G$4-$B265+1=1,index($G$131:$Z$131,$B265)&gt;0),'Get Started'!$D$27*index($G$132:$Z$132,$B265),0)</f>
        <v>0</v>
      </c>
      <c r="H265" s="74">
        <f t="array" ref="H265">if(and(H$4-$B265+1=1,index($G$131:$Z$131,$B265)&gt;0),'Get Started'!$D$27*index($G$132:$Z$132,$B265),0)</f>
        <v>196900</v>
      </c>
      <c r="I265" s="74">
        <f t="array" ref="I265">if(and(I$4-$B265+1=1,index($G$131:$Z$131,$B265)&gt;0),'Get Started'!$D$27*index($G$132:$Z$132,$B265),0)</f>
        <v>0</v>
      </c>
      <c r="J265" s="74">
        <f t="array" ref="J265">if(and(J$4-$B265+1=1,index($G$131:$Z$131,$B265)&gt;0),'Get Started'!$D$27*index($G$132:$Z$132,$B265),0)</f>
        <v>0</v>
      </c>
      <c r="K265" s="74">
        <f t="array" ref="K265">if(and(K$4-$B265+1=1,index($G$131:$Z$131,$B265)&gt;0),'Get Started'!$D$27*index($G$132:$Z$132,$B265),0)</f>
        <v>0</v>
      </c>
      <c r="L265" s="74">
        <f t="array" ref="L265">if(and(L$4-$B265+1=1,index($G$131:$Z$131,$B265)&gt;0),'Get Started'!$D$27*index($G$132:$Z$132,$B265),0)</f>
        <v>0</v>
      </c>
      <c r="M265" s="74">
        <f t="array" ref="M265">if(and(M$4-$B265+1=1,index($G$131:$Z$131,$B265)&gt;0),'Get Started'!$D$27*index($G$132:$Z$132,$B265),0)</f>
        <v>0</v>
      </c>
      <c r="N265" s="74">
        <f t="array" ref="N265">if(and(N$4-$B265+1=1,index($G$131:$Z$131,$B265)&gt;0),'Get Started'!$D$27*index($G$132:$Z$132,$B265),0)</f>
        <v>0</v>
      </c>
      <c r="O265" s="74">
        <f t="array" ref="O265">if(and(O$4-$B265+1=1,index($G$131:$Z$131,$B265)&gt;0),'Get Started'!$D$27*index($G$132:$Z$132,$B265),0)</f>
        <v>0</v>
      </c>
      <c r="P265" s="74">
        <f t="array" ref="P265">if(and(P$4-$B265+1=1,index($G$131:$Z$131,$B265)&gt;0),'Get Started'!$D$27*index($G$132:$Z$132,$B265),0)</f>
        <v>0</v>
      </c>
      <c r="Q265" s="74">
        <f t="array" ref="Q265">if(and(Q$4-$B265+1=1,index($G$131:$Z$131,$B265)&gt;0),'Get Started'!$D$27*index($G$132:$Z$132,$B265),0)</f>
        <v>0</v>
      </c>
      <c r="R265" s="74">
        <f t="array" ref="R265">if(and(R$4-$B265+1=1,index($G$131:$Z$131,$B265)&gt;0),'Get Started'!$D$27*index($G$132:$Z$132,$B265),0)</f>
        <v>0</v>
      </c>
      <c r="S265" s="74">
        <f t="array" ref="S265">if(and(S$4-$B265+1=1,index($G$131:$Z$131,$B265)&gt;0),'Get Started'!$D$27*index($G$132:$Z$132,$B265),0)</f>
        <v>0</v>
      </c>
      <c r="T265" s="74">
        <f t="array" ref="T265">if(and(T$4-$B265+1=1,index($G$131:$Z$131,$B265)&gt;0),'Get Started'!$D$27*index($G$132:$Z$132,$B265),0)</f>
        <v>0</v>
      </c>
      <c r="U265" s="74">
        <f t="array" ref="U265">if(and(U$4-$B265+1=1,index($G$131:$Z$131,$B265)&gt;0),'Get Started'!$D$27*index($G$132:$Z$132,$B265),0)</f>
        <v>0</v>
      </c>
      <c r="V265" s="74">
        <f t="array" ref="V265">if(and(V$4-$B265+1=1,index($G$131:$Z$131,$B265)&gt;0),'Get Started'!$D$27*index($G$132:$Z$132,$B265),0)</f>
        <v>0</v>
      </c>
      <c r="W265" s="74">
        <f t="array" ref="W265">if(and(W$4-$B265+1=1,index($G$131:$Z$131,$B265)&gt;0),'Get Started'!$D$27*index($G$132:$Z$132,$B265),0)</f>
        <v>0</v>
      </c>
      <c r="X265" s="74">
        <f t="array" ref="X265">if(and(X$4-$B265+1=1,index($G$131:$Z$131,$B265)&gt;0),'Get Started'!$D$27*index($G$132:$Z$132,$B265),0)</f>
        <v>0</v>
      </c>
      <c r="Y265" s="74">
        <f t="array" ref="Y265">if(and(Y$4-$B265+1=1,index($G$131:$Z$131,$B265)&gt;0),'Get Started'!$D$27*index($G$132:$Z$132,$B265),0)</f>
        <v>0</v>
      </c>
      <c r="Z265" s="74">
        <f t="array" ref="Z265">if(and(Z$4-$B265+1=1,index($G$131:$Z$131,$B265)&gt;0),'Get Started'!$D$27*index($G$132:$Z$132,$B265),0)</f>
        <v>0</v>
      </c>
    </row>
    <row r="266" hidden="1" outlineLevel="1">
      <c r="B266" s="93">
        <f t="shared" si="159"/>
        <v>3</v>
      </c>
      <c r="C266" s="40"/>
      <c r="D266" s="16" t="s">
        <v>161</v>
      </c>
      <c r="E266" s="74">
        <f t="shared" si="108"/>
        <v>196900</v>
      </c>
      <c r="F266" s="74"/>
      <c r="G266" s="74">
        <f t="array" ref="G266">if(and(G$4-$B266+1=1,index($G$131:$Z$131,$B266)&gt;0),'Get Started'!$D$27*index($G$132:$Z$132,$B266),0)</f>
        <v>0</v>
      </c>
      <c r="H266" s="74">
        <f t="array" ref="H266">if(and(H$4-$B266+1=1,index($G$131:$Z$131,$B266)&gt;0),'Get Started'!$D$27*index($G$132:$Z$132,$B266),0)</f>
        <v>0</v>
      </c>
      <c r="I266" s="74">
        <f t="array" ref="I266">if(and(I$4-$B266+1=1,index($G$131:$Z$131,$B266)&gt;0),'Get Started'!$D$27*index($G$132:$Z$132,$B266),0)</f>
        <v>196900</v>
      </c>
      <c r="J266" s="74">
        <f t="array" ref="J266">if(and(J$4-$B266+1=1,index($G$131:$Z$131,$B266)&gt;0),'Get Started'!$D$27*index($G$132:$Z$132,$B266),0)</f>
        <v>0</v>
      </c>
      <c r="K266" s="74">
        <f t="array" ref="K266">if(and(K$4-$B266+1=1,index($G$131:$Z$131,$B266)&gt;0),'Get Started'!$D$27*index($G$132:$Z$132,$B266),0)</f>
        <v>0</v>
      </c>
      <c r="L266" s="74">
        <f t="array" ref="L266">if(and(L$4-$B266+1=1,index($G$131:$Z$131,$B266)&gt;0),'Get Started'!$D$27*index($G$132:$Z$132,$B266),0)</f>
        <v>0</v>
      </c>
      <c r="M266" s="74">
        <f t="array" ref="M266">if(and(M$4-$B266+1=1,index($G$131:$Z$131,$B266)&gt;0),'Get Started'!$D$27*index($G$132:$Z$132,$B266),0)</f>
        <v>0</v>
      </c>
      <c r="N266" s="74">
        <f t="array" ref="N266">if(and(N$4-$B266+1=1,index($G$131:$Z$131,$B266)&gt;0),'Get Started'!$D$27*index($G$132:$Z$132,$B266),0)</f>
        <v>0</v>
      </c>
      <c r="O266" s="74">
        <f t="array" ref="O266">if(and(O$4-$B266+1=1,index($G$131:$Z$131,$B266)&gt;0),'Get Started'!$D$27*index($G$132:$Z$132,$B266),0)</f>
        <v>0</v>
      </c>
      <c r="P266" s="74">
        <f t="array" ref="P266">if(and(P$4-$B266+1=1,index($G$131:$Z$131,$B266)&gt;0),'Get Started'!$D$27*index($G$132:$Z$132,$B266),0)</f>
        <v>0</v>
      </c>
      <c r="Q266" s="74">
        <f t="array" ref="Q266">if(and(Q$4-$B266+1=1,index($G$131:$Z$131,$B266)&gt;0),'Get Started'!$D$27*index($G$132:$Z$132,$B266),0)</f>
        <v>0</v>
      </c>
      <c r="R266" s="74">
        <f t="array" ref="R266">if(and(R$4-$B266+1=1,index($G$131:$Z$131,$B266)&gt;0),'Get Started'!$D$27*index($G$132:$Z$132,$B266),0)</f>
        <v>0</v>
      </c>
      <c r="S266" s="74">
        <f t="array" ref="S266">if(and(S$4-$B266+1=1,index($G$131:$Z$131,$B266)&gt;0),'Get Started'!$D$27*index($G$132:$Z$132,$B266),0)</f>
        <v>0</v>
      </c>
      <c r="T266" s="74">
        <f t="array" ref="T266">if(and(T$4-$B266+1=1,index($G$131:$Z$131,$B266)&gt;0),'Get Started'!$D$27*index($G$132:$Z$132,$B266),0)</f>
        <v>0</v>
      </c>
      <c r="U266" s="74">
        <f t="array" ref="U266">if(and(U$4-$B266+1=1,index($G$131:$Z$131,$B266)&gt;0),'Get Started'!$D$27*index($G$132:$Z$132,$B266),0)</f>
        <v>0</v>
      </c>
      <c r="V266" s="74">
        <f t="array" ref="V266">if(and(V$4-$B266+1=1,index($G$131:$Z$131,$B266)&gt;0),'Get Started'!$D$27*index($G$132:$Z$132,$B266),0)</f>
        <v>0</v>
      </c>
      <c r="W266" s="74">
        <f t="array" ref="W266">if(and(W$4-$B266+1=1,index($G$131:$Z$131,$B266)&gt;0),'Get Started'!$D$27*index($G$132:$Z$132,$B266),0)</f>
        <v>0</v>
      </c>
      <c r="X266" s="74">
        <f t="array" ref="X266">if(and(X$4-$B266+1=1,index($G$131:$Z$131,$B266)&gt;0),'Get Started'!$D$27*index($G$132:$Z$132,$B266),0)</f>
        <v>0</v>
      </c>
      <c r="Y266" s="74">
        <f t="array" ref="Y266">if(and(Y$4-$B266+1=1,index($G$131:$Z$131,$B266)&gt;0),'Get Started'!$D$27*index($G$132:$Z$132,$B266),0)</f>
        <v>0</v>
      </c>
      <c r="Z266" s="74">
        <f t="array" ref="Z266">if(and(Z$4-$B266+1=1,index($G$131:$Z$131,$B266)&gt;0),'Get Started'!$D$27*index($G$132:$Z$132,$B266),0)</f>
        <v>0</v>
      </c>
    </row>
    <row r="267" hidden="1" outlineLevel="1">
      <c r="B267" s="93">
        <f t="shared" si="159"/>
        <v>4</v>
      </c>
      <c r="C267" s="40"/>
      <c r="D267" s="16" t="s">
        <v>161</v>
      </c>
      <c r="E267" s="74">
        <f t="shared" si="108"/>
        <v>0</v>
      </c>
      <c r="F267" s="74"/>
      <c r="G267" s="74">
        <f t="array" ref="G267">if(and(G$4-$B267+1=1,index($G$131:$Z$131,$B267)&gt;0),'Get Started'!$D$27*index($G$132:$Z$132,$B267),0)</f>
        <v>0</v>
      </c>
      <c r="H267" s="74">
        <f t="array" ref="H267">if(and(H$4-$B267+1=1,index($G$131:$Z$131,$B267)&gt;0),'Get Started'!$D$27*index($G$132:$Z$132,$B267),0)</f>
        <v>0</v>
      </c>
      <c r="I267" s="74">
        <f t="array" ref="I267">if(and(I$4-$B267+1=1,index($G$131:$Z$131,$B267)&gt;0),'Get Started'!$D$27*index($G$132:$Z$132,$B267),0)</f>
        <v>0</v>
      </c>
      <c r="J267" s="74">
        <f t="array" ref="J267">if(and(J$4-$B267+1=1,index($G$131:$Z$131,$B267)&gt;0),'Get Started'!$D$27*index($G$132:$Z$132,$B267),0)</f>
        <v>0</v>
      </c>
      <c r="K267" s="74">
        <f t="array" ref="K267">if(and(K$4-$B267+1=1,index($G$131:$Z$131,$B267)&gt;0),'Get Started'!$D$27*index($G$132:$Z$132,$B267),0)</f>
        <v>0</v>
      </c>
      <c r="L267" s="74">
        <f t="array" ref="L267">if(and(L$4-$B267+1=1,index($G$131:$Z$131,$B267)&gt;0),'Get Started'!$D$27*index($G$132:$Z$132,$B267),0)</f>
        <v>0</v>
      </c>
      <c r="M267" s="74">
        <f t="array" ref="M267">if(and(M$4-$B267+1=1,index($G$131:$Z$131,$B267)&gt;0),'Get Started'!$D$27*index($G$132:$Z$132,$B267),0)</f>
        <v>0</v>
      </c>
      <c r="N267" s="74">
        <f t="array" ref="N267">if(and(N$4-$B267+1=1,index($G$131:$Z$131,$B267)&gt;0),'Get Started'!$D$27*index($G$132:$Z$132,$B267),0)</f>
        <v>0</v>
      </c>
      <c r="O267" s="74">
        <f t="array" ref="O267">if(and(O$4-$B267+1=1,index($G$131:$Z$131,$B267)&gt;0),'Get Started'!$D$27*index($G$132:$Z$132,$B267),0)</f>
        <v>0</v>
      </c>
      <c r="P267" s="74">
        <f t="array" ref="P267">if(and(P$4-$B267+1=1,index($G$131:$Z$131,$B267)&gt;0),'Get Started'!$D$27*index($G$132:$Z$132,$B267),0)</f>
        <v>0</v>
      </c>
      <c r="Q267" s="74">
        <f t="array" ref="Q267">if(and(Q$4-$B267+1=1,index($G$131:$Z$131,$B267)&gt;0),'Get Started'!$D$27*index($G$132:$Z$132,$B267),0)</f>
        <v>0</v>
      </c>
      <c r="R267" s="74">
        <f t="array" ref="R267">if(and(R$4-$B267+1=1,index($G$131:$Z$131,$B267)&gt;0),'Get Started'!$D$27*index($G$132:$Z$132,$B267),0)</f>
        <v>0</v>
      </c>
      <c r="S267" s="74">
        <f t="array" ref="S267">if(and(S$4-$B267+1=1,index($G$131:$Z$131,$B267)&gt;0),'Get Started'!$D$27*index($G$132:$Z$132,$B267),0)</f>
        <v>0</v>
      </c>
      <c r="T267" s="74">
        <f t="array" ref="T267">if(and(T$4-$B267+1=1,index($G$131:$Z$131,$B267)&gt;0),'Get Started'!$D$27*index($G$132:$Z$132,$B267),0)</f>
        <v>0</v>
      </c>
      <c r="U267" s="74">
        <f t="array" ref="U267">if(and(U$4-$B267+1=1,index($G$131:$Z$131,$B267)&gt;0),'Get Started'!$D$27*index($G$132:$Z$132,$B267),0)</f>
        <v>0</v>
      </c>
      <c r="V267" s="74">
        <f t="array" ref="V267">if(and(V$4-$B267+1=1,index($G$131:$Z$131,$B267)&gt;0),'Get Started'!$D$27*index($G$132:$Z$132,$B267),0)</f>
        <v>0</v>
      </c>
      <c r="W267" s="74">
        <f t="array" ref="W267">if(and(W$4-$B267+1=1,index($G$131:$Z$131,$B267)&gt;0),'Get Started'!$D$27*index($G$132:$Z$132,$B267),0)</f>
        <v>0</v>
      </c>
      <c r="X267" s="74">
        <f t="array" ref="X267">if(and(X$4-$B267+1=1,index($G$131:$Z$131,$B267)&gt;0),'Get Started'!$D$27*index($G$132:$Z$132,$B267),0)</f>
        <v>0</v>
      </c>
      <c r="Y267" s="74">
        <f t="array" ref="Y267">if(and(Y$4-$B267+1=1,index($G$131:$Z$131,$B267)&gt;0),'Get Started'!$D$27*index($G$132:$Z$132,$B267),0)</f>
        <v>0</v>
      </c>
      <c r="Z267" s="74">
        <f t="array" ref="Z267">if(and(Z$4-$B267+1=1,index($G$131:$Z$131,$B267)&gt;0),'Get Started'!$D$27*index($G$132:$Z$132,$B267),0)</f>
        <v>0</v>
      </c>
    </row>
    <row r="268" hidden="1" outlineLevel="1">
      <c r="B268" s="93">
        <f t="shared" si="159"/>
        <v>5</v>
      </c>
      <c r="C268" s="40"/>
      <c r="D268" s="16" t="s">
        <v>161</v>
      </c>
      <c r="E268" s="74">
        <f t="shared" si="108"/>
        <v>0</v>
      </c>
      <c r="F268" s="74"/>
      <c r="G268" s="74">
        <f t="array" ref="G268">if(and(G$4-$B268+1=1,index($G$131:$Z$131,$B268)&gt;0),'Get Started'!$D$27*index($G$132:$Z$132,$B268),0)</f>
        <v>0</v>
      </c>
      <c r="H268" s="74">
        <f t="array" ref="H268">if(and(H$4-$B268+1=1,index($G$131:$Z$131,$B268)&gt;0),'Get Started'!$D$27*index($G$132:$Z$132,$B268),0)</f>
        <v>0</v>
      </c>
      <c r="I268" s="74">
        <f t="array" ref="I268">if(and(I$4-$B268+1=1,index($G$131:$Z$131,$B268)&gt;0),'Get Started'!$D$27*index($G$132:$Z$132,$B268),0)</f>
        <v>0</v>
      </c>
      <c r="J268" s="74">
        <f t="array" ref="J268">if(and(J$4-$B268+1=1,index($G$131:$Z$131,$B268)&gt;0),'Get Started'!$D$27*index($G$132:$Z$132,$B268),0)</f>
        <v>0</v>
      </c>
      <c r="K268" s="74">
        <f t="array" ref="K268">if(and(K$4-$B268+1=1,index($G$131:$Z$131,$B268)&gt;0),'Get Started'!$D$27*index($G$132:$Z$132,$B268),0)</f>
        <v>0</v>
      </c>
      <c r="L268" s="74">
        <f t="array" ref="L268">if(and(L$4-$B268+1=1,index($G$131:$Z$131,$B268)&gt;0),'Get Started'!$D$27*index($G$132:$Z$132,$B268),0)</f>
        <v>0</v>
      </c>
      <c r="M268" s="74">
        <f t="array" ref="M268">if(and(M$4-$B268+1=1,index($G$131:$Z$131,$B268)&gt;0),'Get Started'!$D$27*index($G$132:$Z$132,$B268),0)</f>
        <v>0</v>
      </c>
      <c r="N268" s="74">
        <f t="array" ref="N268">if(and(N$4-$B268+1=1,index($G$131:$Z$131,$B268)&gt;0),'Get Started'!$D$27*index($G$132:$Z$132,$B268),0)</f>
        <v>0</v>
      </c>
      <c r="O268" s="74">
        <f t="array" ref="O268">if(and(O$4-$B268+1=1,index($G$131:$Z$131,$B268)&gt;0),'Get Started'!$D$27*index($G$132:$Z$132,$B268),0)</f>
        <v>0</v>
      </c>
      <c r="P268" s="74">
        <f t="array" ref="P268">if(and(P$4-$B268+1=1,index($G$131:$Z$131,$B268)&gt;0),'Get Started'!$D$27*index($G$132:$Z$132,$B268),0)</f>
        <v>0</v>
      </c>
      <c r="Q268" s="74">
        <f t="array" ref="Q268">if(and(Q$4-$B268+1=1,index($G$131:$Z$131,$B268)&gt;0),'Get Started'!$D$27*index($G$132:$Z$132,$B268),0)</f>
        <v>0</v>
      </c>
      <c r="R268" s="74">
        <f t="array" ref="R268">if(and(R$4-$B268+1=1,index($G$131:$Z$131,$B268)&gt;0),'Get Started'!$D$27*index($G$132:$Z$132,$B268),0)</f>
        <v>0</v>
      </c>
      <c r="S268" s="74">
        <f t="array" ref="S268">if(and(S$4-$B268+1=1,index($G$131:$Z$131,$B268)&gt;0),'Get Started'!$D$27*index($G$132:$Z$132,$B268),0)</f>
        <v>0</v>
      </c>
      <c r="T268" s="74">
        <f t="array" ref="T268">if(and(T$4-$B268+1=1,index($G$131:$Z$131,$B268)&gt;0),'Get Started'!$D$27*index($G$132:$Z$132,$B268),0)</f>
        <v>0</v>
      </c>
      <c r="U268" s="74">
        <f t="array" ref="U268">if(and(U$4-$B268+1=1,index($G$131:$Z$131,$B268)&gt;0),'Get Started'!$D$27*index($G$132:$Z$132,$B268),0)</f>
        <v>0</v>
      </c>
      <c r="V268" s="74">
        <f t="array" ref="V268">if(and(V$4-$B268+1=1,index($G$131:$Z$131,$B268)&gt;0),'Get Started'!$D$27*index($G$132:$Z$132,$B268),0)</f>
        <v>0</v>
      </c>
      <c r="W268" s="74">
        <f t="array" ref="W268">if(and(W$4-$B268+1=1,index($G$131:$Z$131,$B268)&gt;0),'Get Started'!$D$27*index($G$132:$Z$132,$B268),0)</f>
        <v>0</v>
      </c>
      <c r="X268" s="74">
        <f t="array" ref="X268">if(and(X$4-$B268+1=1,index($G$131:$Z$131,$B268)&gt;0),'Get Started'!$D$27*index($G$132:$Z$132,$B268),0)</f>
        <v>0</v>
      </c>
      <c r="Y268" s="74">
        <f t="array" ref="Y268">if(and(Y$4-$B268+1=1,index($G$131:$Z$131,$B268)&gt;0),'Get Started'!$D$27*index($G$132:$Z$132,$B268),0)</f>
        <v>0</v>
      </c>
      <c r="Z268" s="74">
        <f t="array" ref="Z268">if(and(Z$4-$B268+1=1,index($G$131:$Z$131,$B268)&gt;0),'Get Started'!$D$27*index($G$132:$Z$132,$B268),0)</f>
        <v>0</v>
      </c>
    </row>
    <row r="269" hidden="1" outlineLevel="1">
      <c r="B269" s="93">
        <f t="shared" si="159"/>
        <v>6</v>
      </c>
      <c r="C269" s="40"/>
      <c r="D269" s="16" t="s">
        <v>161</v>
      </c>
      <c r="E269" s="74">
        <f t="shared" si="108"/>
        <v>0</v>
      </c>
      <c r="F269" s="74"/>
      <c r="G269" s="74">
        <f t="array" ref="G269">if(and(G$4-$B269+1=1,index($G$131:$Z$131,$B269)&gt;0),'Get Started'!$D$27*index($G$132:$Z$132,$B269),0)</f>
        <v>0</v>
      </c>
      <c r="H269" s="74">
        <f t="array" ref="H269">if(and(H$4-$B269+1=1,index($G$131:$Z$131,$B269)&gt;0),'Get Started'!$D$27*index($G$132:$Z$132,$B269),0)</f>
        <v>0</v>
      </c>
      <c r="I269" s="74">
        <f t="array" ref="I269">if(and(I$4-$B269+1=1,index($G$131:$Z$131,$B269)&gt;0),'Get Started'!$D$27*index($G$132:$Z$132,$B269),0)</f>
        <v>0</v>
      </c>
      <c r="J269" s="74">
        <f t="array" ref="J269">if(and(J$4-$B269+1=1,index($G$131:$Z$131,$B269)&gt;0),'Get Started'!$D$27*index($G$132:$Z$132,$B269),0)</f>
        <v>0</v>
      </c>
      <c r="K269" s="74">
        <f t="array" ref="K269">if(and(K$4-$B269+1=1,index($G$131:$Z$131,$B269)&gt;0),'Get Started'!$D$27*index($G$132:$Z$132,$B269),0)</f>
        <v>0</v>
      </c>
      <c r="L269" s="74">
        <f t="array" ref="L269">if(and(L$4-$B269+1=1,index($G$131:$Z$131,$B269)&gt;0),'Get Started'!$D$27*index($G$132:$Z$132,$B269),0)</f>
        <v>0</v>
      </c>
      <c r="M269" s="74">
        <f t="array" ref="M269">if(and(M$4-$B269+1=1,index($G$131:$Z$131,$B269)&gt;0),'Get Started'!$D$27*index($G$132:$Z$132,$B269),0)</f>
        <v>0</v>
      </c>
      <c r="N269" s="74">
        <f t="array" ref="N269">if(and(N$4-$B269+1=1,index($G$131:$Z$131,$B269)&gt;0),'Get Started'!$D$27*index($G$132:$Z$132,$B269),0)</f>
        <v>0</v>
      </c>
      <c r="O269" s="74">
        <f t="array" ref="O269">if(and(O$4-$B269+1=1,index($G$131:$Z$131,$B269)&gt;0),'Get Started'!$D$27*index($G$132:$Z$132,$B269),0)</f>
        <v>0</v>
      </c>
      <c r="P269" s="74">
        <f t="array" ref="P269">if(and(P$4-$B269+1=1,index($G$131:$Z$131,$B269)&gt;0),'Get Started'!$D$27*index($G$132:$Z$132,$B269),0)</f>
        <v>0</v>
      </c>
      <c r="Q269" s="74">
        <f t="array" ref="Q269">if(and(Q$4-$B269+1=1,index($G$131:$Z$131,$B269)&gt;0),'Get Started'!$D$27*index($G$132:$Z$132,$B269),0)</f>
        <v>0</v>
      </c>
      <c r="R269" s="74">
        <f t="array" ref="R269">if(and(R$4-$B269+1=1,index($G$131:$Z$131,$B269)&gt;0),'Get Started'!$D$27*index($G$132:$Z$132,$B269),0)</f>
        <v>0</v>
      </c>
      <c r="S269" s="74">
        <f t="array" ref="S269">if(and(S$4-$B269+1=1,index($G$131:$Z$131,$B269)&gt;0),'Get Started'!$D$27*index($G$132:$Z$132,$B269),0)</f>
        <v>0</v>
      </c>
      <c r="T269" s="74">
        <f t="array" ref="T269">if(and(T$4-$B269+1=1,index($G$131:$Z$131,$B269)&gt;0),'Get Started'!$D$27*index($G$132:$Z$132,$B269),0)</f>
        <v>0</v>
      </c>
      <c r="U269" s="74">
        <f t="array" ref="U269">if(and(U$4-$B269+1=1,index($G$131:$Z$131,$B269)&gt;0),'Get Started'!$D$27*index($G$132:$Z$132,$B269),0)</f>
        <v>0</v>
      </c>
      <c r="V269" s="74">
        <f t="array" ref="V269">if(and(V$4-$B269+1=1,index($G$131:$Z$131,$B269)&gt;0),'Get Started'!$D$27*index($G$132:$Z$132,$B269),0)</f>
        <v>0</v>
      </c>
      <c r="W269" s="74">
        <f t="array" ref="W269">if(and(W$4-$B269+1=1,index($G$131:$Z$131,$B269)&gt;0),'Get Started'!$D$27*index($G$132:$Z$132,$B269),0)</f>
        <v>0</v>
      </c>
      <c r="X269" s="74">
        <f t="array" ref="X269">if(and(X$4-$B269+1=1,index($G$131:$Z$131,$B269)&gt;0),'Get Started'!$D$27*index($G$132:$Z$132,$B269),0)</f>
        <v>0</v>
      </c>
      <c r="Y269" s="74">
        <f t="array" ref="Y269">if(and(Y$4-$B269+1=1,index($G$131:$Z$131,$B269)&gt;0),'Get Started'!$D$27*index($G$132:$Z$132,$B269),0)</f>
        <v>0</v>
      </c>
      <c r="Z269" s="74">
        <f t="array" ref="Z269">if(and(Z$4-$B269+1=1,index($G$131:$Z$131,$B269)&gt;0),'Get Started'!$D$27*index($G$132:$Z$132,$B269),0)</f>
        <v>0</v>
      </c>
    </row>
    <row r="270" hidden="1" outlineLevel="1">
      <c r="B270" s="93">
        <f t="shared" si="159"/>
        <v>7</v>
      </c>
      <c r="C270" s="40"/>
      <c r="D270" s="16" t="s">
        <v>161</v>
      </c>
      <c r="E270" s="74">
        <f t="shared" si="108"/>
        <v>0</v>
      </c>
      <c r="F270" s="74"/>
      <c r="G270" s="74">
        <f t="array" ref="G270">if(and(G$4-$B270+1=1,index($G$131:$Z$131,$B270)&gt;0),'Get Started'!$D$27*index($G$132:$Z$132,$B270),0)</f>
        <v>0</v>
      </c>
      <c r="H270" s="74">
        <f t="array" ref="H270">if(and(H$4-$B270+1=1,index($G$131:$Z$131,$B270)&gt;0),'Get Started'!$D$27*index($G$132:$Z$132,$B270),0)</f>
        <v>0</v>
      </c>
      <c r="I270" s="74">
        <f t="array" ref="I270">if(and(I$4-$B270+1=1,index($G$131:$Z$131,$B270)&gt;0),'Get Started'!$D$27*index($G$132:$Z$132,$B270),0)</f>
        <v>0</v>
      </c>
      <c r="J270" s="74">
        <f t="array" ref="J270">if(and(J$4-$B270+1=1,index($G$131:$Z$131,$B270)&gt;0),'Get Started'!$D$27*index($G$132:$Z$132,$B270),0)</f>
        <v>0</v>
      </c>
      <c r="K270" s="74">
        <f t="array" ref="K270">if(and(K$4-$B270+1=1,index($G$131:$Z$131,$B270)&gt;0),'Get Started'!$D$27*index($G$132:$Z$132,$B270),0)</f>
        <v>0</v>
      </c>
      <c r="L270" s="74">
        <f t="array" ref="L270">if(and(L$4-$B270+1=1,index($G$131:$Z$131,$B270)&gt;0),'Get Started'!$D$27*index($G$132:$Z$132,$B270),0)</f>
        <v>0</v>
      </c>
      <c r="M270" s="74">
        <f t="array" ref="M270">if(and(M$4-$B270+1=1,index($G$131:$Z$131,$B270)&gt;0),'Get Started'!$D$27*index($G$132:$Z$132,$B270),0)</f>
        <v>0</v>
      </c>
      <c r="N270" s="74">
        <f t="array" ref="N270">if(and(N$4-$B270+1=1,index($G$131:$Z$131,$B270)&gt;0),'Get Started'!$D$27*index($G$132:$Z$132,$B270),0)</f>
        <v>0</v>
      </c>
      <c r="O270" s="74">
        <f t="array" ref="O270">if(and(O$4-$B270+1=1,index($G$131:$Z$131,$B270)&gt;0),'Get Started'!$D$27*index($G$132:$Z$132,$B270),0)</f>
        <v>0</v>
      </c>
      <c r="P270" s="74">
        <f t="array" ref="P270">if(and(P$4-$B270+1=1,index($G$131:$Z$131,$B270)&gt;0),'Get Started'!$D$27*index($G$132:$Z$132,$B270),0)</f>
        <v>0</v>
      </c>
      <c r="Q270" s="74">
        <f t="array" ref="Q270">if(and(Q$4-$B270+1=1,index($G$131:$Z$131,$B270)&gt;0),'Get Started'!$D$27*index($G$132:$Z$132,$B270),0)</f>
        <v>0</v>
      </c>
      <c r="R270" s="74">
        <f t="array" ref="R270">if(and(R$4-$B270+1=1,index($G$131:$Z$131,$B270)&gt;0),'Get Started'!$D$27*index($G$132:$Z$132,$B270),0)</f>
        <v>0</v>
      </c>
      <c r="S270" s="74">
        <f t="array" ref="S270">if(and(S$4-$B270+1=1,index($G$131:$Z$131,$B270)&gt;0),'Get Started'!$D$27*index($G$132:$Z$132,$B270),0)</f>
        <v>0</v>
      </c>
      <c r="T270" s="74">
        <f t="array" ref="T270">if(and(T$4-$B270+1=1,index($G$131:$Z$131,$B270)&gt;0),'Get Started'!$D$27*index($G$132:$Z$132,$B270),0)</f>
        <v>0</v>
      </c>
      <c r="U270" s="74">
        <f t="array" ref="U270">if(and(U$4-$B270+1=1,index($G$131:$Z$131,$B270)&gt;0),'Get Started'!$D$27*index($G$132:$Z$132,$B270),0)</f>
        <v>0</v>
      </c>
      <c r="V270" s="74">
        <f t="array" ref="V270">if(and(V$4-$B270+1=1,index($G$131:$Z$131,$B270)&gt;0),'Get Started'!$D$27*index($G$132:$Z$132,$B270),0)</f>
        <v>0</v>
      </c>
      <c r="W270" s="74">
        <f t="array" ref="W270">if(and(W$4-$B270+1=1,index($G$131:$Z$131,$B270)&gt;0),'Get Started'!$D$27*index($G$132:$Z$132,$B270),0)</f>
        <v>0</v>
      </c>
      <c r="X270" s="74">
        <f t="array" ref="X270">if(and(X$4-$B270+1=1,index($G$131:$Z$131,$B270)&gt;0),'Get Started'!$D$27*index($G$132:$Z$132,$B270),0)</f>
        <v>0</v>
      </c>
      <c r="Y270" s="74">
        <f t="array" ref="Y270">if(and(Y$4-$B270+1=1,index($G$131:$Z$131,$B270)&gt;0),'Get Started'!$D$27*index($G$132:$Z$132,$B270),0)</f>
        <v>0</v>
      </c>
      <c r="Z270" s="74">
        <f t="array" ref="Z270">if(and(Z$4-$B270+1=1,index($G$131:$Z$131,$B270)&gt;0),'Get Started'!$D$27*index($G$132:$Z$132,$B270),0)</f>
        <v>0</v>
      </c>
    </row>
    <row r="271" hidden="1" outlineLevel="1">
      <c r="B271" s="93">
        <f t="shared" si="159"/>
        <v>8</v>
      </c>
      <c r="C271" s="40"/>
      <c r="D271" s="16" t="s">
        <v>161</v>
      </c>
      <c r="E271" s="74">
        <f t="shared" si="108"/>
        <v>0</v>
      </c>
      <c r="F271" s="74"/>
      <c r="G271" s="74">
        <f t="array" ref="G271">if(and(G$4-$B271+1=1,index($G$131:$Z$131,$B271)&gt;0),'Get Started'!$D$27*index($G$132:$Z$132,$B271),0)</f>
        <v>0</v>
      </c>
      <c r="H271" s="74">
        <f t="array" ref="H271">if(and(H$4-$B271+1=1,index($G$131:$Z$131,$B271)&gt;0),'Get Started'!$D$27*index($G$132:$Z$132,$B271),0)</f>
        <v>0</v>
      </c>
      <c r="I271" s="74">
        <f t="array" ref="I271">if(and(I$4-$B271+1=1,index($G$131:$Z$131,$B271)&gt;0),'Get Started'!$D$27*index($G$132:$Z$132,$B271),0)</f>
        <v>0</v>
      </c>
      <c r="J271" s="74">
        <f t="array" ref="J271">if(and(J$4-$B271+1=1,index($G$131:$Z$131,$B271)&gt;0),'Get Started'!$D$27*index($G$132:$Z$132,$B271),0)</f>
        <v>0</v>
      </c>
      <c r="K271" s="74">
        <f t="array" ref="K271">if(and(K$4-$B271+1=1,index($G$131:$Z$131,$B271)&gt;0),'Get Started'!$D$27*index($G$132:$Z$132,$B271),0)</f>
        <v>0</v>
      </c>
      <c r="L271" s="74">
        <f t="array" ref="L271">if(and(L$4-$B271+1=1,index($G$131:$Z$131,$B271)&gt;0),'Get Started'!$D$27*index($G$132:$Z$132,$B271),0)</f>
        <v>0</v>
      </c>
      <c r="M271" s="74">
        <f t="array" ref="M271">if(and(M$4-$B271+1=1,index($G$131:$Z$131,$B271)&gt;0),'Get Started'!$D$27*index($G$132:$Z$132,$B271),0)</f>
        <v>0</v>
      </c>
      <c r="N271" s="74">
        <f t="array" ref="N271">if(and(N$4-$B271+1=1,index($G$131:$Z$131,$B271)&gt;0),'Get Started'!$D$27*index($G$132:$Z$132,$B271),0)</f>
        <v>0</v>
      </c>
      <c r="O271" s="74">
        <f t="array" ref="O271">if(and(O$4-$B271+1=1,index($G$131:$Z$131,$B271)&gt;0),'Get Started'!$D$27*index($G$132:$Z$132,$B271),0)</f>
        <v>0</v>
      </c>
      <c r="P271" s="74">
        <f t="array" ref="P271">if(and(P$4-$B271+1=1,index($G$131:$Z$131,$B271)&gt;0),'Get Started'!$D$27*index($G$132:$Z$132,$B271),0)</f>
        <v>0</v>
      </c>
      <c r="Q271" s="74">
        <f t="array" ref="Q271">if(and(Q$4-$B271+1=1,index($G$131:$Z$131,$B271)&gt;0),'Get Started'!$D$27*index($G$132:$Z$132,$B271),0)</f>
        <v>0</v>
      </c>
      <c r="R271" s="74">
        <f t="array" ref="R271">if(and(R$4-$B271+1=1,index($G$131:$Z$131,$B271)&gt;0),'Get Started'!$D$27*index($G$132:$Z$132,$B271),0)</f>
        <v>0</v>
      </c>
      <c r="S271" s="74">
        <f t="array" ref="S271">if(and(S$4-$B271+1=1,index($G$131:$Z$131,$B271)&gt;0),'Get Started'!$D$27*index($G$132:$Z$132,$B271),0)</f>
        <v>0</v>
      </c>
      <c r="T271" s="74">
        <f t="array" ref="T271">if(and(T$4-$B271+1=1,index($G$131:$Z$131,$B271)&gt;0),'Get Started'!$D$27*index($G$132:$Z$132,$B271),0)</f>
        <v>0</v>
      </c>
      <c r="U271" s="74">
        <f t="array" ref="U271">if(and(U$4-$B271+1=1,index($G$131:$Z$131,$B271)&gt;0),'Get Started'!$D$27*index($G$132:$Z$132,$B271),0)</f>
        <v>0</v>
      </c>
      <c r="V271" s="74">
        <f t="array" ref="V271">if(and(V$4-$B271+1=1,index($G$131:$Z$131,$B271)&gt;0),'Get Started'!$D$27*index($G$132:$Z$132,$B271),0)</f>
        <v>0</v>
      </c>
      <c r="W271" s="74">
        <f t="array" ref="W271">if(and(W$4-$B271+1=1,index($G$131:$Z$131,$B271)&gt;0),'Get Started'!$D$27*index($G$132:$Z$132,$B271),0)</f>
        <v>0</v>
      </c>
      <c r="X271" s="74">
        <f t="array" ref="X271">if(and(X$4-$B271+1=1,index($G$131:$Z$131,$B271)&gt;0),'Get Started'!$D$27*index($G$132:$Z$132,$B271),0)</f>
        <v>0</v>
      </c>
      <c r="Y271" s="74">
        <f t="array" ref="Y271">if(and(Y$4-$B271+1=1,index($G$131:$Z$131,$B271)&gt;0),'Get Started'!$D$27*index($G$132:$Z$132,$B271),0)</f>
        <v>0</v>
      </c>
      <c r="Z271" s="74">
        <f t="array" ref="Z271">if(and(Z$4-$B271+1=1,index($G$131:$Z$131,$B271)&gt;0),'Get Started'!$D$27*index($G$132:$Z$132,$B271),0)</f>
        <v>0</v>
      </c>
    </row>
    <row r="272" hidden="1" outlineLevel="1">
      <c r="B272" s="93">
        <f t="shared" si="159"/>
        <v>9</v>
      </c>
      <c r="C272" s="40"/>
      <c r="D272" s="16" t="s">
        <v>161</v>
      </c>
      <c r="E272" s="74">
        <f t="shared" si="108"/>
        <v>0</v>
      </c>
      <c r="F272" s="74"/>
      <c r="G272" s="74">
        <f t="array" ref="G272">if(and(G$4-$B272+1=1,index($G$131:$Z$131,$B272)&gt;0),'Get Started'!$D$27*index($G$132:$Z$132,$B272),0)</f>
        <v>0</v>
      </c>
      <c r="H272" s="74">
        <f t="array" ref="H272">if(and(H$4-$B272+1=1,index($G$131:$Z$131,$B272)&gt;0),'Get Started'!$D$27*index($G$132:$Z$132,$B272),0)</f>
        <v>0</v>
      </c>
      <c r="I272" s="74">
        <f t="array" ref="I272">if(and(I$4-$B272+1=1,index($G$131:$Z$131,$B272)&gt;0),'Get Started'!$D$27*index($G$132:$Z$132,$B272),0)</f>
        <v>0</v>
      </c>
      <c r="J272" s="74">
        <f t="array" ref="J272">if(and(J$4-$B272+1=1,index($G$131:$Z$131,$B272)&gt;0),'Get Started'!$D$27*index($G$132:$Z$132,$B272),0)</f>
        <v>0</v>
      </c>
      <c r="K272" s="74">
        <f t="array" ref="K272">if(and(K$4-$B272+1=1,index($G$131:$Z$131,$B272)&gt;0),'Get Started'!$D$27*index($G$132:$Z$132,$B272),0)</f>
        <v>0</v>
      </c>
      <c r="L272" s="74">
        <f t="array" ref="L272">if(and(L$4-$B272+1=1,index($G$131:$Z$131,$B272)&gt;0),'Get Started'!$D$27*index($G$132:$Z$132,$B272),0)</f>
        <v>0</v>
      </c>
      <c r="M272" s="74">
        <f t="array" ref="M272">if(and(M$4-$B272+1=1,index($G$131:$Z$131,$B272)&gt;0),'Get Started'!$D$27*index($G$132:$Z$132,$B272),0)</f>
        <v>0</v>
      </c>
      <c r="N272" s="74">
        <f t="array" ref="N272">if(and(N$4-$B272+1=1,index($G$131:$Z$131,$B272)&gt;0),'Get Started'!$D$27*index($G$132:$Z$132,$B272),0)</f>
        <v>0</v>
      </c>
      <c r="O272" s="74">
        <f t="array" ref="O272">if(and(O$4-$B272+1=1,index($G$131:$Z$131,$B272)&gt;0),'Get Started'!$D$27*index($G$132:$Z$132,$B272),0)</f>
        <v>0</v>
      </c>
      <c r="P272" s="74">
        <f t="array" ref="P272">if(and(P$4-$B272+1=1,index($G$131:$Z$131,$B272)&gt;0),'Get Started'!$D$27*index($G$132:$Z$132,$B272),0)</f>
        <v>0</v>
      </c>
      <c r="Q272" s="74">
        <f t="array" ref="Q272">if(and(Q$4-$B272+1=1,index($G$131:$Z$131,$B272)&gt;0),'Get Started'!$D$27*index($G$132:$Z$132,$B272),0)</f>
        <v>0</v>
      </c>
      <c r="R272" s="74">
        <f t="array" ref="R272">if(and(R$4-$B272+1=1,index($G$131:$Z$131,$B272)&gt;0),'Get Started'!$D$27*index($G$132:$Z$132,$B272),0)</f>
        <v>0</v>
      </c>
      <c r="S272" s="74">
        <f t="array" ref="S272">if(and(S$4-$B272+1=1,index($G$131:$Z$131,$B272)&gt;0),'Get Started'!$D$27*index($G$132:$Z$132,$B272),0)</f>
        <v>0</v>
      </c>
      <c r="T272" s="74">
        <f t="array" ref="T272">if(and(T$4-$B272+1=1,index($G$131:$Z$131,$B272)&gt;0),'Get Started'!$D$27*index($G$132:$Z$132,$B272),0)</f>
        <v>0</v>
      </c>
      <c r="U272" s="74">
        <f t="array" ref="U272">if(and(U$4-$B272+1=1,index($G$131:$Z$131,$B272)&gt;0),'Get Started'!$D$27*index($G$132:$Z$132,$B272),0)</f>
        <v>0</v>
      </c>
      <c r="V272" s="74">
        <f t="array" ref="V272">if(and(V$4-$B272+1=1,index($G$131:$Z$131,$B272)&gt;0),'Get Started'!$D$27*index($G$132:$Z$132,$B272),0)</f>
        <v>0</v>
      </c>
      <c r="W272" s="74">
        <f t="array" ref="W272">if(and(W$4-$B272+1=1,index($G$131:$Z$131,$B272)&gt;0),'Get Started'!$D$27*index($G$132:$Z$132,$B272),0)</f>
        <v>0</v>
      </c>
      <c r="X272" s="74">
        <f t="array" ref="X272">if(and(X$4-$B272+1=1,index($G$131:$Z$131,$B272)&gt;0),'Get Started'!$D$27*index($G$132:$Z$132,$B272),0)</f>
        <v>0</v>
      </c>
      <c r="Y272" s="74">
        <f t="array" ref="Y272">if(and(Y$4-$B272+1=1,index($G$131:$Z$131,$B272)&gt;0),'Get Started'!$D$27*index($G$132:$Z$132,$B272),0)</f>
        <v>0</v>
      </c>
      <c r="Z272" s="74">
        <f t="array" ref="Z272">if(and(Z$4-$B272+1=1,index($G$131:$Z$131,$B272)&gt;0),'Get Started'!$D$27*index($G$132:$Z$132,$B272),0)</f>
        <v>0</v>
      </c>
    </row>
    <row r="273" hidden="1" outlineLevel="1">
      <c r="B273" s="93">
        <f t="shared" si="159"/>
        <v>10</v>
      </c>
      <c r="C273" s="40"/>
      <c r="D273" s="16" t="s">
        <v>161</v>
      </c>
      <c r="E273" s="74">
        <f t="shared" si="108"/>
        <v>0</v>
      </c>
      <c r="F273" s="74"/>
      <c r="G273" s="74">
        <f t="array" ref="G273">if(and(G$4-$B273+1=1,index($G$131:$Z$131,$B273)&gt;0),'Get Started'!$D$27*index($G$132:$Z$132,$B273),0)</f>
        <v>0</v>
      </c>
      <c r="H273" s="74">
        <f t="array" ref="H273">if(and(H$4-$B273+1=1,index($G$131:$Z$131,$B273)&gt;0),'Get Started'!$D$27*index($G$132:$Z$132,$B273),0)</f>
        <v>0</v>
      </c>
      <c r="I273" s="74">
        <f t="array" ref="I273">if(and(I$4-$B273+1=1,index($G$131:$Z$131,$B273)&gt;0),'Get Started'!$D$27*index($G$132:$Z$132,$B273),0)</f>
        <v>0</v>
      </c>
      <c r="J273" s="74">
        <f t="array" ref="J273">if(and(J$4-$B273+1=1,index($G$131:$Z$131,$B273)&gt;0),'Get Started'!$D$27*index($G$132:$Z$132,$B273),0)</f>
        <v>0</v>
      </c>
      <c r="K273" s="74">
        <f t="array" ref="K273">if(and(K$4-$B273+1=1,index($G$131:$Z$131,$B273)&gt;0),'Get Started'!$D$27*index($G$132:$Z$132,$B273),0)</f>
        <v>0</v>
      </c>
      <c r="L273" s="74">
        <f t="array" ref="L273">if(and(L$4-$B273+1=1,index($G$131:$Z$131,$B273)&gt;0),'Get Started'!$D$27*index($G$132:$Z$132,$B273),0)</f>
        <v>0</v>
      </c>
      <c r="M273" s="74">
        <f t="array" ref="M273">if(and(M$4-$B273+1=1,index($G$131:$Z$131,$B273)&gt;0),'Get Started'!$D$27*index($G$132:$Z$132,$B273),0)</f>
        <v>0</v>
      </c>
      <c r="N273" s="74">
        <f t="array" ref="N273">if(and(N$4-$B273+1=1,index($G$131:$Z$131,$B273)&gt;0),'Get Started'!$D$27*index($G$132:$Z$132,$B273),0)</f>
        <v>0</v>
      </c>
      <c r="O273" s="74">
        <f t="array" ref="O273">if(and(O$4-$B273+1=1,index($G$131:$Z$131,$B273)&gt;0),'Get Started'!$D$27*index($G$132:$Z$132,$B273),0)</f>
        <v>0</v>
      </c>
      <c r="P273" s="74">
        <f t="array" ref="P273">if(and(P$4-$B273+1=1,index($G$131:$Z$131,$B273)&gt;0),'Get Started'!$D$27*index($G$132:$Z$132,$B273),0)</f>
        <v>0</v>
      </c>
      <c r="Q273" s="74">
        <f t="array" ref="Q273">if(and(Q$4-$B273+1=1,index($G$131:$Z$131,$B273)&gt;0),'Get Started'!$D$27*index($G$132:$Z$132,$B273),0)</f>
        <v>0</v>
      </c>
      <c r="R273" s="74">
        <f t="array" ref="R273">if(and(R$4-$B273+1=1,index($G$131:$Z$131,$B273)&gt;0),'Get Started'!$D$27*index($G$132:$Z$132,$B273),0)</f>
        <v>0</v>
      </c>
      <c r="S273" s="74">
        <f t="array" ref="S273">if(and(S$4-$B273+1=1,index($G$131:$Z$131,$B273)&gt;0),'Get Started'!$D$27*index($G$132:$Z$132,$B273),0)</f>
        <v>0</v>
      </c>
      <c r="T273" s="74">
        <f t="array" ref="T273">if(and(T$4-$B273+1=1,index($G$131:$Z$131,$B273)&gt;0),'Get Started'!$D$27*index($G$132:$Z$132,$B273),0)</f>
        <v>0</v>
      </c>
      <c r="U273" s="74">
        <f t="array" ref="U273">if(and(U$4-$B273+1=1,index($G$131:$Z$131,$B273)&gt;0),'Get Started'!$D$27*index($G$132:$Z$132,$B273),0)</f>
        <v>0</v>
      </c>
      <c r="V273" s="74">
        <f t="array" ref="V273">if(and(V$4-$B273+1=1,index($G$131:$Z$131,$B273)&gt;0),'Get Started'!$D$27*index($G$132:$Z$132,$B273),0)</f>
        <v>0</v>
      </c>
      <c r="W273" s="74">
        <f t="array" ref="W273">if(and(W$4-$B273+1=1,index($G$131:$Z$131,$B273)&gt;0),'Get Started'!$D$27*index($G$132:$Z$132,$B273),0)</f>
        <v>0</v>
      </c>
      <c r="X273" s="74">
        <f t="array" ref="X273">if(and(X$4-$B273+1=1,index($G$131:$Z$131,$B273)&gt;0),'Get Started'!$D$27*index($G$132:$Z$132,$B273),0)</f>
        <v>0</v>
      </c>
      <c r="Y273" s="74">
        <f t="array" ref="Y273">if(and(Y$4-$B273+1=1,index($G$131:$Z$131,$B273)&gt;0),'Get Started'!$D$27*index($G$132:$Z$132,$B273),0)</f>
        <v>0</v>
      </c>
      <c r="Z273" s="74">
        <f t="array" ref="Z273">if(and(Z$4-$B273+1=1,index($G$131:$Z$131,$B273)&gt;0),'Get Started'!$D$27*index($G$132:$Z$132,$B273),0)</f>
        <v>0</v>
      </c>
    </row>
    <row r="274" hidden="1" outlineLevel="1">
      <c r="B274" s="93">
        <f t="shared" si="159"/>
        <v>11</v>
      </c>
      <c r="C274" s="40"/>
      <c r="D274" s="16" t="s">
        <v>161</v>
      </c>
      <c r="E274" s="74">
        <f t="shared" si="108"/>
        <v>0</v>
      </c>
      <c r="F274" s="74"/>
      <c r="G274" s="74">
        <f t="array" ref="G274">if(and(G$4-$B274+1=1,index($G$131:$Z$131,$B274)&gt;0),'Get Started'!$D$27*index($G$132:$Z$132,$B274),0)</f>
        <v>0</v>
      </c>
      <c r="H274" s="74">
        <f t="array" ref="H274">if(and(H$4-$B274+1=1,index($G$131:$Z$131,$B274)&gt;0),'Get Started'!$D$27*index($G$132:$Z$132,$B274),0)</f>
        <v>0</v>
      </c>
      <c r="I274" s="74">
        <f t="array" ref="I274">if(and(I$4-$B274+1=1,index($G$131:$Z$131,$B274)&gt;0),'Get Started'!$D$27*index($G$132:$Z$132,$B274),0)</f>
        <v>0</v>
      </c>
      <c r="J274" s="74">
        <f t="array" ref="J274">if(and(J$4-$B274+1=1,index($G$131:$Z$131,$B274)&gt;0),'Get Started'!$D$27*index($G$132:$Z$132,$B274),0)</f>
        <v>0</v>
      </c>
      <c r="K274" s="74">
        <f t="array" ref="K274">if(and(K$4-$B274+1=1,index($G$131:$Z$131,$B274)&gt;0),'Get Started'!$D$27*index($G$132:$Z$132,$B274),0)</f>
        <v>0</v>
      </c>
      <c r="L274" s="74">
        <f t="array" ref="L274">if(and(L$4-$B274+1=1,index($G$131:$Z$131,$B274)&gt;0),'Get Started'!$D$27*index($G$132:$Z$132,$B274),0)</f>
        <v>0</v>
      </c>
      <c r="M274" s="74">
        <f t="array" ref="M274">if(and(M$4-$B274+1=1,index($G$131:$Z$131,$B274)&gt;0),'Get Started'!$D$27*index($G$132:$Z$132,$B274),0)</f>
        <v>0</v>
      </c>
      <c r="N274" s="74">
        <f t="array" ref="N274">if(and(N$4-$B274+1=1,index($G$131:$Z$131,$B274)&gt;0),'Get Started'!$D$27*index($G$132:$Z$132,$B274),0)</f>
        <v>0</v>
      </c>
      <c r="O274" s="74">
        <f t="array" ref="O274">if(and(O$4-$B274+1=1,index($G$131:$Z$131,$B274)&gt;0),'Get Started'!$D$27*index($G$132:$Z$132,$B274),0)</f>
        <v>0</v>
      </c>
      <c r="P274" s="74">
        <f t="array" ref="P274">if(and(P$4-$B274+1=1,index($G$131:$Z$131,$B274)&gt;0),'Get Started'!$D$27*index($G$132:$Z$132,$B274),0)</f>
        <v>0</v>
      </c>
      <c r="Q274" s="74">
        <f t="array" ref="Q274">if(and(Q$4-$B274+1=1,index($G$131:$Z$131,$B274)&gt;0),'Get Started'!$D$27*index($G$132:$Z$132,$B274),0)</f>
        <v>0</v>
      </c>
      <c r="R274" s="74">
        <f t="array" ref="R274">if(and(R$4-$B274+1=1,index($G$131:$Z$131,$B274)&gt;0),'Get Started'!$D$27*index($G$132:$Z$132,$B274),0)</f>
        <v>0</v>
      </c>
      <c r="S274" s="74">
        <f t="array" ref="S274">if(and(S$4-$B274+1=1,index($G$131:$Z$131,$B274)&gt;0),'Get Started'!$D$27*index($G$132:$Z$132,$B274),0)</f>
        <v>0</v>
      </c>
      <c r="T274" s="74">
        <f t="array" ref="T274">if(and(T$4-$B274+1=1,index($G$131:$Z$131,$B274)&gt;0),'Get Started'!$D$27*index($G$132:$Z$132,$B274),0)</f>
        <v>0</v>
      </c>
      <c r="U274" s="74">
        <f t="array" ref="U274">if(and(U$4-$B274+1=1,index($G$131:$Z$131,$B274)&gt;0),'Get Started'!$D$27*index($G$132:$Z$132,$B274),0)</f>
        <v>0</v>
      </c>
      <c r="V274" s="74">
        <f t="array" ref="V274">if(and(V$4-$B274+1=1,index($G$131:$Z$131,$B274)&gt;0),'Get Started'!$D$27*index($G$132:$Z$132,$B274),0)</f>
        <v>0</v>
      </c>
      <c r="W274" s="74">
        <f t="array" ref="W274">if(and(W$4-$B274+1=1,index($G$131:$Z$131,$B274)&gt;0),'Get Started'!$D$27*index($G$132:$Z$132,$B274),0)</f>
        <v>0</v>
      </c>
      <c r="X274" s="74">
        <f t="array" ref="X274">if(and(X$4-$B274+1=1,index($G$131:$Z$131,$B274)&gt;0),'Get Started'!$D$27*index($G$132:$Z$132,$B274),0)</f>
        <v>0</v>
      </c>
      <c r="Y274" s="74">
        <f t="array" ref="Y274">if(and(Y$4-$B274+1=1,index($G$131:$Z$131,$B274)&gt;0),'Get Started'!$D$27*index($G$132:$Z$132,$B274),0)</f>
        <v>0</v>
      </c>
      <c r="Z274" s="74">
        <f t="array" ref="Z274">if(and(Z$4-$B274+1=1,index($G$131:$Z$131,$B274)&gt;0),'Get Started'!$D$27*index($G$132:$Z$132,$B274),0)</f>
        <v>0</v>
      </c>
    </row>
    <row r="275" hidden="1" outlineLevel="1">
      <c r="B275" s="93">
        <f t="shared" si="159"/>
        <v>12</v>
      </c>
      <c r="C275" s="40"/>
      <c r="D275" s="16" t="s">
        <v>161</v>
      </c>
      <c r="E275" s="74">
        <f t="shared" si="108"/>
        <v>0</v>
      </c>
      <c r="F275" s="74"/>
      <c r="G275" s="74">
        <f t="array" ref="G275">if(and(G$4-$B275+1=1,index($G$131:$Z$131,$B275)&gt;0),'Get Started'!$D$27*index($G$132:$Z$132,$B275),0)</f>
        <v>0</v>
      </c>
      <c r="H275" s="74">
        <f t="array" ref="H275">if(and(H$4-$B275+1=1,index($G$131:$Z$131,$B275)&gt;0),'Get Started'!$D$27*index($G$132:$Z$132,$B275),0)</f>
        <v>0</v>
      </c>
      <c r="I275" s="74">
        <f t="array" ref="I275">if(and(I$4-$B275+1=1,index($G$131:$Z$131,$B275)&gt;0),'Get Started'!$D$27*index($G$132:$Z$132,$B275),0)</f>
        <v>0</v>
      </c>
      <c r="J275" s="74">
        <f t="array" ref="J275">if(and(J$4-$B275+1=1,index($G$131:$Z$131,$B275)&gt;0),'Get Started'!$D$27*index($G$132:$Z$132,$B275),0)</f>
        <v>0</v>
      </c>
      <c r="K275" s="74">
        <f t="array" ref="K275">if(and(K$4-$B275+1=1,index($G$131:$Z$131,$B275)&gt;0),'Get Started'!$D$27*index($G$132:$Z$132,$B275),0)</f>
        <v>0</v>
      </c>
      <c r="L275" s="74">
        <f t="array" ref="L275">if(and(L$4-$B275+1=1,index($G$131:$Z$131,$B275)&gt;0),'Get Started'!$D$27*index($G$132:$Z$132,$B275),0)</f>
        <v>0</v>
      </c>
      <c r="M275" s="74">
        <f t="array" ref="M275">if(and(M$4-$B275+1=1,index($G$131:$Z$131,$B275)&gt;0),'Get Started'!$D$27*index($G$132:$Z$132,$B275),0)</f>
        <v>0</v>
      </c>
      <c r="N275" s="74">
        <f t="array" ref="N275">if(and(N$4-$B275+1=1,index($G$131:$Z$131,$B275)&gt;0),'Get Started'!$D$27*index($G$132:$Z$132,$B275),0)</f>
        <v>0</v>
      </c>
      <c r="O275" s="74">
        <f t="array" ref="O275">if(and(O$4-$B275+1=1,index($G$131:$Z$131,$B275)&gt;0),'Get Started'!$D$27*index($G$132:$Z$132,$B275),0)</f>
        <v>0</v>
      </c>
      <c r="P275" s="74">
        <f t="array" ref="P275">if(and(P$4-$B275+1=1,index($G$131:$Z$131,$B275)&gt;0),'Get Started'!$D$27*index($G$132:$Z$132,$B275),0)</f>
        <v>0</v>
      </c>
      <c r="Q275" s="74">
        <f t="array" ref="Q275">if(and(Q$4-$B275+1=1,index($G$131:$Z$131,$B275)&gt;0),'Get Started'!$D$27*index($G$132:$Z$132,$B275),0)</f>
        <v>0</v>
      </c>
      <c r="R275" s="74">
        <f t="array" ref="R275">if(and(R$4-$B275+1=1,index($G$131:$Z$131,$B275)&gt;0),'Get Started'!$D$27*index($G$132:$Z$132,$B275),0)</f>
        <v>0</v>
      </c>
      <c r="S275" s="74">
        <f t="array" ref="S275">if(and(S$4-$B275+1=1,index($G$131:$Z$131,$B275)&gt;0),'Get Started'!$D$27*index($G$132:$Z$132,$B275),0)</f>
        <v>0</v>
      </c>
      <c r="T275" s="74">
        <f t="array" ref="T275">if(and(T$4-$B275+1=1,index($G$131:$Z$131,$B275)&gt;0),'Get Started'!$D$27*index($G$132:$Z$132,$B275),0)</f>
        <v>0</v>
      </c>
      <c r="U275" s="74">
        <f t="array" ref="U275">if(and(U$4-$B275+1=1,index($G$131:$Z$131,$B275)&gt;0),'Get Started'!$D$27*index($G$132:$Z$132,$B275),0)</f>
        <v>0</v>
      </c>
      <c r="V275" s="74">
        <f t="array" ref="V275">if(and(V$4-$B275+1=1,index($G$131:$Z$131,$B275)&gt;0),'Get Started'!$D$27*index($G$132:$Z$132,$B275),0)</f>
        <v>0</v>
      </c>
      <c r="W275" s="74">
        <f t="array" ref="W275">if(and(W$4-$B275+1=1,index($G$131:$Z$131,$B275)&gt;0),'Get Started'!$D$27*index($G$132:$Z$132,$B275),0)</f>
        <v>0</v>
      </c>
      <c r="X275" s="74">
        <f t="array" ref="X275">if(and(X$4-$B275+1=1,index($G$131:$Z$131,$B275)&gt;0),'Get Started'!$D$27*index($G$132:$Z$132,$B275),0)</f>
        <v>0</v>
      </c>
      <c r="Y275" s="74">
        <f t="array" ref="Y275">if(and(Y$4-$B275+1=1,index($G$131:$Z$131,$B275)&gt;0),'Get Started'!$D$27*index($G$132:$Z$132,$B275),0)</f>
        <v>0</v>
      </c>
      <c r="Z275" s="74">
        <f t="array" ref="Z275">if(and(Z$4-$B275+1=1,index($G$131:$Z$131,$B275)&gt;0),'Get Started'!$D$27*index($G$132:$Z$132,$B275),0)</f>
        <v>0</v>
      </c>
    </row>
    <row r="276" hidden="1" outlineLevel="1">
      <c r="B276" s="93">
        <f t="shared" si="159"/>
        <v>13</v>
      </c>
      <c r="C276" s="40"/>
      <c r="D276" s="16" t="s">
        <v>161</v>
      </c>
      <c r="E276" s="74">
        <f t="shared" si="108"/>
        <v>0</v>
      </c>
      <c r="F276" s="74"/>
      <c r="G276" s="74">
        <f t="array" ref="G276">if(and(G$4-$B276+1=1,index($G$131:$Z$131,$B276)&gt;0),'Get Started'!$D$27*index($G$132:$Z$132,$B276),0)</f>
        <v>0</v>
      </c>
      <c r="H276" s="74">
        <f t="array" ref="H276">if(and(H$4-$B276+1=1,index($G$131:$Z$131,$B276)&gt;0),'Get Started'!$D$27*index($G$132:$Z$132,$B276),0)</f>
        <v>0</v>
      </c>
      <c r="I276" s="74">
        <f t="array" ref="I276">if(and(I$4-$B276+1=1,index($G$131:$Z$131,$B276)&gt;0),'Get Started'!$D$27*index($G$132:$Z$132,$B276),0)</f>
        <v>0</v>
      </c>
      <c r="J276" s="74">
        <f t="array" ref="J276">if(and(J$4-$B276+1=1,index($G$131:$Z$131,$B276)&gt;0),'Get Started'!$D$27*index($G$132:$Z$132,$B276),0)</f>
        <v>0</v>
      </c>
      <c r="K276" s="74">
        <f t="array" ref="K276">if(and(K$4-$B276+1=1,index($G$131:$Z$131,$B276)&gt;0),'Get Started'!$D$27*index($G$132:$Z$132,$B276),0)</f>
        <v>0</v>
      </c>
      <c r="L276" s="74">
        <f t="array" ref="L276">if(and(L$4-$B276+1=1,index($G$131:$Z$131,$B276)&gt;0),'Get Started'!$D$27*index($G$132:$Z$132,$B276),0)</f>
        <v>0</v>
      </c>
      <c r="M276" s="74">
        <f t="array" ref="M276">if(and(M$4-$B276+1=1,index($G$131:$Z$131,$B276)&gt;0),'Get Started'!$D$27*index($G$132:$Z$132,$B276),0)</f>
        <v>0</v>
      </c>
      <c r="N276" s="74">
        <f t="array" ref="N276">if(and(N$4-$B276+1=1,index($G$131:$Z$131,$B276)&gt;0),'Get Started'!$D$27*index($G$132:$Z$132,$B276),0)</f>
        <v>0</v>
      </c>
      <c r="O276" s="74">
        <f t="array" ref="O276">if(and(O$4-$B276+1=1,index($G$131:$Z$131,$B276)&gt;0),'Get Started'!$D$27*index($G$132:$Z$132,$B276),0)</f>
        <v>0</v>
      </c>
      <c r="P276" s="74">
        <f t="array" ref="P276">if(and(P$4-$B276+1=1,index($G$131:$Z$131,$B276)&gt;0),'Get Started'!$D$27*index($G$132:$Z$132,$B276),0)</f>
        <v>0</v>
      </c>
      <c r="Q276" s="74">
        <f t="array" ref="Q276">if(and(Q$4-$B276+1=1,index($G$131:$Z$131,$B276)&gt;0),'Get Started'!$D$27*index($G$132:$Z$132,$B276),0)</f>
        <v>0</v>
      </c>
      <c r="R276" s="74">
        <f t="array" ref="R276">if(and(R$4-$B276+1=1,index($G$131:$Z$131,$B276)&gt;0),'Get Started'!$D$27*index($G$132:$Z$132,$B276),0)</f>
        <v>0</v>
      </c>
      <c r="S276" s="74">
        <f t="array" ref="S276">if(and(S$4-$B276+1=1,index($G$131:$Z$131,$B276)&gt;0),'Get Started'!$D$27*index($G$132:$Z$132,$B276),0)</f>
        <v>0</v>
      </c>
      <c r="T276" s="74">
        <f t="array" ref="T276">if(and(T$4-$B276+1=1,index($G$131:$Z$131,$B276)&gt;0),'Get Started'!$D$27*index($G$132:$Z$132,$B276),0)</f>
        <v>0</v>
      </c>
      <c r="U276" s="74">
        <f t="array" ref="U276">if(and(U$4-$B276+1=1,index($G$131:$Z$131,$B276)&gt;0),'Get Started'!$D$27*index($G$132:$Z$132,$B276),0)</f>
        <v>0</v>
      </c>
      <c r="V276" s="74">
        <f t="array" ref="V276">if(and(V$4-$B276+1=1,index($G$131:$Z$131,$B276)&gt;0),'Get Started'!$D$27*index($G$132:$Z$132,$B276),0)</f>
        <v>0</v>
      </c>
      <c r="W276" s="74">
        <f t="array" ref="W276">if(and(W$4-$B276+1=1,index($G$131:$Z$131,$B276)&gt;0),'Get Started'!$D$27*index($G$132:$Z$132,$B276),0)</f>
        <v>0</v>
      </c>
      <c r="X276" s="74">
        <f t="array" ref="X276">if(and(X$4-$B276+1=1,index($G$131:$Z$131,$B276)&gt;0),'Get Started'!$D$27*index($G$132:$Z$132,$B276),0)</f>
        <v>0</v>
      </c>
      <c r="Y276" s="74">
        <f t="array" ref="Y276">if(and(Y$4-$B276+1=1,index($G$131:$Z$131,$B276)&gt;0),'Get Started'!$D$27*index($G$132:$Z$132,$B276),0)</f>
        <v>0</v>
      </c>
      <c r="Z276" s="74">
        <f t="array" ref="Z276">if(and(Z$4-$B276+1=1,index($G$131:$Z$131,$B276)&gt;0),'Get Started'!$D$27*index($G$132:$Z$132,$B276),0)</f>
        <v>0</v>
      </c>
    </row>
    <row r="277" hidden="1" outlineLevel="1">
      <c r="B277" s="93">
        <f t="shared" si="159"/>
        <v>14</v>
      </c>
      <c r="C277" s="40"/>
      <c r="D277" s="16" t="s">
        <v>161</v>
      </c>
      <c r="E277" s="74">
        <f t="shared" si="108"/>
        <v>0</v>
      </c>
      <c r="F277" s="74"/>
      <c r="G277" s="74">
        <f t="array" ref="G277">if(and(G$4-$B277+1=1,index($G$131:$Z$131,$B277)&gt;0),'Get Started'!$D$27*index($G$132:$Z$132,$B277),0)</f>
        <v>0</v>
      </c>
      <c r="H277" s="74">
        <f t="array" ref="H277">if(and(H$4-$B277+1=1,index($G$131:$Z$131,$B277)&gt;0),'Get Started'!$D$27*index($G$132:$Z$132,$B277),0)</f>
        <v>0</v>
      </c>
      <c r="I277" s="74">
        <f t="array" ref="I277">if(and(I$4-$B277+1=1,index($G$131:$Z$131,$B277)&gt;0),'Get Started'!$D$27*index($G$132:$Z$132,$B277),0)</f>
        <v>0</v>
      </c>
      <c r="J277" s="74">
        <f t="array" ref="J277">if(and(J$4-$B277+1=1,index($G$131:$Z$131,$B277)&gt;0),'Get Started'!$D$27*index($G$132:$Z$132,$B277),0)</f>
        <v>0</v>
      </c>
      <c r="K277" s="74">
        <f t="array" ref="K277">if(and(K$4-$B277+1=1,index($G$131:$Z$131,$B277)&gt;0),'Get Started'!$D$27*index($G$132:$Z$132,$B277),0)</f>
        <v>0</v>
      </c>
      <c r="L277" s="74">
        <f t="array" ref="L277">if(and(L$4-$B277+1=1,index($G$131:$Z$131,$B277)&gt;0),'Get Started'!$D$27*index($G$132:$Z$132,$B277),0)</f>
        <v>0</v>
      </c>
      <c r="M277" s="74">
        <f t="array" ref="M277">if(and(M$4-$B277+1=1,index($G$131:$Z$131,$B277)&gt;0),'Get Started'!$D$27*index($G$132:$Z$132,$B277),0)</f>
        <v>0</v>
      </c>
      <c r="N277" s="74">
        <f t="array" ref="N277">if(and(N$4-$B277+1=1,index($G$131:$Z$131,$B277)&gt;0),'Get Started'!$D$27*index($G$132:$Z$132,$B277),0)</f>
        <v>0</v>
      </c>
      <c r="O277" s="74">
        <f t="array" ref="O277">if(and(O$4-$B277+1=1,index($G$131:$Z$131,$B277)&gt;0),'Get Started'!$D$27*index($G$132:$Z$132,$B277),0)</f>
        <v>0</v>
      </c>
      <c r="P277" s="74">
        <f t="array" ref="P277">if(and(P$4-$B277+1=1,index($G$131:$Z$131,$B277)&gt;0),'Get Started'!$D$27*index($G$132:$Z$132,$B277),0)</f>
        <v>0</v>
      </c>
      <c r="Q277" s="74">
        <f t="array" ref="Q277">if(and(Q$4-$B277+1=1,index($G$131:$Z$131,$B277)&gt;0),'Get Started'!$D$27*index($G$132:$Z$132,$B277),0)</f>
        <v>0</v>
      </c>
      <c r="R277" s="74">
        <f t="array" ref="R277">if(and(R$4-$B277+1=1,index($G$131:$Z$131,$B277)&gt;0),'Get Started'!$D$27*index($G$132:$Z$132,$B277),0)</f>
        <v>0</v>
      </c>
      <c r="S277" s="74">
        <f t="array" ref="S277">if(and(S$4-$B277+1=1,index($G$131:$Z$131,$B277)&gt;0),'Get Started'!$D$27*index($G$132:$Z$132,$B277),0)</f>
        <v>0</v>
      </c>
      <c r="T277" s="74">
        <f t="array" ref="T277">if(and(T$4-$B277+1=1,index($G$131:$Z$131,$B277)&gt;0),'Get Started'!$D$27*index($G$132:$Z$132,$B277),0)</f>
        <v>0</v>
      </c>
      <c r="U277" s="74">
        <f t="array" ref="U277">if(and(U$4-$B277+1=1,index($G$131:$Z$131,$B277)&gt;0),'Get Started'!$D$27*index($G$132:$Z$132,$B277),0)</f>
        <v>0</v>
      </c>
      <c r="V277" s="74">
        <f t="array" ref="V277">if(and(V$4-$B277+1=1,index($G$131:$Z$131,$B277)&gt;0),'Get Started'!$D$27*index($G$132:$Z$132,$B277),0)</f>
        <v>0</v>
      </c>
      <c r="W277" s="74">
        <f t="array" ref="W277">if(and(W$4-$B277+1=1,index($G$131:$Z$131,$B277)&gt;0),'Get Started'!$D$27*index($G$132:$Z$132,$B277),0)</f>
        <v>0</v>
      </c>
      <c r="X277" s="74">
        <f t="array" ref="X277">if(and(X$4-$B277+1=1,index($G$131:$Z$131,$B277)&gt;0),'Get Started'!$D$27*index($G$132:$Z$132,$B277),0)</f>
        <v>0</v>
      </c>
      <c r="Y277" s="74">
        <f t="array" ref="Y277">if(and(Y$4-$B277+1=1,index($G$131:$Z$131,$B277)&gt;0),'Get Started'!$D$27*index($G$132:$Z$132,$B277),0)</f>
        <v>0</v>
      </c>
      <c r="Z277" s="74">
        <f t="array" ref="Z277">if(and(Z$4-$B277+1=1,index($G$131:$Z$131,$B277)&gt;0),'Get Started'!$D$27*index($G$132:$Z$132,$B277),0)</f>
        <v>0</v>
      </c>
    </row>
    <row r="278" hidden="1" outlineLevel="1">
      <c r="B278" s="93">
        <f t="shared" si="159"/>
        <v>15</v>
      </c>
      <c r="C278" s="40"/>
      <c r="D278" s="16" t="s">
        <v>161</v>
      </c>
      <c r="E278" s="74">
        <f t="shared" si="108"/>
        <v>0</v>
      </c>
      <c r="F278" s="74"/>
      <c r="G278" s="74">
        <f t="array" ref="G278">if(and(G$4-$B278+1=1,index($G$131:$Z$131,$B278)&gt;0),'Get Started'!$D$27*index($G$132:$Z$132,$B278),0)</f>
        <v>0</v>
      </c>
      <c r="H278" s="74">
        <f t="array" ref="H278">if(and(H$4-$B278+1=1,index($G$131:$Z$131,$B278)&gt;0),'Get Started'!$D$27*index($G$132:$Z$132,$B278),0)</f>
        <v>0</v>
      </c>
      <c r="I278" s="74">
        <f t="array" ref="I278">if(and(I$4-$B278+1=1,index($G$131:$Z$131,$B278)&gt;0),'Get Started'!$D$27*index($G$132:$Z$132,$B278),0)</f>
        <v>0</v>
      </c>
      <c r="J278" s="74">
        <f t="array" ref="J278">if(and(J$4-$B278+1=1,index($G$131:$Z$131,$B278)&gt;0),'Get Started'!$D$27*index($G$132:$Z$132,$B278),0)</f>
        <v>0</v>
      </c>
      <c r="K278" s="74">
        <f t="array" ref="K278">if(and(K$4-$B278+1=1,index($G$131:$Z$131,$B278)&gt;0),'Get Started'!$D$27*index($G$132:$Z$132,$B278),0)</f>
        <v>0</v>
      </c>
      <c r="L278" s="74">
        <f t="array" ref="L278">if(and(L$4-$B278+1=1,index($G$131:$Z$131,$B278)&gt;0),'Get Started'!$D$27*index($G$132:$Z$132,$B278),0)</f>
        <v>0</v>
      </c>
      <c r="M278" s="74">
        <f t="array" ref="M278">if(and(M$4-$B278+1=1,index($G$131:$Z$131,$B278)&gt;0),'Get Started'!$D$27*index($G$132:$Z$132,$B278),0)</f>
        <v>0</v>
      </c>
      <c r="N278" s="74">
        <f t="array" ref="N278">if(and(N$4-$B278+1=1,index($G$131:$Z$131,$B278)&gt;0),'Get Started'!$D$27*index($G$132:$Z$132,$B278),0)</f>
        <v>0</v>
      </c>
      <c r="O278" s="74">
        <f t="array" ref="O278">if(and(O$4-$B278+1=1,index($G$131:$Z$131,$B278)&gt;0),'Get Started'!$D$27*index($G$132:$Z$132,$B278),0)</f>
        <v>0</v>
      </c>
      <c r="P278" s="74">
        <f t="array" ref="P278">if(and(P$4-$B278+1=1,index($G$131:$Z$131,$B278)&gt;0),'Get Started'!$D$27*index($G$132:$Z$132,$B278),0)</f>
        <v>0</v>
      </c>
      <c r="Q278" s="74">
        <f t="array" ref="Q278">if(and(Q$4-$B278+1=1,index($G$131:$Z$131,$B278)&gt;0),'Get Started'!$D$27*index($G$132:$Z$132,$B278),0)</f>
        <v>0</v>
      </c>
      <c r="R278" s="74">
        <f t="array" ref="R278">if(and(R$4-$B278+1=1,index($G$131:$Z$131,$B278)&gt;0),'Get Started'!$D$27*index($G$132:$Z$132,$B278),0)</f>
        <v>0</v>
      </c>
      <c r="S278" s="74">
        <f t="array" ref="S278">if(and(S$4-$B278+1=1,index($G$131:$Z$131,$B278)&gt;0),'Get Started'!$D$27*index($G$132:$Z$132,$B278),0)</f>
        <v>0</v>
      </c>
      <c r="T278" s="74">
        <f t="array" ref="T278">if(and(T$4-$B278+1=1,index($G$131:$Z$131,$B278)&gt;0),'Get Started'!$D$27*index($G$132:$Z$132,$B278),0)</f>
        <v>0</v>
      </c>
      <c r="U278" s="74">
        <f t="array" ref="U278">if(and(U$4-$B278+1=1,index($G$131:$Z$131,$B278)&gt;0),'Get Started'!$D$27*index($G$132:$Z$132,$B278),0)</f>
        <v>0</v>
      </c>
      <c r="V278" s="74">
        <f t="array" ref="V278">if(and(V$4-$B278+1=1,index($G$131:$Z$131,$B278)&gt;0),'Get Started'!$D$27*index($G$132:$Z$132,$B278),0)</f>
        <v>0</v>
      </c>
      <c r="W278" s="74">
        <f t="array" ref="W278">if(and(W$4-$B278+1=1,index($G$131:$Z$131,$B278)&gt;0),'Get Started'!$D$27*index($G$132:$Z$132,$B278),0)</f>
        <v>0</v>
      </c>
      <c r="X278" s="74">
        <f t="array" ref="X278">if(and(X$4-$B278+1=1,index($G$131:$Z$131,$B278)&gt;0),'Get Started'!$D$27*index($G$132:$Z$132,$B278),0)</f>
        <v>0</v>
      </c>
      <c r="Y278" s="74">
        <f t="array" ref="Y278">if(and(Y$4-$B278+1=1,index($G$131:$Z$131,$B278)&gt;0),'Get Started'!$D$27*index($G$132:$Z$132,$B278),0)</f>
        <v>0</v>
      </c>
      <c r="Z278" s="74">
        <f t="array" ref="Z278">if(and(Z$4-$B278+1=1,index($G$131:$Z$131,$B278)&gt;0),'Get Started'!$D$27*index($G$132:$Z$132,$B278),0)</f>
        <v>0</v>
      </c>
    </row>
    <row r="279" hidden="1" outlineLevel="1">
      <c r="B279" s="93">
        <f t="shared" si="159"/>
        <v>16</v>
      </c>
      <c r="C279" s="40"/>
      <c r="D279" s="16" t="s">
        <v>161</v>
      </c>
      <c r="E279" s="74">
        <f t="shared" si="108"/>
        <v>0</v>
      </c>
      <c r="F279" s="74"/>
      <c r="G279" s="74">
        <f t="array" ref="G279">if(and(G$4-$B279+1=1,index($G$131:$Z$131,$B279)&gt;0),'Get Started'!$D$27*index($G$132:$Z$132,$B279),0)</f>
        <v>0</v>
      </c>
      <c r="H279" s="74">
        <f t="array" ref="H279">if(and(H$4-$B279+1=1,index($G$131:$Z$131,$B279)&gt;0),'Get Started'!$D$27*index($G$132:$Z$132,$B279),0)</f>
        <v>0</v>
      </c>
      <c r="I279" s="74">
        <f t="array" ref="I279">if(and(I$4-$B279+1=1,index($G$131:$Z$131,$B279)&gt;0),'Get Started'!$D$27*index($G$132:$Z$132,$B279),0)</f>
        <v>0</v>
      </c>
      <c r="J279" s="74">
        <f t="array" ref="J279">if(and(J$4-$B279+1=1,index($G$131:$Z$131,$B279)&gt;0),'Get Started'!$D$27*index($G$132:$Z$132,$B279),0)</f>
        <v>0</v>
      </c>
      <c r="K279" s="74">
        <f t="array" ref="K279">if(and(K$4-$B279+1=1,index($G$131:$Z$131,$B279)&gt;0),'Get Started'!$D$27*index($G$132:$Z$132,$B279),0)</f>
        <v>0</v>
      </c>
      <c r="L279" s="74">
        <f t="array" ref="L279">if(and(L$4-$B279+1=1,index($G$131:$Z$131,$B279)&gt;0),'Get Started'!$D$27*index($G$132:$Z$132,$B279),0)</f>
        <v>0</v>
      </c>
      <c r="M279" s="74">
        <f t="array" ref="M279">if(and(M$4-$B279+1=1,index($G$131:$Z$131,$B279)&gt;0),'Get Started'!$D$27*index($G$132:$Z$132,$B279),0)</f>
        <v>0</v>
      </c>
      <c r="N279" s="74">
        <f t="array" ref="N279">if(and(N$4-$B279+1=1,index($G$131:$Z$131,$B279)&gt;0),'Get Started'!$D$27*index($G$132:$Z$132,$B279),0)</f>
        <v>0</v>
      </c>
      <c r="O279" s="74">
        <f t="array" ref="O279">if(and(O$4-$B279+1=1,index($G$131:$Z$131,$B279)&gt;0),'Get Started'!$D$27*index($G$132:$Z$132,$B279),0)</f>
        <v>0</v>
      </c>
      <c r="P279" s="74">
        <f t="array" ref="P279">if(and(P$4-$B279+1=1,index($G$131:$Z$131,$B279)&gt;0),'Get Started'!$D$27*index($G$132:$Z$132,$B279),0)</f>
        <v>0</v>
      </c>
      <c r="Q279" s="74">
        <f t="array" ref="Q279">if(and(Q$4-$B279+1=1,index($G$131:$Z$131,$B279)&gt;0),'Get Started'!$D$27*index($G$132:$Z$132,$B279),0)</f>
        <v>0</v>
      </c>
      <c r="R279" s="74">
        <f t="array" ref="R279">if(and(R$4-$B279+1=1,index($G$131:$Z$131,$B279)&gt;0),'Get Started'!$D$27*index($G$132:$Z$132,$B279),0)</f>
        <v>0</v>
      </c>
      <c r="S279" s="74">
        <f t="array" ref="S279">if(and(S$4-$B279+1=1,index($G$131:$Z$131,$B279)&gt;0),'Get Started'!$D$27*index($G$132:$Z$132,$B279),0)</f>
        <v>0</v>
      </c>
      <c r="T279" s="74">
        <f t="array" ref="T279">if(and(T$4-$B279+1=1,index($G$131:$Z$131,$B279)&gt;0),'Get Started'!$D$27*index($G$132:$Z$132,$B279),0)</f>
        <v>0</v>
      </c>
      <c r="U279" s="74">
        <f t="array" ref="U279">if(and(U$4-$B279+1=1,index($G$131:$Z$131,$B279)&gt;0),'Get Started'!$D$27*index($G$132:$Z$132,$B279),0)</f>
        <v>0</v>
      </c>
      <c r="V279" s="74">
        <f t="array" ref="V279">if(and(V$4-$B279+1=1,index($G$131:$Z$131,$B279)&gt;0),'Get Started'!$D$27*index($G$132:$Z$132,$B279),0)</f>
        <v>0</v>
      </c>
      <c r="W279" s="74">
        <f t="array" ref="W279">if(and(W$4-$B279+1=1,index($G$131:$Z$131,$B279)&gt;0),'Get Started'!$D$27*index($G$132:$Z$132,$B279),0)</f>
        <v>0</v>
      </c>
      <c r="X279" s="74">
        <f t="array" ref="X279">if(and(X$4-$B279+1=1,index($G$131:$Z$131,$B279)&gt;0),'Get Started'!$D$27*index($G$132:$Z$132,$B279),0)</f>
        <v>0</v>
      </c>
      <c r="Y279" s="74">
        <f t="array" ref="Y279">if(and(Y$4-$B279+1=1,index($G$131:$Z$131,$B279)&gt;0),'Get Started'!$D$27*index($G$132:$Z$132,$B279),0)</f>
        <v>0</v>
      </c>
      <c r="Z279" s="74">
        <f t="array" ref="Z279">if(and(Z$4-$B279+1=1,index($G$131:$Z$131,$B279)&gt;0),'Get Started'!$D$27*index($G$132:$Z$132,$B279),0)</f>
        <v>0</v>
      </c>
    </row>
    <row r="280" hidden="1" outlineLevel="1">
      <c r="B280" s="93">
        <f t="shared" si="159"/>
        <v>17</v>
      </c>
      <c r="C280" s="40"/>
      <c r="D280" s="16" t="s">
        <v>161</v>
      </c>
      <c r="E280" s="74">
        <f t="shared" si="108"/>
        <v>0</v>
      </c>
      <c r="F280" s="74"/>
      <c r="G280" s="74">
        <f t="array" ref="G280">if(and(G$4-$B280+1=1,index($G$131:$Z$131,$B280)&gt;0),'Get Started'!$D$27*index($G$132:$Z$132,$B280),0)</f>
        <v>0</v>
      </c>
      <c r="H280" s="74">
        <f t="array" ref="H280">if(and(H$4-$B280+1=1,index($G$131:$Z$131,$B280)&gt;0),'Get Started'!$D$27*index($G$132:$Z$132,$B280),0)</f>
        <v>0</v>
      </c>
      <c r="I280" s="74">
        <f t="array" ref="I280">if(and(I$4-$B280+1=1,index($G$131:$Z$131,$B280)&gt;0),'Get Started'!$D$27*index($G$132:$Z$132,$B280),0)</f>
        <v>0</v>
      </c>
      <c r="J280" s="74">
        <f t="array" ref="J280">if(and(J$4-$B280+1=1,index($G$131:$Z$131,$B280)&gt;0),'Get Started'!$D$27*index($G$132:$Z$132,$B280),0)</f>
        <v>0</v>
      </c>
      <c r="K280" s="74">
        <f t="array" ref="K280">if(and(K$4-$B280+1=1,index($G$131:$Z$131,$B280)&gt;0),'Get Started'!$D$27*index($G$132:$Z$132,$B280),0)</f>
        <v>0</v>
      </c>
      <c r="L280" s="74">
        <f t="array" ref="L280">if(and(L$4-$B280+1=1,index($G$131:$Z$131,$B280)&gt;0),'Get Started'!$D$27*index($G$132:$Z$132,$B280),0)</f>
        <v>0</v>
      </c>
      <c r="M280" s="74">
        <f t="array" ref="M280">if(and(M$4-$B280+1=1,index($G$131:$Z$131,$B280)&gt;0),'Get Started'!$D$27*index($G$132:$Z$132,$B280),0)</f>
        <v>0</v>
      </c>
      <c r="N280" s="74">
        <f t="array" ref="N280">if(and(N$4-$B280+1=1,index($G$131:$Z$131,$B280)&gt;0),'Get Started'!$D$27*index($G$132:$Z$132,$B280),0)</f>
        <v>0</v>
      </c>
      <c r="O280" s="74">
        <f t="array" ref="O280">if(and(O$4-$B280+1=1,index($G$131:$Z$131,$B280)&gt;0),'Get Started'!$D$27*index($G$132:$Z$132,$B280),0)</f>
        <v>0</v>
      </c>
      <c r="P280" s="74">
        <f t="array" ref="P280">if(and(P$4-$B280+1=1,index($G$131:$Z$131,$B280)&gt;0),'Get Started'!$D$27*index($G$132:$Z$132,$B280),0)</f>
        <v>0</v>
      </c>
      <c r="Q280" s="74">
        <f t="array" ref="Q280">if(and(Q$4-$B280+1=1,index($G$131:$Z$131,$B280)&gt;0),'Get Started'!$D$27*index($G$132:$Z$132,$B280),0)</f>
        <v>0</v>
      </c>
      <c r="R280" s="74">
        <f t="array" ref="R280">if(and(R$4-$B280+1=1,index($G$131:$Z$131,$B280)&gt;0),'Get Started'!$D$27*index($G$132:$Z$132,$B280),0)</f>
        <v>0</v>
      </c>
      <c r="S280" s="74">
        <f t="array" ref="S280">if(and(S$4-$B280+1=1,index($G$131:$Z$131,$B280)&gt;0),'Get Started'!$D$27*index($G$132:$Z$132,$B280),0)</f>
        <v>0</v>
      </c>
      <c r="T280" s="74">
        <f t="array" ref="T280">if(and(T$4-$B280+1=1,index($G$131:$Z$131,$B280)&gt;0),'Get Started'!$D$27*index($G$132:$Z$132,$B280),0)</f>
        <v>0</v>
      </c>
      <c r="U280" s="74">
        <f t="array" ref="U280">if(and(U$4-$B280+1=1,index($G$131:$Z$131,$B280)&gt;0),'Get Started'!$D$27*index($G$132:$Z$132,$B280),0)</f>
        <v>0</v>
      </c>
      <c r="V280" s="74">
        <f t="array" ref="V280">if(and(V$4-$B280+1=1,index($G$131:$Z$131,$B280)&gt;0),'Get Started'!$D$27*index($G$132:$Z$132,$B280),0)</f>
        <v>0</v>
      </c>
      <c r="W280" s="74">
        <f t="array" ref="W280">if(and(W$4-$B280+1=1,index($G$131:$Z$131,$B280)&gt;0),'Get Started'!$D$27*index($G$132:$Z$132,$B280),0)</f>
        <v>0</v>
      </c>
      <c r="X280" s="74">
        <f t="array" ref="X280">if(and(X$4-$B280+1=1,index($G$131:$Z$131,$B280)&gt;0),'Get Started'!$D$27*index($G$132:$Z$132,$B280),0)</f>
        <v>0</v>
      </c>
      <c r="Y280" s="74">
        <f t="array" ref="Y280">if(and(Y$4-$B280+1=1,index($G$131:$Z$131,$B280)&gt;0),'Get Started'!$D$27*index($G$132:$Z$132,$B280),0)</f>
        <v>0</v>
      </c>
      <c r="Z280" s="74">
        <f t="array" ref="Z280">if(and(Z$4-$B280+1=1,index($G$131:$Z$131,$B280)&gt;0),'Get Started'!$D$27*index($G$132:$Z$132,$B280),0)</f>
        <v>0</v>
      </c>
    </row>
    <row r="281" hidden="1" outlineLevel="1">
      <c r="B281" s="93">
        <f t="shared" si="159"/>
        <v>18</v>
      </c>
      <c r="C281" s="40"/>
      <c r="D281" s="16" t="s">
        <v>161</v>
      </c>
      <c r="E281" s="74">
        <f t="shared" si="108"/>
        <v>0</v>
      </c>
      <c r="F281" s="74"/>
      <c r="G281" s="74">
        <f t="array" ref="G281">if(and(G$4-$B281+1=1,index($G$131:$Z$131,$B281)&gt;0),'Get Started'!$D$27*index($G$132:$Z$132,$B281),0)</f>
        <v>0</v>
      </c>
      <c r="H281" s="74">
        <f t="array" ref="H281">if(and(H$4-$B281+1=1,index($G$131:$Z$131,$B281)&gt;0),'Get Started'!$D$27*index($G$132:$Z$132,$B281),0)</f>
        <v>0</v>
      </c>
      <c r="I281" s="74">
        <f t="array" ref="I281">if(and(I$4-$B281+1=1,index($G$131:$Z$131,$B281)&gt;0),'Get Started'!$D$27*index($G$132:$Z$132,$B281),0)</f>
        <v>0</v>
      </c>
      <c r="J281" s="74">
        <f t="array" ref="J281">if(and(J$4-$B281+1=1,index($G$131:$Z$131,$B281)&gt;0),'Get Started'!$D$27*index($G$132:$Z$132,$B281),0)</f>
        <v>0</v>
      </c>
      <c r="K281" s="74">
        <f t="array" ref="K281">if(and(K$4-$B281+1=1,index($G$131:$Z$131,$B281)&gt;0),'Get Started'!$D$27*index($G$132:$Z$132,$B281),0)</f>
        <v>0</v>
      </c>
      <c r="L281" s="74">
        <f t="array" ref="L281">if(and(L$4-$B281+1=1,index($G$131:$Z$131,$B281)&gt;0),'Get Started'!$D$27*index($G$132:$Z$132,$B281),0)</f>
        <v>0</v>
      </c>
      <c r="M281" s="74">
        <f t="array" ref="M281">if(and(M$4-$B281+1=1,index($G$131:$Z$131,$B281)&gt;0),'Get Started'!$D$27*index($G$132:$Z$132,$B281),0)</f>
        <v>0</v>
      </c>
      <c r="N281" s="74">
        <f t="array" ref="N281">if(and(N$4-$B281+1=1,index($G$131:$Z$131,$B281)&gt;0),'Get Started'!$D$27*index($G$132:$Z$132,$B281),0)</f>
        <v>0</v>
      </c>
      <c r="O281" s="74">
        <f t="array" ref="O281">if(and(O$4-$B281+1=1,index($G$131:$Z$131,$B281)&gt;0),'Get Started'!$D$27*index($G$132:$Z$132,$B281),0)</f>
        <v>0</v>
      </c>
      <c r="P281" s="74">
        <f t="array" ref="P281">if(and(P$4-$B281+1=1,index($G$131:$Z$131,$B281)&gt;0),'Get Started'!$D$27*index($G$132:$Z$132,$B281),0)</f>
        <v>0</v>
      </c>
      <c r="Q281" s="74">
        <f t="array" ref="Q281">if(and(Q$4-$B281+1=1,index($G$131:$Z$131,$B281)&gt;0),'Get Started'!$D$27*index($G$132:$Z$132,$B281),0)</f>
        <v>0</v>
      </c>
      <c r="R281" s="74">
        <f t="array" ref="R281">if(and(R$4-$B281+1=1,index($G$131:$Z$131,$B281)&gt;0),'Get Started'!$D$27*index($G$132:$Z$132,$B281),0)</f>
        <v>0</v>
      </c>
      <c r="S281" s="74">
        <f t="array" ref="S281">if(and(S$4-$B281+1=1,index($G$131:$Z$131,$B281)&gt;0),'Get Started'!$D$27*index($G$132:$Z$132,$B281),0)</f>
        <v>0</v>
      </c>
      <c r="T281" s="74">
        <f t="array" ref="T281">if(and(T$4-$B281+1=1,index($G$131:$Z$131,$B281)&gt;0),'Get Started'!$D$27*index($G$132:$Z$132,$B281),0)</f>
        <v>0</v>
      </c>
      <c r="U281" s="74">
        <f t="array" ref="U281">if(and(U$4-$B281+1=1,index($G$131:$Z$131,$B281)&gt;0),'Get Started'!$D$27*index($G$132:$Z$132,$B281),0)</f>
        <v>0</v>
      </c>
      <c r="V281" s="74">
        <f t="array" ref="V281">if(and(V$4-$B281+1=1,index($G$131:$Z$131,$B281)&gt;0),'Get Started'!$D$27*index($G$132:$Z$132,$B281),0)</f>
        <v>0</v>
      </c>
      <c r="W281" s="74">
        <f t="array" ref="W281">if(and(W$4-$B281+1=1,index($G$131:$Z$131,$B281)&gt;0),'Get Started'!$D$27*index($G$132:$Z$132,$B281),0)</f>
        <v>0</v>
      </c>
      <c r="X281" s="74">
        <f t="array" ref="X281">if(and(X$4-$B281+1=1,index($G$131:$Z$131,$B281)&gt;0),'Get Started'!$D$27*index($G$132:$Z$132,$B281),0)</f>
        <v>0</v>
      </c>
      <c r="Y281" s="74">
        <f t="array" ref="Y281">if(and(Y$4-$B281+1=1,index($G$131:$Z$131,$B281)&gt;0),'Get Started'!$D$27*index($G$132:$Z$132,$B281),0)</f>
        <v>0</v>
      </c>
      <c r="Z281" s="74">
        <f t="array" ref="Z281">if(and(Z$4-$B281+1=1,index($G$131:$Z$131,$B281)&gt;0),'Get Started'!$D$27*index($G$132:$Z$132,$B281),0)</f>
        <v>0</v>
      </c>
    </row>
    <row r="282" hidden="1" outlineLevel="1">
      <c r="B282" s="93">
        <f t="shared" si="159"/>
        <v>19</v>
      </c>
      <c r="C282" s="40"/>
      <c r="D282" s="16" t="s">
        <v>161</v>
      </c>
      <c r="E282" s="74">
        <f t="shared" si="108"/>
        <v>0</v>
      </c>
      <c r="F282" s="74"/>
      <c r="G282" s="74">
        <f t="array" ref="G282">if(and(G$4-$B282+1=1,index($G$131:$Z$131,$B282)&gt;0),'Get Started'!$D$27*index($G$132:$Z$132,$B282),0)</f>
        <v>0</v>
      </c>
      <c r="H282" s="74">
        <f t="array" ref="H282">if(and(H$4-$B282+1=1,index($G$131:$Z$131,$B282)&gt;0),'Get Started'!$D$27*index($G$132:$Z$132,$B282),0)</f>
        <v>0</v>
      </c>
      <c r="I282" s="74">
        <f t="array" ref="I282">if(and(I$4-$B282+1=1,index($G$131:$Z$131,$B282)&gt;0),'Get Started'!$D$27*index($G$132:$Z$132,$B282),0)</f>
        <v>0</v>
      </c>
      <c r="J282" s="74">
        <f t="array" ref="J282">if(and(J$4-$B282+1=1,index($G$131:$Z$131,$B282)&gt;0),'Get Started'!$D$27*index($G$132:$Z$132,$B282),0)</f>
        <v>0</v>
      </c>
      <c r="K282" s="74">
        <f t="array" ref="K282">if(and(K$4-$B282+1=1,index($G$131:$Z$131,$B282)&gt;0),'Get Started'!$D$27*index($G$132:$Z$132,$B282),0)</f>
        <v>0</v>
      </c>
      <c r="L282" s="74">
        <f t="array" ref="L282">if(and(L$4-$B282+1=1,index($G$131:$Z$131,$B282)&gt;0),'Get Started'!$D$27*index($G$132:$Z$132,$B282),0)</f>
        <v>0</v>
      </c>
      <c r="M282" s="74">
        <f t="array" ref="M282">if(and(M$4-$B282+1=1,index($G$131:$Z$131,$B282)&gt;0),'Get Started'!$D$27*index($G$132:$Z$132,$B282),0)</f>
        <v>0</v>
      </c>
      <c r="N282" s="74">
        <f t="array" ref="N282">if(and(N$4-$B282+1=1,index($G$131:$Z$131,$B282)&gt;0),'Get Started'!$D$27*index($G$132:$Z$132,$B282),0)</f>
        <v>0</v>
      </c>
      <c r="O282" s="74">
        <f t="array" ref="O282">if(and(O$4-$B282+1=1,index($G$131:$Z$131,$B282)&gt;0),'Get Started'!$D$27*index($G$132:$Z$132,$B282),0)</f>
        <v>0</v>
      </c>
      <c r="P282" s="74">
        <f t="array" ref="P282">if(and(P$4-$B282+1=1,index($G$131:$Z$131,$B282)&gt;0),'Get Started'!$D$27*index($G$132:$Z$132,$B282),0)</f>
        <v>0</v>
      </c>
      <c r="Q282" s="74">
        <f t="array" ref="Q282">if(and(Q$4-$B282+1=1,index($G$131:$Z$131,$B282)&gt;0),'Get Started'!$D$27*index($G$132:$Z$132,$B282),0)</f>
        <v>0</v>
      </c>
      <c r="R282" s="74">
        <f t="array" ref="R282">if(and(R$4-$B282+1=1,index($G$131:$Z$131,$B282)&gt;0),'Get Started'!$D$27*index($G$132:$Z$132,$B282),0)</f>
        <v>0</v>
      </c>
      <c r="S282" s="74">
        <f t="array" ref="S282">if(and(S$4-$B282+1=1,index($G$131:$Z$131,$B282)&gt;0),'Get Started'!$D$27*index($G$132:$Z$132,$B282),0)</f>
        <v>0</v>
      </c>
      <c r="T282" s="74">
        <f t="array" ref="T282">if(and(T$4-$B282+1=1,index($G$131:$Z$131,$B282)&gt;0),'Get Started'!$D$27*index($G$132:$Z$132,$B282),0)</f>
        <v>0</v>
      </c>
      <c r="U282" s="74">
        <f t="array" ref="U282">if(and(U$4-$B282+1=1,index($G$131:$Z$131,$B282)&gt;0),'Get Started'!$D$27*index($G$132:$Z$132,$B282),0)</f>
        <v>0</v>
      </c>
      <c r="V282" s="74">
        <f t="array" ref="V282">if(and(V$4-$B282+1=1,index($G$131:$Z$131,$B282)&gt;0),'Get Started'!$D$27*index($G$132:$Z$132,$B282),0)</f>
        <v>0</v>
      </c>
      <c r="W282" s="74">
        <f t="array" ref="W282">if(and(W$4-$B282+1=1,index($G$131:$Z$131,$B282)&gt;0),'Get Started'!$D$27*index($G$132:$Z$132,$B282),0)</f>
        <v>0</v>
      </c>
      <c r="X282" s="74">
        <f t="array" ref="X282">if(and(X$4-$B282+1=1,index($G$131:$Z$131,$B282)&gt;0),'Get Started'!$D$27*index($G$132:$Z$132,$B282),0)</f>
        <v>0</v>
      </c>
      <c r="Y282" s="74">
        <f t="array" ref="Y282">if(and(Y$4-$B282+1=1,index($G$131:$Z$131,$B282)&gt;0),'Get Started'!$D$27*index($G$132:$Z$132,$B282),0)</f>
        <v>0</v>
      </c>
      <c r="Z282" s="74">
        <f t="array" ref="Z282">if(and(Z$4-$B282+1=1,index($G$131:$Z$131,$B282)&gt;0),'Get Started'!$D$27*index($G$132:$Z$132,$B282),0)</f>
        <v>0</v>
      </c>
    </row>
    <row r="283" hidden="1" outlineLevel="1">
      <c r="B283" s="93">
        <f t="shared" si="159"/>
        <v>20</v>
      </c>
      <c r="C283" s="40"/>
      <c r="D283" s="16" t="s">
        <v>161</v>
      </c>
      <c r="E283" s="74">
        <f t="shared" si="108"/>
        <v>0</v>
      </c>
      <c r="F283" s="74"/>
      <c r="G283" s="74">
        <f t="array" ref="G283">if(and(G$4-$B283+1=1,index($G$131:$Z$131,$B283)&gt;0),'Get Started'!$D$27*index($G$132:$Z$132,$B283),0)</f>
        <v>0</v>
      </c>
      <c r="H283" s="74">
        <f t="array" ref="H283">if(and(H$4-$B283+1=1,index($G$131:$Z$131,$B283)&gt;0),'Get Started'!$D$27*index($G$132:$Z$132,$B283),0)</f>
        <v>0</v>
      </c>
      <c r="I283" s="74">
        <f t="array" ref="I283">if(and(I$4-$B283+1=1,index($G$131:$Z$131,$B283)&gt;0),'Get Started'!$D$27*index($G$132:$Z$132,$B283),0)</f>
        <v>0</v>
      </c>
      <c r="J283" s="74">
        <f t="array" ref="J283">if(and(J$4-$B283+1=1,index($G$131:$Z$131,$B283)&gt;0),'Get Started'!$D$27*index($G$132:$Z$132,$B283),0)</f>
        <v>0</v>
      </c>
      <c r="K283" s="74">
        <f t="array" ref="K283">if(and(K$4-$B283+1=1,index($G$131:$Z$131,$B283)&gt;0),'Get Started'!$D$27*index($G$132:$Z$132,$B283),0)</f>
        <v>0</v>
      </c>
      <c r="L283" s="74">
        <f t="array" ref="L283">if(and(L$4-$B283+1=1,index($G$131:$Z$131,$B283)&gt;0),'Get Started'!$D$27*index($G$132:$Z$132,$B283),0)</f>
        <v>0</v>
      </c>
      <c r="M283" s="74">
        <f t="array" ref="M283">if(and(M$4-$B283+1=1,index($G$131:$Z$131,$B283)&gt;0),'Get Started'!$D$27*index($G$132:$Z$132,$B283),0)</f>
        <v>0</v>
      </c>
      <c r="N283" s="74">
        <f t="array" ref="N283">if(and(N$4-$B283+1=1,index($G$131:$Z$131,$B283)&gt;0),'Get Started'!$D$27*index($G$132:$Z$132,$B283),0)</f>
        <v>0</v>
      </c>
      <c r="O283" s="74">
        <f t="array" ref="O283">if(and(O$4-$B283+1=1,index($G$131:$Z$131,$B283)&gt;0),'Get Started'!$D$27*index($G$132:$Z$132,$B283),0)</f>
        <v>0</v>
      </c>
      <c r="P283" s="74">
        <f t="array" ref="P283">if(and(P$4-$B283+1=1,index($G$131:$Z$131,$B283)&gt;0),'Get Started'!$D$27*index($G$132:$Z$132,$B283),0)</f>
        <v>0</v>
      </c>
      <c r="Q283" s="74">
        <f t="array" ref="Q283">if(and(Q$4-$B283+1=1,index($G$131:$Z$131,$B283)&gt;0),'Get Started'!$D$27*index($G$132:$Z$132,$B283),0)</f>
        <v>0</v>
      </c>
      <c r="R283" s="74">
        <f t="array" ref="R283">if(and(R$4-$B283+1=1,index($G$131:$Z$131,$B283)&gt;0),'Get Started'!$D$27*index($G$132:$Z$132,$B283),0)</f>
        <v>0</v>
      </c>
      <c r="S283" s="74">
        <f t="array" ref="S283">if(and(S$4-$B283+1=1,index($G$131:$Z$131,$B283)&gt;0),'Get Started'!$D$27*index($G$132:$Z$132,$B283),0)</f>
        <v>0</v>
      </c>
      <c r="T283" s="74">
        <f t="array" ref="T283">if(and(T$4-$B283+1=1,index($G$131:$Z$131,$B283)&gt;0),'Get Started'!$D$27*index($G$132:$Z$132,$B283),0)</f>
        <v>0</v>
      </c>
      <c r="U283" s="74">
        <f t="array" ref="U283">if(and(U$4-$B283+1=1,index($G$131:$Z$131,$B283)&gt;0),'Get Started'!$D$27*index($G$132:$Z$132,$B283),0)</f>
        <v>0</v>
      </c>
      <c r="V283" s="74">
        <f t="array" ref="V283">if(and(V$4-$B283+1=1,index($G$131:$Z$131,$B283)&gt;0),'Get Started'!$D$27*index($G$132:$Z$132,$B283),0)</f>
        <v>0</v>
      </c>
      <c r="W283" s="74">
        <f t="array" ref="W283">if(and(W$4-$B283+1=1,index($G$131:$Z$131,$B283)&gt;0),'Get Started'!$D$27*index($G$132:$Z$132,$B283),0)</f>
        <v>0</v>
      </c>
      <c r="X283" s="74">
        <f t="array" ref="X283">if(and(X$4-$B283+1=1,index($G$131:$Z$131,$B283)&gt;0),'Get Started'!$D$27*index($G$132:$Z$132,$B283),0)</f>
        <v>0</v>
      </c>
      <c r="Y283" s="74">
        <f t="array" ref="Y283">if(and(Y$4-$B283+1=1,index($G$131:$Z$131,$B283)&gt;0),'Get Started'!$D$27*index($G$132:$Z$132,$B283),0)</f>
        <v>0</v>
      </c>
      <c r="Z283" s="74">
        <f t="array" ref="Z283">if(and(Z$4-$B283+1=1,index($G$131:$Z$131,$B283)&gt;0),'Get Started'!$D$27*index($G$132:$Z$132,$B283),0)</f>
        <v>0</v>
      </c>
    </row>
    <row r="284" collapsed="1">
      <c r="B284" s="16" t="s">
        <v>185</v>
      </c>
      <c r="C284" s="16"/>
      <c r="D284" s="16" t="s">
        <v>161</v>
      </c>
      <c r="E284" s="74">
        <f t="shared" si="108"/>
        <v>4725600</v>
      </c>
      <c r="F284" s="78"/>
      <c r="G284" s="77">
        <f t="shared" ref="G284:Z284" si="160">sum(G285:G304)</f>
        <v>131266.6667</v>
      </c>
      <c r="H284" s="77">
        <f t="shared" si="160"/>
        <v>262533.3333</v>
      </c>
      <c r="I284" s="77">
        <f t="shared" si="160"/>
        <v>393800</v>
      </c>
      <c r="J284" s="77">
        <f t="shared" si="160"/>
        <v>393800</v>
      </c>
      <c r="K284" s="77">
        <f t="shared" si="160"/>
        <v>393800</v>
      </c>
      <c r="L284" s="77">
        <f t="shared" si="160"/>
        <v>393800</v>
      </c>
      <c r="M284" s="77">
        <f t="shared" si="160"/>
        <v>393800</v>
      </c>
      <c r="N284" s="77">
        <f t="shared" si="160"/>
        <v>393800</v>
      </c>
      <c r="O284" s="77">
        <f t="shared" si="160"/>
        <v>393800</v>
      </c>
      <c r="P284" s="77">
        <f t="shared" si="160"/>
        <v>393800</v>
      </c>
      <c r="Q284" s="77">
        <f t="shared" si="160"/>
        <v>393800</v>
      </c>
      <c r="R284" s="77">
        <f t="shared" si="160"/>
        <v>393800</v>
      </c>
      <c r="S284" s="77">
        <f t="shared" si="160"/>
        <v>262533.3333</v>
      </c>
      <c r="T284" s="77">
        <f t="shared" si="160"/>
        <v>131266.6667</v>
      </c>
      <c r="U284" s="77">
        <f t="shared" si="160"/>
        <v>0</v>
      </c>
      <c r="V284" s="77">
        <f t="shared" si="160"/>
        <v>0</v>
      </c>
      <c r="W284" s="77">
        <f t="shared" si="160"/>
        <v>0</v>
      </c>
      <c r="X284" s="77">
        <f t="shared" si="160"/>
        <v>0</v>
      </c>
      <c r="Y284" s="77">
        <f t="shared" si="160"/>
        <v>0</v>
      </c>
      <c r="Z284" s="77">
        <f t="shared" si="160"/>
        <v>0</v>
      </c>
    </row>
    <row r="285" hidden="1" outlineLevel="1">
      <c r="B285" s="93">
        <f>G$4</f>
        <v>1</v>
      </c>
      <c r="C285" s="40"/>
      <c r="D285" s="16" t="s">
        <v>161</v>
      </c>
      <c r="E285" s="74">
        <f t="shared" si="108"/>
        <v>1575200</v>
      </c>
      <c r="F285" s="74"/>
      <c r="G285" s="74">
        <f t="array" ref="G285">if(and(G$4-$B285+1&lt;='Get Started'!$D$39,$B285&lt;=G$4,index($G$131:$Z$131,$B285)&gt;0),'Get Started'!$D$28*index($G$132:$Z$132,$B285),0)</f>
        <v>131266.6667</v>
      </c>
      <c r="H285" s="74">
        <f t="array" ref="H285">if(and(H$4-$B285+1&lt;='Get Started'!$D$39,$B285&lt;=H$4,index($G$131:$Z$131,$B285)&gt;0),'Get Started'!$D$28*index($G$132:$Z$132,$B285),0)</f>
        <v>131266.6667</v>
      </c>
      <c r="I285" s="74">
        <f t="array" ref="I285">if(and(I$4-$B285+1&lt;='Get Started'!$D$39,$B285&lt;=I$4,index($G$131:$Z$131,$B285)&gt;0),'Get Started'!$D$28*index($G$132:$Z$132,$B285),0)</f>
        <v>131266.6667</v>
      </c>
      <c r="J285" s="74">
        <f t="array" ref="J285">if(and(J$4-$B285+1&lt;='Get Started'!$D$39,$B285&lt;=J$4,index($G$131:$Z$131,$B285)&gt;0),'Get Started'!$D$28*index($G$132:$Z$132,$B285),0)</f>
        <v>131266.6667</v>
      </c>
      <c r="K285" s="74">
        <f t="array" ref="K285">if(and(K$4-$B285+1&lt;='Get Started'!$D$39,$B285&lt;=K$4,index($G$131:$Z$131,$B285)&gt;0),'Get Started'!$D$28*index($G$132:$Z$132,$B285),0)</f>
        <v>131266.6667</v>
      </c>
      <c r="L285" s="74">
        <f t="array" ref="L285">if(and(L$4-$B285+1&lt;='Get Started'!$D$39,$B285&lt;=L$4,index($G$131:$Z$131,$B285)&gt;0),'Get Started'!$D$28*index($G$132:$Z$132,$B285),0)</f>
        <v>131266.6667</v>
      </c>
      <c r="M285" s="74">
        <f t="array" ref="M285">if(and(M$4-$B285+1&lt;='Get Started'!$D$39,$B285&lt;=M$4,index($G$131:$Z$131,$B285)&gt;0),'Get Started'!$D$28*index($G$132:$Z$132,$B285),0)</f>
        <v>131266.6667</v>
      </c>
      <c r="N285" s="74">
        <f t="array" ref="N285">if(and(N$4-$B285+1&lt;='Get Started'!$D$39,$B285&lt;=N$4,index($G$131:$Z$131,$B285)&gt;0),'Get Started'!$D$28*index($G$132:$Z$132,$B285),0)</f>
        <v>131266.6667</v>
      </c>
      <c r="O285" s="74">
        <f t="array" ref="O285">if(and(O$4-$B285+1&lt;='Get Started'!$D$39,$B285&lt;=O$4,index($G$131:$Z$131,$B285)&gt;0),'Get Started'!$D$28*index($G$132:$Z$132,$B285),0)</f>
        <v>131266.6667</v>
      </c>
      <c r="P285" s="74">
        <f t="array" ref="P285">if(and(P$4-$B285+1&lt;='Get Started'!$D$39,$B285&lt;=P$4,index($G$131:$Z$131,$B285)&gt;0),'Get Started'!$D$28*index($G$132:$Z$132,$B285),0)</f>
        <v>131266.6667</v>
      </c>
      <c r="Q285" s="74">
        <f t="array" ref="Q285">if(and(Q$4-$B285+1&lt;='Get Started'!$D$39,$B285&lt;=Q$4,index($G$131:$Z$131,$B285)&gt;0),'Get Started'!$D$28*index($G$132:$Z$132,$B285),0)</f>
        <v>131266.6667</v>
      </c>
      <c r="R285" s="74">
        <f t="array" ref="R285">if(and(R$4-$B285+1&lt;='Get Started'!$D$39,$B285&lt;=R$4,index($G$131:$Z$131,$B285)&gt;0),'Get Started'!$D$28*index($G$132:$Z$132,$B285),0)</f>
        <v>131266.6667</v>
      </c>
      <c r="S285" s="74">
        <f t="array" ref="S285">if(and(S$4-$B285+1&lt;='Get Started'!$D$39,$B285&lt;=S$4,index($G$131:$Z$131,$B285)&gt;0),'Get Started'!$D$28*index($G$132:$Z$132,$B285),0)</f>
        <v>0</v>
      </c>
      <c r="T285" s="74">
        <f t="array" ref="T285">if(and(T$4-$B285+1&lt;='Get Started'!$D$39,$B285&lt;=T$4,index($G$131:$Z$131,$B285)&gt;0),'Get Started'!$D$28*index($G$132:$Z$132,$B285),0)</f>
        <v>0</v>
      </c>
      <c r="U285" s="74">
        <f t="array" ref="U285">if(and(U$4-$B285+1&lt;='Get Started'!$D$39,$B285&lt;=U$4,index($G$131:$Z$131,$B285)&gt;0),'Get Started'!$D$28*index($G$132:$Z$132,$B285),0)</f>
        <v>0</v>
      </c>
      <c r="V285" s="74">
        <f t="array" ref="V285">if(and(V$4-$B285+1&lt;='Get Started'!$D$39,$B285&lt;=V$4,index($G$131:$Z$131,$B285)&gt;0),'Get Started'!$D$28*index($G$132:$Z$132,$B285),0)</f>
        <v>0</v>
      </c>
      <c r="W285" s="74">
        <f t="array" ref="W285">if(and(W$4-$B285+1&lt;='Get Started'!$D$39,$B285&lt;=W$4,index($G$131:$Z$131,$B285)&gt;0),'Get Started'!$D$28*index($G$132:$Z$132,$B285),0)</f>
        <v>0</v>
      </c>
      <c r="X285" s="74">
        <f t="array" ref="X285">if(and(X$4-$B285+1&lt;='Get Started'!$D$39,$B285&lt;=X$4,index($G$131:$Z$131,$B285)&gt;0),'Get Started'!$D$28*index($G$132:$Z$132,$B285),0)</f>
        <v>0</v>
      </c>
      <c r="Y285" s="74">
        <f t="array" ref="Y285">if(and(Y$4-$B285+1&lt;='Get Started'!$D$39,$B285&lt;=Y$4,index($G$131:$Z$131,$B285)&gt;0),'Get Started'!$D$28*index($G$132:$Z$132,$B285),0)</f>
        <v>0</v>
      </c>
      <c r="Z285" s="74">
        <f t="array" ref="Z285">if(and(Z$4-$B285+1&lt;='Get Started'!$D$39,$B285&lt;=Z$4,index($G$131:$Z$131,$B285)&gt;0),'Get Started'!$D$28*index($G$132:$Z$132,$B285),0)</f>
        <v>0</v>
      </c>
    </row>
    <row r="286" hidden="1" outlineLevel="1">
      <c r="B286" s="93">
        <f t="shared" ref="B286:B304" si="161">B285+1</f>
        <v>2</v>
      </c>
      <c r="C286" s="40"/>
      <c r="D286" s="16" t="s">
        <v>161</v>
      </c>
      <c r="E286" s="74">
        <f t="shared" si="108"/>
        <v>1575200</v>
      </c>
      <c r="F286" s="74"/>
      <c r="G286" s="74">
        <f t="array" ref="G286">if(and(G$4-$B286+1&lt;='Get Started'!$D$39,$B286&lt;=G$4,index($G$131:$Z$131,$B286)&gt;0),'Get Started'!$D$28*index($G$132:$Z$132,$B286),0)</f>
        <v>0</v>
      </c>
      <c r="H286" s="74">
        <f t="array" ref="H286">if(and(H$4-$B286+1&lt;='Get Started'!$D$39,$B286&lt;=H$4,index($G$131:$Z$131,$B286)&gt;0),'Get Started'!$D$28*index($G$132:$Z$132,$B286),0)</f>
        <v>131266.6667</v>
      </c>
      <c r="I286" s="74">
        <f t="array" ref="I286">if(and(I$4-$B286+1&lt;='Get Started'!$D$39,$B286&lt;=I$4,index($G$131:$Z$131,$B286)&gt;0),'Get Started'!$D$28*index($G$132:$Z$132,$B286),0)</f>
        <v>131266.6667</v>
      </c>
      <c r="J286" s="74">
        <f t="array" ref="J286">if(and(J$4-$B286+1&lt;='Get Started'!$D$39,$B286&lt;=J$4,index($G$131:$Z$131,$B286)&gt;0),'Get Started'!$D$28*index($G$132:$Z$132,$B286),0)</f>
        <v>131266.6667</v>
      </c>
      <c r="K286" s="74">
        <f t="array" ref="K286">if(and(K$4-$B286+1&lt;='Get Started'!$D$39,$B286&lt;=K$4,index($G$131:$Z$131,$B286)&gt;0),'Get Started'!$D$28*index($G$132:$Z$132,$B286),0)</f>
        <v>131266.6667</v>
      </c>
      <c r="L286" s="74">
        <f t="array" ref="L286">if(and(L$4-$B286+1&lt;='Get Started'!$D$39,$B286&lt;=L$4,index($G$131:$Z$131,$B286)&gt;0),'Get Started'!$D$28*index($G$132:$Z$132,$B286),0)</f>
        <v>131266.6667</v>
      </c>
      <c r="M286" s="74">
        <f t="array" ref="M286">if(and(M$4-$B286+1&lt;='Get Started'!$D$39,$B286&lt;=M$4,index($G$131:$Z$131,$B286)&gt;0),'Get Started'!$D$28*index($G$132:$Z$132,$B286),0)</f>
        <v>131266.6667</v>
      </c>
      <c r="N286" s="74">
        <f t="array" ref="N286">if(and(N$4-$B286+1&lt;='Get Started'!$D$39,$B286&lt;=N$4,index($G$131:$Z$131,$B286)&gt;0),'Get Started'!$D$28*index($G$132:$Z$132,$B286),0)</f>
        <v>131266.6667</v>
      </c>
      <c r="O286" s="74">
        <f t="array" ref="O286">if(and(O$4-$B286+1&lt;='Get Started'!$D$39,$B286&lt;=O$4,index($G$131:$Z$131,$B286)&gt;0),'Get Started'!$D$28*index($G$132:$Z$132,$B286),0)</f>
        <v>131266.6667</v>
      </c>
      <c r="P286" s="74">
        <f t="array" ref="P286">if(and(P$4-$B286+1&lt;='Get Started'!$D$39,$B286&lt;=P$4,index($G$131:$Z$131,$B286)&gt;0),'Get Started'!$D$28*index($G$132:$Z$132,$B286),0)</f>
        <v>131266.6667</v>
      </c>
      <c r="Q286" s="74">
        <f t="array" ref="Q286">if(and(Q$4-$B286+1&lt;='Get Started'!$D$39,$B286&lt;=Q$4,index($G$131:$Z$131,$B286)&gt;0),'Get Started'!$D$28*index($G$132:$Z$132,$B286),0)</f>
        <v>131266.6667</v>
      </c>
      <c r="R286" s="74">
        <f t="array" ref="R286">if(and(R$4-$B286+1&lt;='Get Started'!$D$39,$B286&lt;=R$4,index($G$131:$Z$131,$B286)&gt;0),'Get Started'!$D$28*index($G$132:$Z$132,$B286),0)</f>
        <v>131266.6667</v>
      </c>
      <c r="S286" s="74">
        <f t="array" ref="S286">if(and(S$4-$B286+1&lt;='Get Started'!$D$39,$B286&lt;=S$4,index($G$131:$Z$131,$B286)&gt;0),'Get Started'!$D$28*index($G$132:$Z$132,$B286),0)</f>
        <v>131266.6667</v>
      </c>
      <c r="T286" s="74">
        <f t="array" ref="T286">if(and(T$4-$B286+1&lt;='Get Started'!$D$39,$B286&lt;=T$4,index($G$131:$Z$131,$B286)&gt;0),'Get Started'!$D$28*index($G$132:$Z$132,$B286),0)</f>
        <v>0</v>
      </c>
      <c r="U286" s="74">
        <f t="array" ref="U286">if(and(U$4-$B286+1&lt;='Get Started'!$D$39,$B286&lt;=U$4,index($G$131:$Z$131,$B286)&gt;0),'Get Started'!$D$28*index($G$132:$Z$132,$B286),0)</f>
        <v>0</v>
      </c>
      <c r="V286" s="74">
        <f t="array" ref="V286">if(and(V$4-$B286+1&lt;='Get Started'!$D$39,$B286&lt;=V$4,index($G$131:$Z$131,$B286)&gt;0),'Get Started'!$D$28*index($G$132:$Z$132,$B286),0)</f>
        <v>0</v>
      </c>
      <c r="W286" s="74">
        <f t="array" ref="W286">if(and(W$4-$B286+1&lt;='Get Started'!$D$39,$B286&lt;=W$4,index($G$131:$Z$131,$B286)&gt;0),'Get Started'!$D$28*index($G$132:$Z$132,$B286),0)</f>
        <v>0</v>
      </c>
      <c r="X286" s="74">
        <f t="array" ref="X286">if(and(X$4-$B286+1&lt;='Get Started'!$D$39,$B286&lt;=X$4,index($G$131:$Z$131,$B286)&gt;0),'Get Started'!$D$28*index($G$132:$Z$132,$B286),0)</f>
        <v>0</v>
      </c>
      <c r="Y286" s="74">
        <f t="array" ref="Y286">if(and(Y$4-$B286+1&lt;='Get Started'!$D$39,$B286&lt;=Y$4,index($G$131:$Z$131,$B286)&gt;0),'Get Started'!$D$28*index($G$132:$Z$132,$B286),0)</f>
        <v>0</v>
      </c>
      <c r="Z286" s="74">
        <f t="array" ref="Z286">if(and(Z$4-$B286+1&lt;='Get Started'!$D$39,$B286&lt;=Z$4,index($G$131:$Z$131,$B286)&gt;0),'Get Started'!$D$28*index($G$132:$Z$132,$B286),0)</f>
        <v>0</v>
      </c>
    </row>
    <row r="287" hidden="1" outlineLevel="1">
      <c r="B287" s="93">
        <f t="shared" si="161"/>
        <v>3</v>
      </c>
      <c r="C287" s="40"/>
      <c r="D287" s="16" t="s">
        <v>161</v>
      </c>
      <c r="E287" s="74">
        <f t="shared" si="108"/>
        <v>1575200</v>
      </c>
      <c r="F287" s="74"/>
      <c r="G287" s="74">
        <f t="array" ref="G287">if(and(G$4-$B287+1&lt;='Get Started'!$D$39,$B287&lt;=G$4,index($G$131:$Z$131,$B287)&gt;0),'Get Started'!$D$28*index($G$132:$Z$132,$B287),0)</f>
        <v>0</v>
      </c>
      <c r="H287" s="74">
        <f t="array" ref="H287">if(and(H$4-$B287+1&lt;='Get Started'!$D$39,$B287&lt;=H$4,index($G$131:$Z$131,$B287)&gt;0),'Get Started'!$D$28*index($G$132:$Z$132,$B287),0)</f>
        <v>0</v>
      </c>
      <c r="I287" s="74">
        <f t="array" ref="I287">if(and(I$4-$B287+1&lt;='Get Started'!$D$39,$B287&lt;=I$4,index($G$131:$Z$131,$B287)&gt;0),'Get Started'!$D$28*index($G$132:$Z$132,$B287),0)</f>
        <v>131266.6667</v>
      </c>
      <c r="J287" s="74">
        <f t="array" ref="J287">if(and(J$4-$B287+1&lt;='Get Started'!$D$39,$B287&lt;=J$4,index($G$131:$Z$131,$B287)&gt;0),'Get Started'!$D$28*index($G$132:$Z$132,$B287),0)</f>
        <v>131266.6667</v>
      </c>
      <c r="K287" s="74">
        <f t="array" ref="K287">if(and(K$4-$B287+1&lt;='Get Started'!$D$39,$B287&lt;=K$4,index($G$131:$Z$131,$B287)&gt;0),'Get Started'!$D$28*index($G$132:$Z$132,$B287),0)</f>
        <v>131266.6667</v>
      </c>
      <c r="L287" s="74">
        <f t="array" ref="L287">if(and(L$4-$B287+1&lt;='Get Started'!$D$39,$B287&lt;=L$4,index($G$131:$Z$131,$B287)&gt;0),'Get Started'!$D$28*index($G$132:$Z$132,$B287),0)</f>
        <v>131266.6667</v>
      </c>
      <c r="M287" s="74">
        <f t="array" ref="M287">if(and(M$4-$B287+1&lt;='Get Started'!$D$39,$B287&lt;=M$4,index($G$131:$Z$131,$B287)&gt;0),'Get Started'!$D$28*index($G$132:$Z$132,$B287),0)</f>
        <v>131266.6667</v>
      </c>
      <c r="N287" s="74">
        <f t="array" ref="N287">if(and(N$4-$B287+1&lt;='Get Started'!$D$39,$B287&lt;=N$4,index($G$131:$Z$131,$B287)&gt;0),'Get Started'!$D$28*index($G$132:$Z$132,$B287),0)</f>
        <v>131266.6667</v>
      </c>
      <c r="O287" s="74">
        <f t="array" ref="O287">if(and(O$4-$B287+1&lt;='Get Started'!$D$39,$B287&lt;=O$4,index($G$131:$Z$131,$B287)&gt;0),'Get Started'!$D$28*index($G$132:$Z$132,$B287),0)</f>
        <v>131266.6667</v>
      </c>
      <c r="P287" s="74">
        <f t="array" ref="P287">if(and(P$4-$B287+1&lt;='Get Started'!$D$39,$B287&lt;=P$4,index($G$131:$Z$131,$B287)&gt;0),'Get Started'!$D$28*index($G$132:$Z$132,$B287),0)</f>
        <v>131266.6667</v>
      </c>
      <c r="Q287" s="74">
        <f t="array" ref="Q287">if(and(Q$4-$B287+1&lt;='Get Started'!$D$39,$B287&lt;=Q$4,index($G$131:$Z$131,$B287)&gt;0),'Get Started'!$D$28*index($G$132:$Z$132,$B287),0)</f>
        <v>131266.6667</v>
      </c>
      <c r="R287" s="74">
        <f t="array" ref="R287">if(and(R$4-$B287+1&lt;='Get Started'!$D$39,$B287&lt;=R$4,index($G$131:$Z$131,$B287)&gt;0),'Get Started'!$D$28*index($G$132:$Z$132,$B287),0)</f>
        <v>131266.6667</v>
      </c>
      <c r="S287" s="74">
        <f t="array" ref="S287">if(and(S$4-$B287+1&lt;='Get Started'!$D$39,$B287&lt;=S$4,index($G$131:$Z$131,$B287)&gt;0),'Get Started'!$D$28*index($G$132:$Z$132,$B287),0)</f>
        <v>131266.6667</v>
      </c>
      <c r="T287" s="74">
        <f t="array" ref="T287">if(and(T$4-$B287+1&lt;='Get Started'!$D$39,$B287&lt;=T$4,index($G$131:$Z$131,$B287)&gt;0),'Get Started'!$D$28*index($G$132:$Z$132,$B287),0)</f>
        <v>131266.6667</v>
      </c>
      <c r="U287" s="74">
        <f t="array" ref="U287">if(and(U$4-$B287+1&lt;='Get Started'!$D$39,$B287&lt;=U$4,index($G$131:$Z$131,$B287)&gt;0),'Get Started'!$D$28*index($G$132:$Z$132,$B287),0)</f>
        <v>0</v>
      </c>
      <c r="V287" s="74">
        <f t="array" ref="V287">if(and(V$4-$B287+1&lt;='Get Started'!$D$39,$B287&lt;=V$4,index($G$131:$Z$131,$B287)&gt;0),'Get Started'!$D$28*index($G$132:$Z$132,$B287),0)</f>
        <v>0</v>
      </c>
      <c r="W287" s="74">
        <f t="array" ref="W287">if(and(W$4-$B287+1&lt;='Get Started'!$D$39,$B287&lt;=W$4,index($G$131:$Z$131,$B287)&gt;0),'Get Started'!$D$28*index($G$132:$Z$132,$B287),0)</f>
        <v>0</v>
      </c>
      <c r="X287" s="74">
        <f t="array" ref="X287">if(and(X$4-$B287+1&lt;='Get Started'!$D$39,$B287&lt;=X$4,index($G$131:$Z$131,$B287)&gt;0),'Get Started'!$D$28*index($G$132:$Z$132,$B287),0)</f>
        <v>0</v>
      </c>
      <c r="Y287" s="74">
        <f t="array" ref="Y287">if(and(Y$4-$B287+1&lt;='Get Started'!$D$39,$B287&lt;=Y$4,index($G$131:$Z$131,$B287)&gt;0),'Get Started'!$D$28*index($G$132:$Z$132,$B287),0)</f>
        <v>0</v>
      </c>
      <c r="Z287" s="74">
        <f t="array" ref="Z287">if(and(Z$4-$B287+1&lt;='Get Started'!$D$39,$B287&lt;=Z$4,index($G$131:$Z$131,$B287)&gt;0),'Get Started'!$D$28*index($G$132:$Z$132,$B287),0)</f>
        <v>0</v>
      </c>
    </row>
    <row r="288" hidden="1" outlineLevel="1">
      <c r="B288" s="93">
        <f t="shared" si="161"/>
        <v>4</v>
      </c>
      <c r="C288" s="40"/>
      <c r="D288" s="16" t="s">
        <v>161</v>
      </c>
      <c r="E288" s="74">
        <f t="shared" si="108"/>
        <v>0</v>
      </c>
      <c r="F288" s="74"/>
      <c r="G288" s="74">
        <f t="array" ref="G288">if(and(G$4-$B288+1&lt;='Get Started'!$D$39,$B288&lt;=G$4,index($G$131:$Z$131,$B288)&gt;0),'Get Started'!$D$28*index($G$132:$Z$132,$B288),0)</f>
        <v>0</v>
      </c>
      <c r="H288" s="74">
        <f t="array" ref="H288">if(and(H$4-$B288+1&lt;='Get Started'!$D$39,$B288&lt;=H$4,index($G$131:$Z$131,$B288)&gt;0),'Get Started'!$D$28*index($G$132:$Z$132,$B288),0)</f>
        <v>0</v>
      </c>
      <c r="I288" s="74">
        <f t="array" ref="I288">if(and(I$4-$B288+1&lt;='Get Started'!$D$39,$B288&lt;=I$4,index($G$131:$Z$131,$B288)&gt;0),'Get Started'!$D$28*index($G$132:$Z$132,$B288),0)</f>
        <v>0</v>
      </c>
      <c r="J288" s="74">
        <f t="array" ref="J288">if(and(J$4-$B288+1&lt;='Get Started'!$D$39,$B288&lt;=J$4,index($G$131:$Z$131,$B288)&gt;0),'Get Started'!$D$28*index($G$132:$Z$132,$B288),0)</f>
        <v>0</v>
      </c>
      <c r="K288" s="74">
        <f t="array" ref="K288">if(and(K$4-$B288+1&lt;='Get Started'!$D$39,$B288&lt;=K$4,index($G$131:$Z$131,$B288)&gt;0),'Get Started'!$D$28*index($G$132:$Z$132,$B288),0)</f>
        <v>0</v>
      </c>
      <c r="L288" s="74">
        <f t="array" ref="L288">if(and(L$4-$B288+1&lt;='Get Started'!$D$39,$B288&lt;=L$4,index($G$131:$Z$131,$B288)&gt;0),'Get Started'!$D$28*index($G$132:$Z$132,$B288),0)</f>
        <v>0</v>
      </c>
      <c r="M288" s="74">
        <f t="array" ref="M288">if(and(M$4-$B288+1&lt;='Get Started'!$D$39,$B288&lt;=M$4,index($G$131:$Z$131,$B288)&gt;0),'Get Started'!$D$28*index($G$132:$Z$132,$B288),0)</f>
        <v>0</v>
      </c>
      <c r="N288" s="74">
        <f t="array" ref="N288">if(and(N$4-$B288+1&lt;='Get Started'!$D$39,$B288&lt;=N$4,index($G$131:$Z$131,$B288)&gt;0),'Get Started'!$D$28*index($G$132:$Z$132,$B288),0)</f>
        <v>0</v>
      </c>
      <c r="O288" s="74">
        <f t="array" ref="O288">if(and(O$4-$B288+1&lt;='Get Started'!$D$39,$B288&lt;=O$4,index($G$131:$Z$131,$B288)&gt;0),'Get Started'!$D$28*index($G$132:$Z$132,$B288),0)</f>
        <v>0</v>
      </c>
      <c r="P288" s="74">
        <f t="array" ref="P288">if(and(P$4-$B288+1&lt;='Get Started'!$D$39,$B288&lt;=P$4,index($G$131:$Z$131,$B288)&gt;0),'Get Started'!$D$28*index($G$132:$Z$132,$B288),0)</f>
        <v>0</v>
      </c>
      <c r="Q288" s="74">
        <f t="array" ref="Q288">if(and(Q$4-$B288+1&lt;='Get Started'!$D$39,$B288&lt;=Q$4,index($G$131:$Z$131,$B288)&gt;0),'Get Started'!$D$28*index($G$132:$Z$132,$B288),0)</f>
        <v>0</v>
      </c>
      <c r="R288" s="74">
        <f t="array" ref="R288">if(and(R$4-$B288+1&lt;='Get Started'!$D$39,$B288&lt;=R$4,index($G$131:$Z$131,$B288)&gt;0),'Get Started'!$D$28*index($G$132:$Z$132,$B288),0)</f>
        <v>0</v>
      </c>
      <c r="S288" s="74">
        <f t="array" ref="S288">if(and(S$4-$B288+1&lt;='Get Started'!$D$39,$B288&lt;=S$4,index($G$131:$Z$131,$B288)&gt;0),'Get Started'!$D$28*index($G$132:$Z$132,$B288),0)</f>
        <v>0</v>
      </c>
      <c r="T288" s="74">
        <f t="array" ref="T288">if(and(T$4-$B288+1&lt;='Get Started'!$D$39,$B288&lt;=T$4,index($G$131:$Z$131,$B288)&gt;0),'Get Started'!$D$28*index($G$132:$Z$132,$B288),0)</f>
        <v>0</v>
      </c>
      <c r="U288" s="74">
        <f t="array" ref="U288">if(and(U$4-$B288+1&lt;='Get Started'!$D$39,$B288&lt;=U$4,index($G$131:$Z$131,$B288)&gt;0),'Get Started'!$D$28*index($G$132:$Z$132,$B288),0)</f>
        <v>0</v>
      </c>
      <c r="V288" s="74">
        <f t="array" ref="V288">if(and(V$4-$B288+1&lt;='Get Started'!$D$39,$B288&lt;=V$4,index($G$131:$Z$131,$B288)&gt;0),'Get Started'!$D$28*index($G$132:$Z$132,$B288),0)</f>
        <v>0</v>
      </c>
      <c r="W288" s="74">
        <f t="array" ref="W288">if(and(W$4-$B288+1&lt;='Get Started'!$D$39,$B288&lt;=W$4,index($G$131:$Z$131,$B288)&gt;0),'Get Started'!$D$28*index($G$132:$Z$132,$B288),0)</f>
        <v>0</v>
      </c>
      <c r="X288" s="74">
        <f t="array" ref="X288">if(and(X$4-$B288+1&lt;='Get Started'!$D$39,$B288&lt;=X$4,index($G$131:$Z$131,$B288)&gt;0),'Get Started'!$D$28*index($G$132:$Z$132,$B288),0)</f>
        <v>0</v>
      </c>
      <c r="Y288" s="74">
        <f t="array" ref="Y288">if(and(Y$4-$B288+1&lt;='Get Started'!$D$39,$B288&lt;=Y$4,index($G$131:$Z$131,$B288)&gt;0),'Get Started'!$D$28*index($G$132:$Z$132,$B288),0)</f>
        <v>0</v>
      </c>
      <c r="Z288" s="74">
        <f t="array" ref="Z288">if(and(Z$4-$B288+1&lt;='Get Started'!$D$39,$B288&lt;=Z$4,index($G$131:$Z$131,$B288)&gt;0),'Get Started'!$D$28*index($G$132:$Z$132,$B288),0)</f>
        <v>0</v>
      </c>
    </row>
    <row r="289" hidden="1" outlineLevel="1">
      <c r="B289" s="93">
        <f t="shared" si="161"/>
        <v>5</v>
      </c>
      <c r="C289" s="40"/>
      <c r="D289" s="16" t="s">
        <v>161</v>
      </c>
      <c r="E289" s="74">
        <f t="shared" si="108"/>
        <v>0</v>
      </c>
      <c r="F289" s="74"/>
      <c r="G289" s="74">
        <f t="array" ref="G289">if(and(G$4-$B289+1&lt;='Get Started'!$D$39,$B289&lt;=G$4,index($G$131:$Z$131,$B289)&gt;0),'Get Started'!$D$28*index($G$132:$Z$132,$B289),0)</f>
        <v>0</v>
      </c>
      <c r="H289" s="74">
        <f t="array" ref="H289">if(and(H$4-$B289+1&lt;='Get Started'!$D$39,$B289&lt;=H$4,index($G$131:$Z$131,$B289)&gt;0),'Get Started'!$D$28*index($G$132:$Z$132,$B289),0)</f>
        <v>0</v>
      </c>
      <c r="I289" s="74">
        <f t="array" ref="I289">if(and(I$4-$B289+1&lt;='Get Started'!$D$39,$B289&lt;=I$4,index($G$131:$Z$131,$B289)&gt;0),'Get Started'!$D$28*index($G$132:$Z$132,$B289),0)</f>
        <v>0</v>
      </c>
      <c r="J289" s="74">
        <f t="array" ref="J289">if(and(J$4-$B289+1&lt;='Get Started'!$D$39,$B289&lt;=J$4,index($G$131:$Z$131,$B289)&gt;0),'Get Started'!$D$28*index($G$132:$Z$132,$B289),0)</f>
        <v>0</v>
      </c>
      <c r="K289" s="74">
        <f t="array" ref="K289">if(and(K$4-$B289+1&lt;='Get Started'!$D$39,$B289&lt;=K$4,index($G$131:$Z$131,$B289)&gt;0),'Get Started'!$D$28*index($G$132:$Z$132,$B289),0)</f>
        <v>0</v>
      </c>
      <c r="L289" s="74">
        <f t="array" ref="L289">if(and(L$4-$B289+1&lt;='Get Started'!$D$39,$B289&lt;=L$4,index($G$131:$Z$131,$B289)&gt;0),'Get Started'!$D$28*index($G$132:$Z$132,$B289),0)</f>
        <v>0</v>
      </c>
      <c r="M289" s="74">
        <f t="array" ref="M289">if(and(M$4-$B289+1&lt;='Get Started'!$D$39,$B289&lt;=M$4,index($G$131:$Z$131,$B289)&gt;0),'Get Started'!$D$28*index($G$132:$Z$132,$B289),0)</f>
        <v>0</v>
      </c>
      <c r="N289" s="74">
        <f t="array" ref="N289">if(and(N$4-$B289+1&lt;='Get Started'!$D$39,$B289&lt;=N$4,index($G$131:$Z$131,$B289)&gt;0),'Get Started'!$D$28*index($G$132:$Z$132,$B289),0)</f>
        <v>0</v>
      </c>
      <c r="O289" s="74">
        <f t="array" ref="O289">if(and(O$4-$B289+1&lt;='Get Started'!$D$39,$B289&lt;=O$4,index($G$131:$Z$131,$B289)&gt;0),'Get Started'!$D$28*index($G$132:$Z$132,$B289),0)</f>
        <v>0</v>
      </c>
      <c r="P289" s="74">
        <f t="array" ref="P289">if(and(P$4-$B289+1&lt;='Get Started'!$D$39,$B289&lt;=P$4,index($G$131:$Z$131,$B289)&gt;0),'Get Started'!$D$28*index($G$132:$Z$132,$B289),0)</f>
        <v>0</v>
      </c>
      <c r="Q289" s="74">
        <f t="array" ref="Q289">if(and(Q$4-$B289+1&lt;='Get Started'!$D$39,$B289&lt;=Q$4,index($G$131:$Z$131,$B289)&gt;0),'Get Started'!$D$28*index($G$132:$Z$132,$B289),0)</f>
        <v>0</v>
      </c>
      <c r="R289" s="74">
        <f t="array" ref="R289">if(and(R$4-$B289+1&lt;='Get Started'!$D$39,$B289&lt;=R$4,index($G$131:$Z$131,$B289)&gt;0),'Get Started'!$D$28*index($G$132:$Z$132,$B289),0)</f>
        <v>0</v>
      </c>
      <c r="S289" s="74">
        <f t="array" ref="S289">if(and(S$4-$B289+1&lt;='Get Started'!$D$39,$B289&lt;=S$4,index($G$131:$Z$131,$B289)&gt;0),'Get Started'!$D$28*index($G$132:$Z$132,$B289),0)</f>
        <v>0</v>
      </c>
      <c r="T289" s="74">
        <f t="array" ref="T289">if(and(T$4-$B289+1&lt;='Get Started'!$D$39,$B289&lt;=T$4,index($G$131:$Z$131,$B289)&gt;0),'Get Started'!$D$28*index($G$132:$Z$132,$B289),0)</f>
        <v>0</v>
      </c>
      <c r="U289" s="74">
        <f t="array" ref="U289">if(and(U$4-$B289+1&lt;='Get Started'!$D$39,$B289&lt;=U$4,index($G$131:$Z$131,$B289)&gt;0),'Get Started'!$D$28*index($G$132:$Z$132,$B289),0)</f>
        <v>0</v>
      </c>
      <c r="V289" s="74">
        <f t="array" ref="V289">if(and(V$4-$B289+1&lt;='Get Started'!$D$39,$B289&lt;=V$4,index($G$131:$Z$131,$B289)&gt;0),'Get Started'!$D$28*index($G$132:$Z$132,$B289),0)</f>
        <v>0</v>
      </c>
      <c r="W289" s="74">
        <f t="array" ref="W289">if(and(W$4-$B289+1&lt;='Get Started'!$D$39,$B289&lt;=W$4,index($G$131:$Z$131,$B289)&gt;0),'Get Started'!$D$28*index($G$132:$Z$132,$B289),0)</f>
        <v>0</v>
      </c>
      <c r="X289" s="74">
        <f t="array" ref="X289">if(and(X$4-$B289+1&lt;='Get Started'!$D$39,$B289&lt;=X$4,index($G$131:$Z$131,$B289)&gt;0),'Get Started'!$D$28*index($G$132:$Z$132,$B289),0)</f>
        <v>0</v>
      </c>
      <c r="Y289" s="74">
        <f t="array" ref="Y289">if(and(Y$4-$B289+1&lt;='Get Started'!$D$39,$B289&lt;=Y$4,index($G$131:$Z$131,$B289)&gt;0),'Get Started'!$D$28*index($G$132:$Z$132,$B289),0)</f>
        <v>0</v>
      </c>
      <c r="Z289" s="74">
        <f t="array" ref="Z289">if(and(Z$4-$B289+1&lt;='Get Started'!$D$39,$B289&lt;=Z$4,index($G$131:$Z$131,$B289)&gt;0),'Get Started'!$D$28*index($G$132:$Z$132,$B289),0)</f>
        <v>0</v>
      </c>
    </row>
    <row r="290" hidden="1" outlineLevel="1">
      <c r="B290" s="93">
        <f t="shared" si="161"/>
        <v>6</v>
      </c>
      <c r="C290" s="40"/>
      <c r="D290" s="16" t="s">
        <v>161</v>
      </c>
      <c r="E290" s="74">
        <f t="shared" si="108"/>
        <v>0</v>
      </c>
      <c r="F290" s="74"/>
      <c r="G290" s="74">
        <f t="array" ref="G290">if(and(G$4-$B290+1&lt;='Get Started'!$D$39,$B290&lt;=G$4,index($G$131:$Z$131,$B290)&gt;0),'Get Started'!$D$28*index($G$132:$Z$132,$B290),0)</f>
        <v>0</v>
      </c>
      <c r="H290" s="74">
        <f t="array" ref="H290">if(and(H$4-$B290+1&lt;='Get Started'!$D$39,$B290&lt;=H$4,index($G$131:$Z$131,$B290)&gt;0),'Get Started'!$D$28*index($G$132:$Z$132,$B290),0)</f>
        <v>0</v>
      </c>
      <c r="I290" s="74">
        <f t="array" ref="I290">if(and(I$4-$B290+1&lt;='Get Started'!$D$39,$B290&lt;=I$4,index($G$131:$Z$131,$B290)&gt;0),'Get Started'!$D$28*index($G$132:$Z$132,$B290),0)</f>
        <v>0</v>
      </c>
      <c r="J290" s="74">
        <f t="array" ref="J290">if(and(J$4-$B290+1&lt;='Get Started'!$D$39,$B290&lt;=J$4,index($G$131:$Z$131,$B290)&gt;0),'Get Started'!$D$28*index($G$132:$Z$132,$B290),0)</f>
        <v>0</v>
      </c>
      <c r="K290" s="74">
        <f t="array" ref="K290">if(and(K$4-$B290+1&lt;='Get Started'!$D$39,$B290&lt;=K$4,index($G$131:$Z$131,$B290)&gt;0),'Get Started'!$D$28*index($G$132:$Z$132,$B290),0)</f>
        <v>0</v>
      </c>
      <c r="L290" s="74">
        <f t="array" ref="L290">if(and(L$4-$B290+1&lt;='Get Started'!$D$39,$B290&lt;=L$4,index($G$131:$Z$131,$B290)&gt;0),'Get Started'!$D$28*index($G$132:$Z$132,$B290),0)</f>
        <v>0</v>
      </c>
      <c r="M290" s="74">
        <f t="array" ref="M290">if(and(M$4-$B290+1&lt;='Get Started'!$D$39,$B290&lt;=M$4,index($G$131:$Z$131,$B290)&gt;0),'Get Started'!$D$28*index($G$132:$Z$132,$B290),0)</f>
        <v>0</v>
      </c>
      <c r="N290" s="74">
        <f t="array" ref="N290">if(and(N$4-$B290+1&lt;='Get Started'!$D$39,$B290&lt;=N$4,index($G$131:$Z$131,$B290)&gt;0),'Get Started'!$D$28*index($G$132:$Z$132,$B290),0)</f>
        <v>0</v>
      </c>
      <c r="O290" s="74">
        <f t="array" ref="O290">if(and(O$4-$B290+1&lt;='Get Started'!$D$39,$B290&lt;=O$4,index($G$131:$Z$131,$B290)&gt;0),'Get Started'!$D$28*index($G$132:$Z$132,$B290),0)</f>
        <v>0</v>
      </c>
      <c r="P290" s="74">
        <f t="array" ref="P290">if(and(P$4-$B290+1&lt;='Get Started'!$D$39,$B290&lt;=P$4,index($G$131:$Z$131,$B290)&gt;0),'Get Started'!$D$28*index($G$132:$Z$132,$B290),0)</f>
        <v>0</v>
      </c>
      <c r="Q290" s="74">
        <f t="array" ref="Q290">if(and(Q$4-$B290+1&lt;='Get Started'!$D$39,$B290&lt;=Q$4,index($G$131:$Z$131,$B290)&gt;0),'Get Started'!$D$28*index($G$132:$Z$132,$B290),0)</f>
        <v>0</v>
      </c>
      <c r="R290" s="74">
        <f t="array" ref="R290">if(and(R$4-$B290+1&lt;='Get Started'!$D$39,$B290&lt;=R$4,index($G$131:$Z$131,$B290)&gt;0),'Get Started'!$D$28*index($G$132:$Z$132,$B290),0)</f>
        <v>0</v>
      </c>
      <c r="S290" s="74">
        <f t="array" ref="S290">if(and(S$4-$B290+1&lt;='Get Started'!$D$39,$B290&lt;=S$4,index($G$131:$Z$131,$B290)&gt;0),'Get Started'!$D$28*index($G$132:$Z$132,$B290),0)</f>
        <v>0</v>
      </c>
      <c r="T290" s="74">
        <f t="array" ref="T290">if(and(T$4-$B290+1&lt;='Get Started'!$D$39,$B290&lt;=T$4,index($G$131:$Z$131,$B290)&gt;0),'Get Started'!$D$28*index($G$132:$Z$132,$B290),0)</f>
        <v>0</v>
      </c>
      <c r="U290" s="74">
        <f t="array" ref="U290">if(and(U$4-$B290+1&lt;='Get Started'!$D$39,$B290&lt;=U$4,index($G$131:$Z$131,$B290)&gt;0),'Get Started'!$D$28*index($G$132:$Z$132,$B290),0)</f>
        <v>0</v>
      </c>
      <c r="V290" s="74">
        <f t="array" ref="V290">if(and(V$4-$B290+1&lt;='Get Started'!$D$39,$B290&lt;=V$4,index($G$131:$Z$131,$B290)&gt;0),'Get Started'!$D$28*index($G$132:$Z$132,$B290),0)</f>
        <v>0</v>
      </c>
      <c r="W290" s="74">
        <f t="array" ref="W290">if(and(W$4-$B290+1&lt;='Get Started'!$D$39,$B290&lt;=W$4,index($G$131:$Z$131,$B290)&gt;0),'Get Started'!$D$28*index($G$132:$Z$132,$B290),0)</f>
        <v>0</v>
      </c>
      <c r="X290" s="74">
        <f t="array" ref="X290">if(and(X$4-$B290+1&lt;='Get Started'!$D$39,$B290&lt;=X$4,index($G$131:$Z$131,$B290)&gt;0),'Get Started'!$D$28*index($G$132:$Z$132,$B290),0)</f>
        <v>0</v>
      </c>
      <c r="Y290" s="74">
        <f t="array" ref="Y290">if(and(Y$4-$B290+1&lt;='Get Started'!$D$39,$B290&lt;=Y$4,index($G$131:$Z$131,$B290)&gt;0),'Get Started'!$D$28*index($G$132:$Z$132,$B290),0)</f>
        <v>0</v>
      </c>
      <c r="Z290" s="74">
        <f t="array" ref="Z290">if(and(Z$4-$B290+1&lt;='Get Started'!$D$39,$B290&lt;=Z$4,index($G$131:$Z$131,$B290)&gt;0),'Get Started'!$D$28*index($G$132:$Z$132,$B290),0)</f>
        <v>0</v>
      </c>
    </row>
    <row r="291" hidden="1" outlineLevel="1">
      <c r="B291" s="93">
        <f t="shared" si="161"/>
        <v>7</v>
      </c>
      <c r="C291" s="40"/>
      <c r="D291" s="16" t="s">
        <v>161</v>
      </c>
      <c r="E291" s="74">
        <f t="shared" si="108"/>
        <v>0</v>
      </c>
      <c r="F291" s="74"/>
      <c r="G291" s="74">
        <f t="array" ref="G291">if(and(G$4-$B291+1&lt;='Get Started'!$D$39,$B291&lt;=G$4,index($G$131:$Z$131,$B291)&gt;0),'Get Started'!$D$28*index($G$132:$Z$132,$B291),0)</f>
        <v>0</v>
      </c>
      <c r="H291" s="74">
        <f t="array" ref="H291">if(and(H$4-$B291+1&lt;='Get Started'!$D$39,$B291&lt;=H$4,index($G$131:$Z$131,$B291)&gt;0),'Get Started'!$D$28*index($G$132:$Z$132,$B291),0)</f>
        <v>0</v>
      </c>
      <c r="I291" s="74">
        <f t="array" ref="I291">if(and(I$4-$B291+1&lt;='Get Started'!$D$39,$B291&lt;=I$4,index($G$131:$Z$131,$B291)&gt;0),'Get Started'!$D$28*index($G$132:$Z$132,$B291),0)</f>
        <v>0</v>
      </c>
      <c r="J291" s="74">
        <f t="array" ref="J291">if(and(J$4-$B291+1&lt;='Get Started'!$D$39,$B291&lt;=J$4,index($G$131:$Z$131,$B291)&gt;0),'Get Started'!$D$28*index($G$132:$Z$132,$B291),0)</f>
        <v>0</v>
      </c>
      <c r="K291" s="74">
        <f t="array" ref="K291">if(and(K$4-$B291+1&lt;='Get Started'!$D$39,$B291&lt;=K$4,index($G$131:$Z$131,$B291)&gt;0),'Get Started'!$D$28*index($G$132:$Z$132,$B291),0)</f>
        <v>0</v>
      </c>
      <c r="L291" s="74">
        <f t="array" ref="L291">if(and(L$4-$B291+1&lt;='Get Started'!$D$39,$B291&lt;=L$4,index($G$131:$Z$131,$B291)&gt;0),'Get Started'!$D$28*index($G$132:$Z$132,$B291),0)</f>
        <v>0</v>
      </c>
      <c r="M291" s="74">
        <f t="array" ref="M291">if(and(M$4-$B291+1&lt;='Get Started'!$D$39,$B291&lt;=M$4,index($G$131:$Z$131,$B291)&gt;0),'Get Started'!$D$28*index($G$132:$Z$132,$B291),0)</f>
        <v>0</v>
      </c>
      <c r="N291" s="74">
        <f t="array" ref="N291">if(and(N$4-$B291+1&lt;='Get Started'!$D$39,$B291&lt;=N$4,index($G$131:$Z$131,$B291)&gt;0),'Get Started'!$D$28*index($G$132:$Z$132,$B291),0)</f>
        <v>0</v>
      </c>
      <c r="O291" s="74">
        <f t="array" ref="O291">if(and(O$4-$B291+1&lt;='Get Started'!$D$39,$B291&lt;=O$4,index($G$131:$Z$131,$B291)&gt;0),'Get Started'!$D$28*index($G$132:$Z$132,$B291),0)</f>
        <v>0</v>
      </c>
      <c r="P291" s="74">
        <f t="array" ref="P291">if(and(P$4-$B291+1&lt;='Get Started'!$D$39,$B291&lt;=P$4,index($G$131:$Z$131,$B291)&gt;0),'Get Started'!$D$28*index($G$132:$Z$132,$B291),0)</f>
        <v>0</v>
      </c>
      <c r="Q291" s="74">
        <f t="array" ref="Q291">if(and(Q$4-$B291+1&lt;='Get Started'!$D$39,$B291&lt;=Q$4,index($G$131:$Z$131,$B291)&gt;0),'Get Started'!$D$28*index($G$132:$Z$132,$B291),0)</f>
        <v>0</v>
      </c>
      <c r="R291" s="74">
        <f t="array" ref="R291">if(and(R$4-$B291+1&lt;='Get Started'!$D$39,$B291&lt;=R$4,index($G$131:$Z$131,$B291)&gt;0),'Get Started'!$D$28*index($G$132:$Z$132,$B291),0)</f>
        <v>0</v>
      </c>
      <c r="S291" s="74">
        <f t="array" ref="S291">if(and(S$4-$B291+1&lt;='Get Started'!$D$39,$B291&lt;=S$4,index($G$131:$Z$131,$B291)&gt;0),'Get Started'!$D$28*index($G$132:$Z$132,$B291),0)</f>
        <v>0</v>
      </c>
      <c r="T291" s="74">
        <f t="array" ref="T291">if(and(T$4-$B291+1&lt;='Get Started'!$D$39,$B291&lt;=T$4,index($G$131:$Z$131,$B291)&gt;0),'Get Started'!$D$28*index($G$132:$Z$132,$B291),0)</f>
        <v>0</v>
      </c>
      <c r="U291" s="74">
        <f t="array" ref="U291">if(and(U$4-$B291+1&lt;='Get Started'!$D$39,$B291&lt;=U$4,index($G$131:$Z$131,$B291)&gt;0),'Get Started'!$D$28*index($G$132:$Z$132,$B291),0)</f>
        <v>0</v>
      </c>
      <c r="V291" s="74">
        <f t="array" ref="V291">if(and(V$4-$B291+1&lt;='Get Started'!$D$39,$B291&lt;=V$4,index($G$131:$Z$131,$B291)&gt;0),'Get Started'!$D$28*index($G$132:$Z$132,$B291),0)</f>
        <v>0</v>
      </c>
      <c r="W291" s="74">
        <f t="array" ref="W291">if(and(W$4-$B291+1&lt;='Get Started'!$D$39,$B291&lt;=W$4,index($G$131:$Z$131,$B291)&gt;0),'Get Started'!$D$28*index($G$132:$Z$132,$B291),0)</f>
        <v>0</v>
      </c>
      <c r="X291" s="74">
        <f t="array" ref="X291">if(and(X$4-$B291+1&lt;='Get Started'!$D$39,$B291&lt;=X$4,index($G$131:$Z$131,$B291)&gt;0),'Get Started'!$D$28*index($G$132:$Z$132,$B291),0)</f>
        <v>0</v>
      </c>
      <c r="Y291" s="74">
        <f t="array" ref="Y291">if(and(Y$4-$B291+1&lt;='Get Started'!$D$39,$B291&lt;=Y$4,index($G$131:$Z$131,$B291)&gt;0),'Get Started'!$D$28*index($G$132:$Z$132,$B291),0)</f>
        <v>0</v>
      </c>
      <c r="Z291" s="74">
        <f t="array" ref="Z291">if(and(Z$4-$B291+1&lt;='Get Started'!$D$39,$B291&lt;=Z$4,index($G$131:$Z$131,$B291)&gt;0),'Get Started'!$D$28*index($G$132:$Z$132,$B291),0)</f>
        <v>0</v>
      </c>
    </row>
    <row r="292" hidden="1" outlineLevel="1">
      <c r="B292" s="93">
        <f t="shared" si="161"/>
        <v>8</v>
      </c>
      <c r="C292" s="40"/>
      <c r="D292" s="16" t="s">
        <v>161</v>
      </c>
      <c r="E292" s="74">
        <f t="shared" si="108"/>
        <v>0</v>
      </c>
      <c r="F292" s="74"/>
      <c r="G292" s="74">
        <f t="array" ref="G292">if(and(G$4-$B292+1&lt;='Get Started'!$D$39,$B292&lt;=G$4,index($G$131:$Z$131,$B292)&gt;0),'Get Started'!$D$28*index($G$132:$Z$132,$B292),0)</f>
        <v>0</v>
      </c>
      <c r="H292" s="74">
        <f t="array" ref="H292">if(and(H$4-$B292+1&lt;='Get Started'!$D$39,$B292&lt;=H$4,index($G$131:$Z$131,$B292)&gt;0),'Get Started'!$D$28*index($G$132:$Z$132,$B292),0)</f>
        <v>0</v>
      </c>
      <c r="I292" s="74">
        <f t="array" ref="I292">if(and(I$4-$B292+1&lt;='Get Started'!$D$39,$B292&lt;=I$4,index($G$131:$Z$131,$B292)&gt;0),'Get Started'!$D$28*index($G$132:$Z$132,$B292),0)</f>
        <v>0</v>
      </c>
      <c r="J292" s="74">
        <f t="array" ref="J292">if(and(J$4-$B292+1&lt;='Get Started'!$D$39,$B292&lt;=J$4,index($G$131:$Z$131,$B292)&gt;0),'Get Started'!$D$28*index($G$132:$Z$132,$B292),0)</f>
        <v>0</v>
      </c>
      <c r="K292" s="74">
        <f t="array" ref="K292">if(and(K$4-$B292+1&lt;='Get Started'!$D$39,$B292&lt;=K$4,index($G$131:$Z$131,$B292)&gt;0),'Get Started'!$D$28*index($G$132:$Z$132,$B292),0)</f>
        <v>0</v>
      </c>
      <c r="L292" s="74">
        <f t="array" ref="L292">if(and(L$4-$B292+1&lt;='Get Started'!$D$39,$B292&lt;=L$4,index($G$131:$Z$131,$B292)&gt;0),'Get Started'!$D$28*index($G$132:$Z$132,$B292),0)</f>
        <v>0</v>
      </c>
      <c r="M292" s="74">
        <f t="array" ref="M292">if(and(M$4-$B292+1&lt;='Get Started'!$D$39,$B292&lt;=M$4,index($G$131:$Z$131,$B292)&gt;0),'Get Started'!$D$28*index($G$132:$Z$132,$B292),0)</f>
        <v>0</v>
      </c>
      <c r="N292" s="74">
        <f t="array" ref="N292">if(and(N$4-$B292+1&lt;='Get Started'!$D$39,$B292&lt;=N$4,index($G$131:$Z$131,$B292)&gt;0),'Get Started'!$D$28*index($G$132:$Z$132,$B292),0)</f>
        <v>0</v>
      </c>
      <c r="O292" s="74">
        <f t="array" ref="O292">if(and(O$4-$B292+1&lt;='Get Started'!$D$39,$B292&lt;=O$4,index($G$131:$Z$131,$B292)&gt;0),'Get Started'!$D$28*index($G$132:$Z$132,$B292),0)</f>
        <v>0</v>
      </c>
      <c r="P292" s="74">
        <f t="array" ref="P292">if(and(P$4-$B292+1&lt;='Get Started'!$D$39,$B292&lt;=P$4,index($G$131:$Z$131,$B292)&gt;0),'Get Started'!$D$28*index($G$132:$Z$132,$B292),0)</f>
        <v>0</v>
      </c>
      <c r="Q292" s="74">
        <f t="array" ref="Q292">if(and(Q$4-$B292+1&lt;='Get Started'!$D$39,$B292&lt;=Q$4,index($G$131:$Z$131,$B292)&gt;0),'Get Started'!$D$28*index($G$132:$Z$132,$B292),0)</f>
        <v>0</v>
      </c>
      <c r="R292" s="74">
        <f t="array" ref="R292">if(and(R$4-$B292+1&lt;='Get Started'!$D$39,$B292&lt;=R$4,index($G$131:$Z$131,$B292)&gt;0),'Get Started'!$D$28*index($G$132:$Z$132,$B292),0)</f>
        <v>0</v>
      </c>
      <c r="S292" s="74">
        <f t="array" ref="S292">if(and(S$4-$B292+1&lt;='Get Started'!$D$39,$B292&lt;=S$4,index($G$131:$Z$131,$B292)&gt;0),'Get Started'!$D$28*index($G$132:$Z$132,$B292),0)</f>
        <v>0</v>
      </c>
      <c r="T292" s="74">
        <f t="array" ref="T292">if(and(T$4-$B292+1&lt;='Get Started'!$D$39,$B292&lt;=T$4,index($G$131:$Z$131,$B292)&gt;0),'Get Started'!$D$28*index($G$132:$Z$132,$B292),0)</f>
        <v>0</v>
      </c>
      <c r="U292" s="74">
        <f t="array" ref="U292">if(and(U$4-$B292+1&lt;='Get Started'!$D$39,$B292&lt;=U$4,index($G$131:$Z$131,$B292)&gt;0),'Get Started'!$D$28*index($G$132:$Z$132,$B292),0)</f>
        <v>0</v>
      </c>
      <c r="V292" s="74">
        <f t="array" ref="V292">if(and(V$4-$B292+1&lt;='Get Started'!$D$39,$B292&lt;=V$4,index($G$131:$Z$131,$B292)&gt;0),'Get Started'!$D$28*index($G$132:$Z$132,$B292),0)</f>
        <v>0</v>
      </c>
      <c r="W292" s="74">
        <f t="array" ref="W292">if(and(W$4-$B292+1&lt;='Get Started'!$D$39,$B292&lt;=W$4,index($G$131:$Z$131,$B292)&gt;0),'Get Started'!$D$28*index($G$132:$Z$132,$B292),0)</f>
        <v>0</v>
      </c>
      <c r="X292" s="74">
        <f t="array" ref="X292">if(and(X$4-$B292+1&lt;='Get Started'!$D$39,$B292&lt;=X$4,index($G$131:$Z$131,$B292)&gt;0),'Get Started'!$D$28*index($G$132:$Z$132,$B292),0)</f>
        <v>0</v>
      </c>
      <c r="Y292" s="74">
        <f t="array" ref="Y292">if(and(Y$4-$B292+1&lt;='Get Started'!$D$39,$B292&lt;=Y$4,index($G$131:$Z$131,$B292)&gt;0),'Get Started'!$D$28*index($G$132:$Z$132,$B292),0)</f>
        <v>0</v>
      </c>
      <c r="Z292" s="74">
        <f t="array" ref="Z292">if(and(Z$4-$B292+1&lt;='Get Started'!$D$39,$B292&lt;=Z$4,index($G$131:$Z$131,$B292)&gt;0),'Get Started'!$D$28*index($G$132:$Z$132,$B292),0)</f>
        <v>0</v>
      </c>
    </row>
    <row r="293" hidden="1" outlineLevel="1">
      <c r="B293" s="93">
        <f t="shared" si="161"/>
        <v>9</v>
      </c>
      <c r="C293" s="40"/>
      <c r="D293" s="16" t="s">
        <v>161</v>
      </c>
      <c r="E293" s="74">
        <f t="shared" si="108"/>
        <v>0</v>
      </c>
      <c r="F293" s="74"/>
      <c r="G293" s="74">
        <f t="array" ref="G293">if(and(G$4-$B293+1&lt;='Get Started'!$D$39,$B293&lt;=G$4,index($G$131:$Z$131,$B293)&gt;0),'Get Started'!$D$28*index($G$132:$Z$132,$B293),0)</f>
        <v>0</v>
      </c>
      <c r="H293" s="74">
        <f t="array" ref="H293">if(and(H$4-$B293+1&lt;='Get Started'!$D$39,$B293&lt;=H$4,index($G$131:$Z$131,$B293)&gt;0),'Get Started'!$D$28*index($G$132:$Z$132,$B293),0)</f>
        <v>0</v>
      </c>
      <c r="I293" s="74">
        <f t="array" ref="I293">if(and(I$4-$B293+1&lt;='Get Started'!$D$39,$B293&lt;=I$4,index($G$131:$Z$131,$B293)&gt;0),'Get Started'!$D$28*index($G$132:$Z$132,$B293),0)</f>
        <v>0</v>
      </c>
      <c r="J293" s="74">
        <f t="array" ref="J293">if(and(J$4-$B293+1&lt;='Get Started'!$D$39,$B293&lt;=J$4,index($G$131:$Z$131,$B293)&gt;0),'Get Started'!$D$28*index($G$132:$Z$132,$B293),0)</f>
        <v>0</v>
      </c>
      <c r="K293" s="74">
        <f t="array" ref="K293">if(and(K$4-$B293+1&lt;='Get Started'!$D$39,$B293&lt;=K$4,index($G$131:$Z$131,$B293)&gt;0),'Get Started'!$D$28*index($G$132:$Z$132,$B293),0)</f>
        <v>0</v>
      </c>
      <c r="L293" s="74">
        <f t="array" ref="L293">if(and(L$4-$B293+1&lt;='Get Started'!$D$39,$B293&lt;=L$4,index($G$131:$Z$131,$B293)&gt;0),'Get Started'!$D$28*index($G$132:$Z$132,$B293),0)</f>
        <v>0</v>
      </c>
      <c r="M293" s="74">
        <f t="array" ref="M293">if(and(M$4-$B293+1&lt;='Get Started'!$D$39,$B293&lt;=M$4,index($G$131:$Z$131,$B293)&gt;0),'Get Started'!$D$28*index($G$132:$Z$132,$B293),0)</f>
        <v>0</v>
      </c>
      <c r="N293" s="74">
        <f t="array" ref="N293">if(and(N$4-$B293+1&lt;='Get Started'!$D$39,$B293&lt;=N$4,index($G$131:$Z$131,$B293)&gt;0),'Get Started'!$D$28*index($G$132:$Z$132,$B293),0)</f>
        <v>0</v>
      </c>
      <c r="O293" s="74">
        <f t="array" ref="O293">if(and(O$4-$B293+1&lt;='Get Started'!$D$39,$B293&lt;=O$4,index($G$131:$Z$131,$B293)&gt;0),'Get Started'!$D$28*index($G$132:$Z$132,$B293),0)</f>
        <v>0</v>
      </c>
      <c r="P293" s="74">
        <f t="array" ref="P293">if(and(P$4-$B293+1&lt;='Get Started'!$D$39,$B293&lt;=P$4,index($G$131:$Z$131,$B293)&gt;0),'Get Started'!$D$28*index($G$132:$Z$132,$B293),0)</f>
        <v>0</v>
      </c>
      <c r="Q293" s="74">
        <f t="array" ref="Q293">if(and(Q$4-$B293+1&lt;='Get Started'!$D$39,$B293&lt;=Q$4,index($G$131:$Z$131,$B293)&gt;0),'Get Started'!$D$28*index($G$132:$Z$132,$B293),0)</f>
        <v>0</v>
      </c>
      <c r="R293" s="74">
        <f t="array" ref="R293">if(and(R$4-$B293+1&lt;='Get Started'!$D$39,$B293&lt;=R$4,index($G$131:$Z$131,$B293)&gt;0),'Get Started'!$D$28*index($G$132:$Z$132,$B293),0)</f>
        <v>0</v>
      </c>
      <c r="S293" s="74">
        <f t="array" ref="S293">if(and(S$4-$B293+1&lt;='Get Started'!$D$39,$B293&lt;=S$4,index($G$131:$Z$131,$B293)&gt;0),'Get Started'!$D$28*index($G$132:$Z$132,$B293),0)</f>
        <v>0</v>
      </c>
      <c r="T293" s="74">
        <f t="array" ref="T293">if(and(T$4-$B293+1&lt;='Get Started'!$D$39,$B293&lt;=T$4,index($G$131:$Z$131,$B293)&gt;0),'Get Started'!$D$28*index($G$132:$Z$132,$B293),0)</f>
        <v>0</v>
      </c>
      <c r="U293" s="74">
        <f t="array" ref="U293">if(and(U$4-$B293+1&lt;='Get Started'!$D$39,$B293&lt;=U$4,index($G$131:$Z$131,$B293)&gt;0),'Get Started'!$D$28*index($G$132:$Z$132,$B293),0)</f>
        <v>0</v>
      </c>
      <c r="V293" s="74">
        <f t="array" ref="V293">if(and(V$4-$B293+1&lt;='Get Started'!$D$39,$B293&lt;=V$4,index($G$131:$Z$131,$B293)&gt;0),'Get Started'!$D$28*index($G$132:$Z$132,$B293),0)</f>
        <v>0</v>
      </c>
      <c r="W293" s="74">
        <f t="array" ref="W293">if(and(W$4-$B293+1&lt;='Get Started'!$D$39,$B293&lt;=W$4,index($G$131:$Z$131,$B293)&gt;0),'Get Started'!$D$28*index($G$132:$Z$132,$B293),0)</f>
        <v>0</v>
      </c>
      <c r="X293" s="74">
        <f t="array" ref="X293">if(and(X$4-$B293+1&lt;='Get Started'!$D$39,$B293&lt;=X$4,index($G$131:$Z$131,$B293)&gt;0),'Get Started'!$D$28*index($G$132:$Z$132,$B293),0)</f>
        <v>0</v>
      </c>
      <c r="Y293" s="74">
        <f t="array" ref="Y293">if(and(Y$4-$B293+1&lt;='Get Started'!$D$39,$B293&lt;=Y$4,index($G$131:$Z$131,$B293)&gt;0),'Get Started'!$D$28*index($G$132:$Z$132,$B293),0)</f>
        <v>0</v>
      </c>
      <c r="Z293" s="74">
        <f t="array" ref="Z293">if(and(Z$4-$B293+1&lt;='Get Started'!$D$39,$B293&lt;=Z$4,index($G$131:$Z$131,$B293)&gt;0),'Get Started'!$D$28*index($G$132:$Z$132,$B293),0)</f>
        <v>0</v>
      </c>
    </row>
    <row r="294" hidden="1" outlineLevel="1">
      <c r="B294" s="93">
        <f t="shared" si="161"/>
        <v>10</v>
      </c>
      <c r="C294" s="40"/>
      <c r="D294" s="16" t="s">
        <v>161</v>
      </c>
      <c r="E294" s="74">
        <f t="shared" si="108"/>
        <v>0</v>
      </c>
      <c r="F294" s="74"/>
      <c r="G294" s="74">
        <f t="array" ref="G294">if(and(G$4-$B294+1&lt;='Get Started'!$D$39,$B294&lt;=G$4,index($G$131:$Z$131,$B294)&gt;0),'Get Started'!$D$28*index($G$132:$Z$132,$B294),0)</f>
        <v>0</v>
      </c>
      <c r="H294" s="74">
        <f t="array" ref="H294">if(and(H$4-$B294+1&lt;='Get Started'!$D$39,$B294&lt;=H$4,index($G$131:$Z$131,$B294)&gt;0),'Get Started'!$D$28*index($G$132:$Z$132,$B294),0)</f>
        <v>0</v>
      </c>
      <c r="I294" s="74">
        <f t="array" ref="I294">if(and(I$4-$B294+1&lt;='Get Started'!$D$39,$B294&lt;=I$4,index($G$131:$Z$131,$B294)&gt;0),'Get Started'!$D$28*index($G$132:$Z$132,$B294),0)</f>
        <v>0</v>
      </c>
      <c r="J294" s="74">
        <f t="array" ref="J294">if(and(J$4-$B294+1&lt;='Get Started'!$D$39,$B294&lt;=J$4,index($G$131:$Z$131,$B294)&gt;0),'Get Started'!$D$28*index($G$132:$Z$132,$B294),0)</f>
        <v>0</v>
      </c>
      <c r="K294" s="74">
        <f t="array" ref="K294">if(and(K$4-$B294+1&lt;='Get Started'!$D$39,$B294&lt;=K$4,index($G$131:$Z$131,$B294)&gt;0),'Get Started'!$D$28*index($G$132:$Z$132,$B294),0)</f>
        <v>0</v>
      </c>
      <c r="L294" s="74">
        <f t="array" ref="L294">if(and(L$4-$B294+1&lt;='Get Started'!$D$39,$B294&lt;=L$4,index($G$131:$Z$131,$B294)&gt;0),'Get Started'!$D$28*index($G$132:$Z$132,$B294),0)</f>
        <v>0</v>
      </c>
      <c r="M294" s="74">
        <f t="array" ref="M294">if(and(M$4-$B294+1&lt;='Get Started'!$D$39,$B294&lt;=M$4,index($G$131:$Z$131,$B294)&gt;0),'Get Started'!$D$28*index($G$132:$Z$132,$B294),0)</f>
        <v>0</v>
      </c>
      <c r="N294" s="74">
        <f t="array" ref="N294">if(and(N$4-$B294+1&lt;='Get Started'!$D$39,$B294&lt;=N$4,index($G$131:$Z$131,$B294)&gt;0),'Get Started'!$D$28*index($G$132:$Z$132,$B294),0)</f>
        <v>0</v>
      </c>
      <c r="O294" s="74">
        <f t="array" ref="O294">if(and(O$4-$B294+1&lt;='Get Started'!$D$39,$B294&lt;=O$4,index($G$131:$Z$131,$B294)&gt;0),'Get Started'!$D$28*index($G$132:$Z$132,$B294),0)</f>
        <v>0</v>
      </c>
      <c r="P294" s="74">
        <f t="array" ref="P294">if(and(P$4-$B294+1&lt;='Get Started'!$D$39,$B294&lt;=P$4,index($G$131:$Z$131,$B294)&gt;0),'Get Started'!$D$28*index($G$132:$Z$132,$B294),0)</f>
        <v>0</v>
      </c>
      <c r="Q294" s="74">
        <f t="array" ref="Q294">if(and(Q$4-$B294+1&lt;='Get Started'!$D$39,$B294&lt;=Q$4,index($G$131:$Z$131,$B294)&gt;0),'Get Started'!$D$28*index($G$132:$Z$132,$B294),0)</f>
        <v>0</v>
      </c>
      <c r="R294" s="74">
        <f t="array" ref="R294">if(and(R$4-$B294+1&lt;='Get Started'!$D$39,$B294&lt;=R$4,index($G$131:$Z$131,$B294)&gt;0),'Get Started'!$D$28*index($G$132:$Z$132,$B294),0)</f>
        <v>0</v>
      </c>
      <c r="S294" s="74">
        <f t="array" ref="S294">if(and(S$4-$B294+1&lt;='Get Started'!$D$39,$B294&lt;=S$4,index($G$131:$Z$131,$B294)&gt;0),'Get Started'!$D$28*index($G$132:$Z$132,$B294),0)</f>
        <v>0</v>
      </c>
      <c r="T294" s="74">
        <f t="array" ref="T294">if(and(T$4-$B294+1&lt;='Get Started'!$D$39,$B294&lt;=T$4,index($G$131:$Z$131,$B294)&gt;0),'Get Started'!$D$28*index($G$132:$Z$132,$B294),0)</f>
        <v>0</v>
      </c>
      <c r="U294" s="74">
        <f t="array" ref="U294">if(and(U$4-$B294+1&lt;='Get Started'!$D$39,$B294&lt;=U$4,index($G$131:$Z$131,$B294)&gt;0),'Get Started'!$D$28*index($G$132:$Z$132,$B294),0)</f>
        <v>0</v>
      </c>
      <c r="V294" s="74">
        <f t="array" ref="V294">if(and(V$4-$B294+1&lt;='Get Started'!$D$39,$B294&lt;=V$4,index($G$131:$Z$131,$B294)&gt;0),'Get Started'!$D$28*index($G$132:$Z$132,$B294),0)</f>
        <v>0</v>
      </c>
      <c r="W294" s="74">
        <f t="array" ref="W294">if(and(W$4-$B294+1&lt;='Get Started'!$D$39,$B294&lt;=W$4,index($G$131:$Z$131,$B294)&gt;0),'Get Started'!$D$28*index($G$132:$Z$132,$B294),0)</f>
        <v>0</v>
      </c>
      <c r="X294" s="74">
        <f t="array" ref="X294">if(and(X$4-$B294+1&lt;='Get Started'!$D$39,$B294&lt;=X$4,index($G$131:$Z$131,$B294)&gt;0),'Get Started'!$D$28*index($G$132:$Z$132,$B294),0)</f>
        <v>0</v>
      </c>
      <c r="Y294" s="74">
        <f t="array" ref="Y294">if(and(Y$4-$B294+1&lt;='Get Started'!$D$39,$B294&lt;=Y$4,index($G$131:$Z$131,$B294)&gt;0),'Get Started'!$D$28*index($G$132:$Z$132,$B294),0)</f>
        <v>0</v>
      </c>
      <c r="Z294" s="74">
        <f t="array" ref="Z294">if(and(Z$4-$B294+1&lt;='Get Started'!$D$39,$B294&lt;=Z$4,index($G$131:$Z$131,$B294)&gt;0),'Get Started'!$D$28*index($G$132:$Z$132,$B294),0)</f>
        <v>0</v>
      </c>
    </row>
    <row r="295" hidden="1" outlineLevel="1">
      <c r="B295" s="93">
        <f t="shared" si="161"/>
        <v>11</v>
      </c>
      <c r="C295" s="40"/>
      <c r="D295" s="16" t="s">
        <v>161</v>
      </c>
      <c r="E295" s="74">
        <f t="shared" si="108"/>
        <v>0</v>
      </c>
      <c r="F295" s="74"/>
      <c r="G295" s="74">
        <f t="array" ref="G295">if(and(G$4-$B295+1&lt;='Get Started'!$D$39,$B295&lt;=G$4,index($G$131:$Z$131,$B295)&gt;0),'Get Started'!$D$28*index($G$132:$Z$132,$B295),0)</f>
        <v>0</v>
      </c>
      <c r="H295" s="74">
        <f t="array" ref="H295">if(and(H$4-$B295+1&lt;='Get Started'!$D$39,$B295&lt;=H$4,index($G$131:$Z$131,$B295)&gt;0),'Get Started'!$D$28*index($G$132:$Z$132,$B295),0)</f>
        <v>0</v>
      </c>
      <c r="I295" s="74">
        <f t="array" ref="I295">if(and(I$4-$B295+1&lt;='Get Started'!$D$39,$B295&lt;=I$4,index($G$131:$Z$131,$B295)&gt;0),'Get Started'!$D$28*index($G$132:$Z$132,$B295),0)</f>
        <v>0</v>
      </c>
      <c r="J295" s="74">
        <f t="array" ref="J295">if(and(J$4-$B295+1&lt;='Get Started'!$D$39,$B295&lt;=J$4,index($G$131:$Z$131,$B295)&gt;0),'Get Started'!$D$28*index($G$132:$Z$132,$B295),0)</f>
        <v>0</v>
      </c>
      <c r="K295" s="74">
        <f t="array" ref="K295">if(and(K$4-$B295+1&lt;='Get Started'!$D$39,$B295&lt;=K$4,index($G$131:$Z$131,$B295)&gt;0),'Get Started'!$D$28*index($G$132:$Z$132,$B295),0)</f>
        <v>0</v>
      </c>
      <c r="L295" s="74">
        <f t="array" ref="L295">if(and(L$4-$B295+1&lt;='Get Started'!$D$39,$B295&lt;=L$4,index($G$131:$Z$131,$B295)&gt;0),'Get Started'!$D$28*index($G$132:$Z$132,$B295),0)</f>
        <v>0</v>
      </c>
      <c r="M295" s="74">
        <f t="array" ref="M295">if(and(M$4-$B295+1&lt;='Get Started'!$D$39,$B295&lt;=M$4,index($G$131:$Z$131,$B295)&gt;0),'Get Started'!$D$28*index($G$132:$Z$132,$B295),0)</f>
        <v>0</v>
      </c>
      <c r="N295" s="74">
        <f t="array" ref="N295">if(and(N$4-$B295+1&lt;='Get Started'!$D$39,$B295&lt;=N$4,index($G$131:$Z$131,$B295)&gt;0),'Get Started'!$D$28*index($G$132:$Z$132,$B295),0)</f>
        <v>0</v>
      </c>
      <c r="O295" s="74">
        <f t="array" ref="O295">if(and(O$4-$B295+1&lt;='Get Started'!$D$39,$B295&lt;=O$4,index($G$131:$Z$131,$B295)&gt;0),'Get Started'!$D$28*index($G$132:$Z$132,$B295),0)</f>
        <v>0</v>
      </c>
      <c r="P295" s="74">
        <f t="array" ref="P295">if(and(P$4-$B295+1&lt;='Get Started'!$D$39,$B295&lt;=P$4,index($G$131:$Z$131,$B295)&gt;0),'Get Started'!$D$28*index($G$132:$Z$132,$B295),0)</f>
        <v>0</v>
      </c>
      <c r="Q295" s="74">
        <f t="array" ref="Q295">if(and(Q$4-$B295+1&lt;='Get Started'!$D$39,$B295&lt;=Q$4,index($G$131:$Z$131,$B295)&gt;0),'Get Started'!$D$28*index($G$132:$Z$132,$B295),0)</f>
        <v>0</v>
      </c>
      <c r="R295" s="74">
        <f t="array" ref="R295">if(and(R$4-$B295+1&lt;='Get Started'!$D$39,$B295&lt;=R$4,index($G$131:$Z$131,$B295)&gt;0),'Get Started'!$D$28*index($G$132:$Z$132,$B295),0)</f>
        <v>0</v>
      </c>
      <c r="S295" s="74">
        <f t="array" ref="S295">if(and(S$4-$B295+1&lt;='Get Started'!$D$39,$B295&lt;=S$4,index($G$131:$Z$131,$B295)&gt;0),'Get Started'!$D$28*index($G$132:$Z$132,$B295),0)</f>
        <v>0</v>
      </c>
      <c r="T295" s="74">
        <f t="array" ref="T295">if(and(T$4-$B295+1&lt;='Get Started'!$D$39,$B295&lt;=T$4,index($G$131:$Z$131,$B295)&gt;0),'Get Started'!$D$28*index($G$132:$Z$132,$B295),0)</f>
        <v>0</v>
      </c>
      <c r="U295" s="74">
        <f t="array" ref="U295">if(and(U$4-$B295+1&lt;='Get Started'!$D$39,$B295&lt;=U$4,index($G$131:$Z$131,$B295)&gt;0),'Get Started'!$D$28*index($G$132:$Z$132,$B295),0)</f>
        <v>0</v>
      </c>
      <c r="V295" s="74">
        <f t="array" ref="V295">if(and(V$4-$B295+1&lt;='Get Started'!$D$39,$B295&lt;=V$4,index($G$131:$Z$131,$B295)&gt;0),'Get Started'!$D$28*index($G$132:$Z$132,$B295),0)</f>
        <v>0</v>
      </c>
      <c r="W295" s="74">
        <f t="array" ref="W295">if(and(W$4-$B295+1&lt;='Get Started'!$D$39,$B295&lt;=W$4,index($G$131:$Z$131,$B295)&gt;0),'Get Started'!$D$28*index($G$132:$Z$132,$B295),0)</f>
        <v>0</v>
      </c>
      <c r="X295" s="74">
        <f t="array" ref="X295">if(and(X$4-$B295+1&lt;='Get Started'!$D$39,$B295&lt;=X$4,index($G$131:$Z$131,$B295)&gt;0),'Get Started'!$D$28*index($G$132:$Z$132,$B295),0)</f>
        <v>0</v>
      </c>
      <c r="Y295" s="74">
        <f t="array" ref="Y295">if(and(Y$4-$B295+1&lt;='Get Started'!$D$39,$B295&lt;=Y$4,index($G$131:$Z$131,$B295)&gt;0),'Get Started'!$D$28*index($G$132:$Z$132,$B295),0)</f>
        <v>0</v>
      </c>
      <c r="Z295" s="74">
        <f t="array" ref="Z295">if(and(Z$4-$B295+1&lt;='Get Started'!$D$39,$B295&lt;=Z$4,index($G$131:$Z$131,$B295)&gt;0),'Get Started'!$D$28*index($G$132:$Z$132,$B295),0)</f>
        <v>0</v>
      </c>
    </row>
    <row r="296" hidden="1" outlineLevel="1">
      <c r="B296" s="93">
        <f t="shared" si="161"/>
        <v>12</v>
      </c>
      <c r="C296" s="40"/>
      <c r="D296" s="16" t="s">
        <v>161</v>
      </c>
      <c r="E296" s="74">
        <f t="shared" si="108"/>
        <v>0</v>
      </c>
      <c r="F296" s="74"/>
      <c r="G296" s="74">
        <f t="array" ref="G296">if(and(G$4-$B296+1&lt;='Get Started'!$D$39,$B296&lt;=G$4,index($G$131:$Z$131,$B296)&gt;0),'Get Started'!$D$28*index($G$132:$Z$132,$B296),0)</f>
        <v>0</v>
      </c>
      <c r="H296" s="74">
        <f t="array" ref="H296">if(and(H$4-$B296+1&lt;='Get Started'!$D$39,$B296&lt;=H$4,index($G$131:$Z$131,$B296)&gt;0),'Get Started'!$D$28*index($G$132:$Z$132,$B296),0)</f>
        <v>0</v>
      </c>
      <c r="I296" s="74">
        <f t="array" ref="I296">if(and(I$4-$B296+1&lt;='Get Started'!$D$39,$B296&lt;=I$4,index($G$131:$Z$131,$B296)&gt;0),'Get Started'!$D$28*index($G$132:$Z$132,$B296),0)</f>
        <v>0</v>
      </c>
      <c r="J296" s="74">
        <f t="array" ref="J296">if(and(J$4-$B296+1&lt;='Get Started'!$D$39,$B296&lt;=J$4,index($G$131:$Z$131,$B296)&gt;0),'Get Started'!$D$28*index($G$132:$Z$132,$B296),0)</f>
        <v>0</v>
      </c>
      <c r="K296" s="74">
        <f t="array" ref="K296">if(and(K$4-$B296+1&lt;='Get Started'!$D$39,$B296&lt;=K$4,index($G$131:$Z$131,$B296)&gt;0),'Get Started'!$D$28*index($G$132:$Z$132,$B296),0)</f>
        <v>0</v>
      </c>
      <c r="L296" s="74">
        <f t="array" ref="L296">if(and(L$4-$B296+1&lt;='Get Started'!$D$39,$B296&lt;=L$4,index($G$131:$Z$131,$B296)&gt;0),'Get Started'!$D$28*index($G$132:$Z$132,$B296),0)</f>
        <v>0</v>
      </c>
      <c r="M296" s="74">
        <f t="array" ref="M296">if(and(M$4-$B296+1&lt;='Get Started'!$D$39,$B296&lt;=M$4,index($G$131:$Z$131,$B296)&gt;0),'Get Started'!$D$28*index($G$132:$Z$132,$B296),0)</f>
        <v>0</v>
      </c>
      <c r="N296" s="74">
        <f t="array" ref="N296">if(and(N$4-$B296+1&lt;='Get Started'!$D$39,$B296&lt;=N$4,index($G$131:$Z$131,$B296)&gt;0),'Get Started'!$D$28*index($G$132:$Z$132,$B296),0)</f>
        <v>0</v>
      </c>
      <c r="O296" s="74">
        <f t="array" ref="O296">if(and(O$4-$B296+1&lt;='Get Started'!$D$39,$B296&lt;=O$4,index($G$131:$Z$131,$B296)&gt;0),'Get Started'!$D$28*index($G$132:$Z$132,$B296),0)</f>
        <v>0</v>
      </c>
      <c r="P296" s="74">
        <f t="array" ref="P296">if(and(P$4-$B296+1&lt;='Get Started'!$D$39,$B296&lt;=P$4,index($G$131:$Z$131,$B296)&gt;0),'Get Started'!$D$28*index($G$132:$Z$132,$B296),0)</f>
        <v>0</v>
      </c>
      <c r="Q296" s="74">
        <f t="array" ref="Q296">if(and(Q$4-$B296+1&lt;='Get Started'!$D$39,$B296&lt;=Q$4,index($G$131:$Z$131,$B296)&gt;0),'Get Started'!$D$28*index($G$132:$Z$132,$B296),0)</f>
        <v>0</v>
      </c>
      <c r="R296" s="74">
        <f t="array" ref="R296">if(and(R$4-$B296+1&lt;='Get Started'!$D$39,$B296&lt;=R$4,index($G$131:$Z$131,$B296)&gt;0),'Get Started'!$D$28*index($G$132:$Z$132,$B296),0)</f>
        <v>0</v>
      </c>
      <c r="S296" s="74">
        <f t="array" ref="S296">if(and(S$4-$B296+1&lt;='Get Started'!$D$39,$B296&lt;=S$4,index($G$131:$Z$131,$B296)&gt;0),'Get Started'!$D$28*index($G$132:$Z$132,$B296),0)</f>
        <v>0</v>
      </c>
      <c r="T296" s="74">
        <f t="array" ref="T296">if(and(T$4-$B296+1&lt;='Get Started'!$D$39,$B296&lt;=T$4,index($G$131:$Z$131,$B296)&gt;0),'Get Started'!$D$28*index($G$132:$Z$132,$B296),0)</f>
        <v>0</v>
      </c>
      <c r="U296" s="74">
        <f t="array" ref="U296">if(and(U$4-$B296+1&lt;='Get Started'!$D$39,$B296&lt;=U$4,index($G$131:$Z$131,$B296)&gt;0),'Get Started'!$D$28*index($G$132:$Z$132,$B296),0)</f>
        <v>0</v>
      </c>
      <c r="V296" s="74">
        <f t="array" ref="V296">if(and(V$4-$B296+1&lt;='Get Started'!$D$39,$B296&lt;=V$4,index($G$131:$Z$131,$B296)&gt;0),'Get Started'!$D$28*index($G$132:$Z$132,$B296),0)</f>
        <v>0</v>
      </c>
      <c r="W296" s="74">
        <f t="array" ref="W296">if(and(W$4-$B296+1&lt;='Get Started'!$D$39,$B296&lt;=W$4,index($G$131:$Z$131,$B296)&gt;0),'Get Started'!$D$28*index($G$132:$Z$132,$B296),0)</f>
        <v>0</v>
      </c>
      <c r="X296" s="74">
        <f t="array" ref="X296">if(and(X$4-$B296+1&lt;='Get Started'!$D$39,$B296&lt;=X$4,index($G$131:$Z$131,$B296)&gt;0),'Get Started'!$D$28*index($G$132:$Z$132,$B296),0)</f>
        <v>0</v>
      </c>
      <c r="Y296" s="74">
        <f t="array" ref="Y296">if(and(Y$4-$B296+1&lt;='Get Started'!$D$39,$B296&lt;=Y$4,index($G$131:$Z$131,$B296)&gt;0),'Get Started'!$D$28*index($G$132:$Z$132,$B296),0)</f>
        <v>0</v>
      </c>
      <c r="Z296" s="74">
        <f t="array" ref="Z296">if(and(Z$4-$B296+1&lt;='Get Started'!$D$39,$B296&lt;=Z$4,index($G$131:$Z$131,$B296)&gt;0),'Get Started'!$D$28*index($G$132:$Z$132,$B296),0)</f>
        <v>0</v>
      </c>
    </row>
    <row r="297" hidden="1" outlineLevel="1">
      <c r="B297" s="93">
        <f t="shared" si="161"/>
        <v>13</v>
      </c>
      <c r="C297" s="40"/>
      <c r="D297" s="16" t="s">
        <v>161</v>
      </c>
      <c r="E297" s="74">
        <f t="shared" si="108"/>
        <v>0</v>
      </c>
      <c r="F297" s="74"/>
      <c r="G297" s="74">
        <f t="array" ref="G297">if(and(G$4-$B297+1&lt;='Get Started'!$D$39,$B297&lt;=G$4,index($G$131:$Z$131,$B297)&gt;0),'Get Started'!$D$28*index($G$132:$Z$132,$B297),0)</f>
        <v>0</v>
      </c>
      <c r="H297" s="74">
        <f t="array" ref="H297">if(and(H$4-$B297+1&lt;='Get Started'!$D$39,$B297&lt;=H$4,index($G$131:$Z$131,$B297)&gt;0),'Get Started'!$D$28*index($G$132:$Z$132,$B297),0)</f>
        <v>0</v>
      </c>
      <c r="I297" s="74">
        <f t="array" ref="I297">if(and(I$4-$B297+1&lt;='Get Started'!$D$39,$B297&lt;=I$4,index($G$131:$Z$131,$B297)&gt;0),'Get Started'!$D$28*index($G$132:$Z$132,$B297),0)</f>
        <v>0</v>
      </c>
      <c r="J297" s="74">
        <f t="array" ref="J297">if(and(J$4-$B297+1&lt;='Get Started'!$D$39,$B297&lt;=J$4,index($G$131:$Z$131,$B297)&gt;0),'Get Started'!$D$28*index($G$132:$Z$132,$B297),0)</f>
        <v>0</v>
      </c>
      <c r="K297" s="74">
        <f t="array" ref="K297">if(and(K$4-$B297+1&lt;='Get Started'!$D$39,$B297&lt;=K$4,index($G$131:$Z$131,$B297)&gt;0),'Get Started'!$D$28*index($G$132:$Z$132,$B297),0)</f>
        <v>0</v>
      </c>
      <c r="L297" s="74">
        <f t="array" ref="L297">if(and(L$4-$B297+1&lt;='Get Started'!$D$39,$B297&lt;=L$4,index($G$131:$Z$131,$B297)&gt;0),'Get Started'!$D$28*index($G$132:$Z$132,$B297),0)</f>
        <v>0</v>
      </c>
      <c r="M297" s="74">
        <f t="array" ref="M297">if(and(M$4-$B297+1&lt;='Get Started'!$D$39,$B297&lt;=M$4,index($G$131:$Z$131,$B297)&gt;0),'Get Started'!$D$28*index($G$132:$Z$132,$B297),0)</f>
        <v>0</v>
      </c>
      <c r="N297" s="74">
        <f t="array" ref="N297">if(and(N$4-$B297+1&lt;='Get Started'!$D$39,$B297&lt;=N$4,index($G$131:$Z$131,$B297)&gt;0),'Get Started'!$D$28*index($G$132:$Z$132,$B297),0)</f>
        <v>0</v>
      </c>
      <c r="O297" s="74">
        <f t="array" ref="O297">if(and(O$4-$B297+1&lt;='Get Started'!$D$39,$B297&lt;=O$4,index($G$131:$Z$131,$B297)&gt;0),'Get Started'!$D$28*index($G$132:$Z$132,$B297),0)</f>
        <v>0</v>
      </c>
      <c r="P297" s="74">
        <f t="array" ref="P297">if(and(P$4-$B297+1&lt;='Get Started'!$D$39,$B297&lt;=P$4,index($G$131:$Z$131,$B297)&gt;0),'Get Started'!$D$28*index($G$132:$Z$132,$B297),0)</f>
        <v>0</v>
      </c>
      <c r="Q297" s="74">
        <f t="array" ref="Q297">if(and(Q$4-$B297+1&lt;='Get Started'!$D$39,$B297&lt;=Q$4,index($G$131:$Z$131,$B297)&gt;0),'Get Started'!$D$28*index($G$132:$Z$132,$B297),0)</f>
        <v>0</v>
      </c>
      <c r="R297" s="74">
        <f t="array" ref="R297">if(and(R$4-$B297+1&lt;='Get Started'!$D$39,$B297&lt;=R$4,index($G$131:$Z$131,$B297)&gt;0),'Get Started'!$D$28*index($G$132:$Z$132,$B297),0)</f>
        <v>0</v>
      </c>
      <c r="S297" s="74">
        <f t="array" ref="S297">if(and(S$4-$B297+1&lt;='Get Started'!$D$39,$B297&lt;=S$4,index($G$131:$Z$131,$B297)&gt;0),'Get Started'!$D$28*index($G$132:$Z$132,$B297),0)</f>
        <v>0</v>
      </c>
      <c r="T297" s="74">
        <f t="array" ref="T297">if(and(T$4-$B297+1&lt;='Get Started'!$D$39,$B297&lt;=T$4,index($G$131:$Z$131,$B297)&gt;0),'Get Started'!$D$28*index($G$132:$Z$132,$B297),0)</f>
        <v>0</v>
      </c>
      <c r="U297" s="74">
        <f t="array" ref="U297">if(and(U$4-$B297+1&lt;='Get Started'!$D$39,$B297&lt;=U$4,index($G$131:$Z$131,$B297)&gt;0),'Get Started'!$D$28*index($G$132:$Z$132,$B297),0)</f>
        <v>0</v>
      </c>
      <c r="V297" s="74">
        <f t="array" ref="V297">if(and(V$4-$B297+1&lt;='Get Started'!$D$39,$B297&lt;=V$4,index($G$131:$Z$131,$B297)&gt;0),'Get Started'!$D$28*index($G$132:$Z$132,$B297),0)</f>
        <v>0</v>
      </c>
      <c r="W297" s="74">
        <f t="array" ref="W297">if(and(W$4-$B297+1&lt;='Get Started'!$D$39,$B297&lt;=W$4,index($G$131:$Z$131,$B297)&gt;0),'Get Started'!$D$28*index($G$132:$Z$132,$B297),0)</f>
        <v>0</v>
      </c>
      <c r="X297" s="74">
        <f t="array" ref="X297">if(and(X$4-$B297+1&lt;='Get Started'!$D$39,$B297&lt;=X$4,index($G$131:$Z$131,$B297)&gt;0),'Get Started'!$D$28*index($G$132:$Z$132,$B297),0)</f>
        <v>0</v>
      </c>
      <c r="Y297" s="74">
        <f t="array" ref="Y297">if(and(Y$4-$B297+1&lt;='Get Started'!$D$39,$B297&lt;=Y$4,index($G$131:$Z$131,$B297)&gt;0),'Get Started'!$D$28*index($G$132:$Z$132,$B297),0)</f>
        <v>0</v>
      </c>
      <c r="Z297" s="74">
        <f t="array" ref="Z297">if(and(Z$4-$B297+1&lt;='Get Started'!$D$39,$B297&lt;=Z$4,index($G$131:$Z$131,$B297)&gt;0),'Get Started'!$D$28*index($G$132:$Z$132,$B297),0)</f>
        <v>0</v>
      </c>
    </row>
    <row r="298" hidden="1" outlineLevel="1">
      <c r="B298" s="93">
        <f t="shared" si="161"/>
        <v>14</v>
      </c>
      <c r="C298" s="40"/>
      <c r="D298" s="16" t="s">
        <v>161</v>
      </c>
      <c r="E298" s="74">
        <f t="shared" si="108"/>
        <v>0</v>
      </c>
      <c r="F298" s="74"/>
      <c r="G298" s="74">
        <f t="array" ref="G298">if(and(G$4-$B298+1&lt;='Get Started'!$D$39,$B298&lt;=G$4,index($G$131:$Z$131,$B298)&gt;0),'Get Started'!$D$28*index($G$132:$Z$132,$B298),0)</f>
        <v>0</v>
      </c>
      <c r="H298" s="74">
        <f t="array" ref="H298">if(and(H$4-$B298+1&lt;='Get Started'!$D$39,$B298&lt;=H$4,index($G$131:$Z$131,$B298)&gt;0),'Get Started'!$D$28*index($G$132:$Z$132,$B298),0)</f>
        <v>0</v>
      </c>
      <c r="I298" s="74">
        <f t="array" ref="I298">if(and(I$4-$B298+1&lt;='Get Started'!$D$39,$B298&lt;=I$4,index($G$131:$Z$131,$B298)&gt;0),'Get Started'!$D$28*index($G$132:$Z$132,$B298),0)</f>
        <v>0</v>
      </c>
      <c r="J298" s="74">
        <f t="array" ref="J298">if(and(J$4-$B298+1&lt;='Get Started'!$D$39,$B298&lt;=J$4,index($G$131:$Z$131,$B298)&gt;0),'Get Started'!$D$28*index($G$132:$Z$132,$B298),0)</f>
        <v>0</v>
      </c>
      <c r="K298" s="74">
        <f t="array" ref="K298">if(and(K$4-$B298+1&lt;='Get Started'!$D$39,$B298&lt;=K$4,index($G$131:$Z$131,$B298)&gt;0),'Get Started'!$D$28*index($G$132:$Z$132,$B298),0)</f>
        <v>0</v>
      </c>
      <c r="L298" s="74">
        <f t="array" ref="L298">if(and(L$4-$B298+1&lt;='Get Started'!$D$39,$B298&lt;=L$4,index($G$131:$Z$131,$B298)&gt;0),'Get Started'!$D$28*index($G$132:$Z$132,$B298),0)</f>
        <v>0</v>
      </c>
      <c r="M298" s="74">
        <f t="array" ref="M298">if(and(M$4-$B298+1&lt;='Get Started'!$D$39,$B298&lt;=M$4,index($G$131:$Z$131,$B298)&gt;0),'Get Started'!$D$28*index($G$132:$Z$132,$B298),0)</f>
        <v>0</v>
      </c>
      <c r="N298" s="74">
        <f t="array" ref="N298">if(and(N$4-$B298+1&lt;='Get Started'!$D$39,$B298&lt;=N$4,index($G$131:$Z$131,$B298)&gt;0),'Get Started'!$D$28*index($G$132:$Z$132,$B298),0)</f>
        <v>0</v>
      </c>
      <c r="O298" s="74">
        <f t="array" ref="O298">if(and(O$4-$B298+1&lt;='Get Started'!$D$39,$B298&lt;=O$4,index($G$131:$Z$131,$B298)&gt;0),'Get Started'!$D$28*index($G$132:$Z$132,$B298),0)</f>
        <v>0</v>
      </c>
      <c r="P298" s="74">
        <f t="array" ref="P298">if(and(P$4-$B298+1&lt;='Get Started'!$D$39,$B298&lt;=P$4,index($G$131:$Z$131,$B298)&gt;0),'Get Started'!$D$28*index($G$132:$Z$132,$B298),0)</f>
        <v>0</v>
      </c>
      <c r="Q298" s="74">
        <f t="array" ref="Q298">if(and(Q$4-$B298+1&lt;='Get Started'!$D$39,$B298&lt;=Q$4,index($G$131:$Z$131,$B298)&gt;0),'Get Started'!$D$28*index($G$132:$Z$132,$B298),0)</f>
        <v>0</v>
      </c>
      <c r="R298" s="74">
        <f t="array" ref="R298">if(and(R$4-$B298+1&lt;='Get Started'!$D$39,$B298&lt;=R$4,index($G$131:$Z$131,$B298)&gt;0),'Get Started'!$D$28*index($G$132:$Z$132,$B298),0)</f>
        <v>0</v>
      </c>
      <c r="S298" s="74">
        <f t="array" ref="S298">if(and(S$4-$B298+1&lt;='Get Started'!$D$39,$B298&lt;=S$4,index($G$131:$Z$131,$B298)&gt;0),'Get Started'!$D$28*index($G$132:$Z$132,$B298),0)</f>
        <v>0</v>
      </c>
      <c r="T298" s="74">
        <f t="array" ref="T298">if(and(T$4-$B298+1&lt;='Get Started'!$D$39,$B298&lt;=T$4,index($G$131:$Z$131,$B298)&gt;0),'Get Started'!$D$28*index($G$132:$Z$132,$B298),0)</f>
        <v>0</v>
      </c>
      <c r="U298" s="74">
        <f t="array" ref="U298">if(and(U$4-$B298+1&lt;='Get Started'!$D$39,$B298&lt;=U$4,index($G$131:$Z$131,$B298)&gt;0),'Get Started'!$D$28*index($G$132:$Z$132,$B298),0)</f>
        <v>0</v>
      </c>
      <c r="V298" s="74">
        <f t="array" ref="V298">if(and(V$4-$B298+1&lt;='Get Started'!$D$39,$B298&lt;=V$4,index($G$131:$Z$131,$B298)&gt;0),'Get Started'!$D$28*index($G$132:$Z$132,$B298),0)</f>
        <v>0</v>
      </c>
      <c r="W298" s="74">
        <f t="array" ref="W298">if(and(W$4-$B298+1&lt;='Get Started'!$D$39,$B298&lt;=W$4,index($G$131:$Z$131,$B298)&gt;0),'Get Started'!$D$28*index($G$132:$Z$132,$B298),0)</f>
        <v>0</v>
      </c>
      <c r="X298" s="74">
        <f t="array" ref="X298">if(and(X$4-$B298+1&lt;='Get Started'!$D$39,$B298&lt;=X$4,index($G$131:$Z$131,$B298)&gt;0),'Get Started'!$D$28*index($G$132:$Z$132,$B298),0)</f>
        <v>0</v>
      </c>
      <c r="Y298" s="74">
        <f t="array" ref="Y298">if(and(Y$4-$B298+1&lt;='Get Started'!$D$39,$B298&lt;=Y$4,index($G$131:$Z$131,$B298)&gt;0),'Get Started'!$D$28*index($G$132:$Z$132,$B298),0)</f>
        <v>0</v>
      </c>
      <c r="Z298" s="74">
        <f t="array" ref="Z298">if(and(Z$4-$B298+1&lt;='Get Started'!$D$39,$B298&lt;=Z$4,index($G$131:$Z$131,$B298)&gt;0),'Get Started'!$D$28*index($G$132:$Z$132,$B298),0)</f>
        <v>0</v>
      </c>
    </row>
    <row r="299" hidden="1" outlineLevel="1">
      <c r="B299" s="93">
        <f t="shared" si="161"/>
        <v>15</v>
      </c>
      <c r="C299" s="40"/>
      <c r="D299" s="16" t="s">
        <v>161</v>
      </c>
      <c r="E299" s="74">
        <f t="shared" si="108"/>
        <v>0</v>
      </c>
      <c r="F299" s="74"/>
      <c r="G299" s="74">
        <f t="array" ref="G299">if(and(G$4-$B299+1&lt;='Get Started'!$D$39,$B299&lt;=G$4,index($G$131:$Z$131,$B299)&gt;0),'Get Started'!$D$28*index($G$132:$Z$132,$B299),0)</f>
        <v>0</v>
      </c>
      <c r="H299" s="74">
        <f t="array" ref="H299">if(and(H$4-$B299+1&lt;='Get Started'!$D$39,$B299&lt;=H$4,index($G$131:$Z$131,$B299)&gt;0),'Get Started'!$D$28*index($G$132:$Z$132,$B299),0)</f>
        <v>0</v>
      </c>
      <c r="I299" s="74">
        <f t="array" ref="I299">if(and(I$4-$B299+1&lt;='Get Started'!$D$39,$B299&lt;=I$4,index($G$131:$Z$131,$B299)&gt;0),'Get Started'!$D$28*index($G$132:$Z$132,$B299),0)</f>
        <v>0</v>
      </c>
      <c r="J299" s="74">
        <f t="array" ref="J299">if(and(J$4-$B299+1&lt;='Get Started'!$D$39,$B299&lt;=J$4,index($G$131:$Z$131,$B299)&gt;0),'Get Started'!$D$28*index($G$132:$Z$132,$B299),0)</f>
        <v>0</v>
      </c>
      <c r="K299" s="74">
        <f t="array" ref="K299">if(and(K$4-$B299+1&lt;='Get Started'!$D$39,$B299&lt;=K$4,index($G$131:$Z$131,$B299)&gt;0),'Get Started'!$D$28*index($G$132:$Z$132,$B299),0)</f>
        <v>0</v>
      </c>
      <c r="L299" s="74">
        <f t="array" ref="L299">if(and(L$4-$B299+1&lt;='Get Started'!$D$39,$B299&lt;=L$4,index($G$131:$Z$131,$B299)&gt;0),'Get Started'!$D$28*index($G$132:$Z$132,$B299),0)</f>
        <v>0</v>
      </c>
      <c r="M299" s="74">
        <f t="array" ref="M299">if(and(M$4-$B299+1&lt;='Get Started'!$D$39,$B299&lt;=M$4,index($G$131:$Z$131,$B299)&gt;0),'Get Started'!$D$28*index($G$132:$Z$132,$B299),0)</f>
        <v>0</v>
      </c>
      <c r="N299" s="74">
        <f t="array" ref="N299">if(and(N$4-$B299+1&lt;='Get Started'!$D$39,$B299&lt;=N$4,index($G$131:$Z$131,$B299)&gt;0),'Get Started'!$D$28*index($G$132:$Z$132,$B299),0)</f>
        <v>0</v>
      </c>
      <c r="O299" s="74">
        <f t="array" ref="O299">if(and(O$4-$B299+1&lt;='Get Started'!$D$39,$B299&lt;=O$4,index($G$131:$Z$131,$B299)&gt;0),'Get Started'!$D$28*index($G$132:$Z$132,$B299),0)</f>
        <v>0</v>
      </c>
      <c r="P299" s="74">
        <f t="array" ref="P299">if(and(P$4-$B299+1&lt;='Get Started'!$D$39,$B299&lt;=P$4,index($G$131:$Z$131,$B299)&gt;0),'Get Started'!$D$28*index($G$132:$Z$132,$B299),0)</f>
        <v>0</v>
      </c>
      <c r="Q299" s="74">
        <f t="array" ref="Q299">if(and(Q$4-$B299+1&lt;='Get Started'!$D$39,$B299&lt;=Q$4,index($G$131:$Z$131,$B299)&gt;0),'Get Started'!$D$28*index($G$132:$Z$132,$B299),0)</f>
        <v>0</v>
      </c>
      <c r="R299" s="74">
        <f t="array" ref="R299">if(and(R$4-$B299+1&lt;='Get Started'!$D$39,$B299&lt;=R$4,index($G$131:$Z$131,$B299)&gt;0),'Get Started'!$D$28*index($G$132:$Z$132,$B299),0)</f>
        <v>0</v>
      </c>
      <c r="S299" s="74">
        <f t="array" ref="S299">if(and(S$4-$B299+1&lt;='Get Started'!$D$39,$B299&lt;=S$4,index($G$131:$Z$131,$B299)&gt;0),'Get Started'!$D$28*index($G$132:$Z$132,$B299),0)</f>
        <v>0</v>
      </c>
      <c r="T299" s="74">
        <f t="array" ref="T299">if(and(T$4-$B299+1&lt;='Get Started'!$D$39,$B299&lt;=T$4,index($G$131:$Z$131,$B299)&gt;0),'Get Started'!$D$28*index($G$132:$Z$132,$B299),0)</f>
        <v>0</v>
      </c>
      <c r="U299" s="74">
        <f t="array" ref="U299">if(and(U$4-$B299+1&lt;='Get Started'!$D$39,$B299&lt;=U$4,index($G$131:$Z$131,$B299)&gt;0),'Get Started'!$D$28*index($G$132:$Z$132,$B299),0)</f>
        <v>0</v>
      </c>
      <c r="V299" s="74">
        <f t="array" ref="V299">if(and(V$4-$B299+1&lt;='Get Started'!$D$39,$B299&lt;=V$4,index($G$131:$Z$131,$B299)&gt;0),'Get Started'!$D$28*index($G$132:$Z$132,$B299),0)</f>
        <v>0</v>
      </c>
      <c r="W299" s="74">
        <f t="array" ref="W299">if(and(W$4-$B299+1&lt;='Get Started'!$D$39,$B299&lt;=W$4,index($G$131:$Z$131,$B299)&gt;0),'Get Started'!$D$28*index($G$132:$Z$132,$B299),0)</f>
        <v>0</v>
      </c>
      <c r="X299" s="74">
        <f t="array" ref="X299">if(and(X$4-$B299+1&lt;='Get Started'!$D$39,$B299&lt;=X$4,index($G$131:$Z$131,$B299)&gt;0),'Get Started'!$D$28*index($G$132:$Z$132,$B299),0)</f>
        <v>0</v>
      </c>
      <c r="Y299" s="74">
        <f t="array" ref="Y299">if(and(Y$4-$B299+1&lt;='Get Started'!$D$39,$B299&lt;=Y$4,index($G$131:$Z$131,$B299)&gt;0),'Get Started'!$D$28*index($G$132:$Z$132,$B299),0)</f>
        <v>0</v>
      </c>
      <c r="Z299" s="74">
        <f t="array" ref="Z299">if(and(Z$4-$B299+1&lt;='Get Started'!$D$39,$B299&lt;=Z$4,index($G$131:$Z$131,$B299)&gt;0),'Get Started'!$D$28*index($G$132:$Z$132,$B299),0)</f>
        <v>0</v>
      </c>
    </row>
    <row r="300" hidden="1" outlineLevel="1">
      <c r="B300" s="93">
        <f t="shared" si="161"/>
        <v>16</v>
      </c>
      <c r="C300" s="40"/>
      <c r="D300" s="16" t="s">
        <v>161</v>
      </c>
      <c r="E300" s="74">
        <f t="shared" si="108"/>
        <v>0</v>
      </c>
      <c r="F300" s="74"/>
      <c r="G300" s="74">
        <f t="array" ref="G300">if(and(G$4-$B300+1&lt;='Get Started'!$D$39,$B300&lt;=G$4,index($G$131:$Z$131,$B300)&gt;0),'Get Started'!$D$28*index($G$132:$Z$132,$B300),0)</f>
        <v>0</v>
      </c>
      <c r="H300" s="74">
        <f t="array" ref="H300">if(and(H$4-$B300+1&lt;='Get Started'!$D$39,$B300&lt;=H$4,index($G$131:$Z$131,$B300)&gt;0),'Get Started'!$D$28*index($G$132:$Z$132,$B300),0)</f>
        <v>0</v>
      </c>
      <c r="I300" s="74">
        <f t="array" ref="I300">if(and(I$4-$B300+1&lt;='Get Started'!$D$39,$B300&lt;=I$4,index($G$131:$Z$131,$B300)&gt;0),'Get Started'!$D$28*index($G$132:$Z$132,$B300),0)</f>
        <v>0</v>
      </c>
      <c r="J300" s="74">
        <f t="array" ref="J300">if(and(J$4-$B300+1&lt;='Get Started'!$D$39,$B300&lt;=J$4,index($G$131:$Z$131,$B300)&gt;0),'Get Started'!$D$28*index($G$132:$Z$132,$B300),0)</f>
        <v>0</v>
      </c>
      <c r="K300" s="74">
        <f t="array" ref="K300">if(and(K$4-$B300+1&lt;='Get Started'!$D$39,$B300&lt;=K$4,index($G$131:$Z$131,$B300)&gt;0),'Get Started'!$D$28*index($G$132:$Z$132,$B300),0)</f>
        <v>0</v>
      </c>
      <c r="L300" s="74">
        <f t="array" ref="L300">if(and(L$4-$B300+1&lt;='Get Started'!$D$39,$B300&lt;=L$4,index($G$131:$Z$131,$B300)&gt;0),'Get Started'!$D$28*index($G$132:$Z$132,$B300),0)</f>
        <v>0</v>
      </c>
      <c r="M300" s="74">
        <f t="array" ref="M300">if(and(M$4-$B300+1&lt;='Get Started'!$D$39,$B300&lt;=M$4,index($G$131:$Z$131,$B300)&gt;0),'Get Started'!$D$28*index($G$132:$Z$132,$B300),0)</f>
        <v>0</v>
      </c>
      <c r="N300" s="74">
        <f t="array" ref="N300">if(and(N$4-$B300+1&lt;='Get Started'!$D$39,$B300&lt;=N$4,index($G$131:$Z$131,$B300)&gt;0),'Get Started'!$D$28*index($G$132:$Z$132,$B300),0)</f>
        <v>0</v>
      </c>
      <c r="O300" s="74">
        <f t="array" ref="O300">if(and(O$4-$B300+1&lt;='Get Started'!$D$39,$B300&lt;=O$4,index($G$131:$Z$131,$B300)&gt;0),'Get Started'!$D$28*index($G$132:$Z$132,$B300),0)</f>
        <v>0</v>
      </c>
      <c r="P300" s="74">
        <f t="array" ref="P300">if(and(P$4-$B300+1&lt;='Get Started'!$D$39,$B300&lt;=P$4,index($G$131:$Z$131,$B300)&gt;0),'Get Started'!$D$28*index($G$132:$Z$132,$B300),0)</f>
        <v>0</v>
      </c>
      <c r="Q300" s="74">
        <f t="array" ref="Q300">if(and(Q$4-$B300+1&lt;='Get Started'!$D$39,$B300&lt;=Q$4,index($G$131:$Z$131,$B300)&gt;0),'Get Started'!$D$28*index($G$132:$Z$132,$B300),0)</f>
        <v>0</v>
      </c>
      <c r="R300" s="74">
        <f t="array" ref="R300">if(and(R$4-$B300+1&lt;='Get Started'!$D$39,$B300&lt;=R$4,index($G$131:$Z$131,$B300)&gt;0),'Get Started'!$D$28*index($G$132:$Z$132,$B300),0)</f>
        <v>0</v>
      </c>
      <c r="S300" s="74">
        <f t="array" ref="S300">if(and(S$4-$B300+1&lt;='Get Started'!$D$39,$B300&lt;=S$4,index($G$131:$Z$131,$B300)&gt;0),'Get Started'!$D$28*index($G$132:$Z$132,$B300),0)</f>
        <v>0</v>
      </c>
      <c r="T300" s="74">
        <f t="array" ref="T300">if(and(T$4-$B300+1&lt;='Get Started'!$D$39,$B300&lt;=T$4,index($G$131:$Z$131,$B300)&gt;0),'Get Started'!$D$28*index($G$132:$Z$132,$B300),0)</f>
        <v>0</v>
      </c>
      <c r="U300" s="74">
        <f t="array" ref="U300">if(and(U$4-$B300+1&lt;='Get Started'!$D$39,$B300&lt;=U$4,index($G$131:$Z$131,$B300)&gt;0),'Get Started'!$D$28*index($G$132:$Z$132,$B300),0)</f>
        <v>0</v>
      </c>
      <c r="V300" s="74">
        <f t="array" ref="V300">if(and(V$4-$B300+1&lt;='Get Started'!$D$39,$B300&lt;=V$4,index($G$131:$Z$131,$B300)&gt;0),'Get Started'!$D$28*index($G$132:$Z$132,$B300),0)</f>
        <v>0</v>
      </c>
      <c r="W300" s="74">
        <f t="array" ref="W300">if(and(W$4-$B300+1&lt;='Get Started'!$D$39,$B300&lt;=W$4,index($G$131:$Z$131,$B300)&gt;0),'Get Started'!$D$28*index($G$132:$Z$132,$B300),0)</f>
        <v>0</v>
      </c>
      <c r="X300" s="74">
        <f t="array" ref="X300">if(and(X$4-$B300+1&lt;='Get Started'!$D$39,$B300&lt;=X$4,index($G$131:$Z$131,$B300)&gt;0),'Get Started'!$D$28*index($G$132:$Z$132,$B300),0)</f>
        <v>0</v>
      </c>
      <c r="Y300" s="74">
        <f t="array" ref="Y300">if(and(Y$4-$B300+1&lt;='Get Started'!$D$39,$B300&lt;=Y$4,index($G$131:$Z$131,$B300)&gt;0),'Get Started'!$D$28*index($G$132:$Z$132,$B300),0)</f>
        <v>0</v>
      </c>
      <c r="Z300" s="74">
        <f t="array" ref="Z300">if(and(Z$4-$B300+1&lt;='Get Started'!$D$39,$B300&lt;=Z$4,index($G$131:$Z$131,$B300)&gt;0),'Get Started'!$D$28*index($G$132:$Z$132,$B300),0)</f>
        <v>0</v>
      </c>
    </row>
    <row r="301" hidden="1" outlineLevel="1">
      <c r="B301" s="93">
        <f t="shared" si="161"/>
        <v>17</v>
      </c>
      <c r="C301" s="40"/>
      <c r="D301" s="16" t="s">
        <v>161</v>
      </c>
      <c r="E301" s="74">
        <f t="shared" si="108"/>
        <v>0</v>
      </c>
      <c r="F301" s="74"/>
      <c r="G301" s="74">
        <f t="array" ref="G301">if(and(G$4-$B301+1&lt;='Get Started'!$D$39,$B301&lt;=G$4,index($G$131:$Z$131,$B301)&gt;0),'Get Started'!$D$28*index($G$132:$Z$132,$B301),0)</f>
        <v>0</v>
      </c>
      <c r="H301" s="74">
        <f t="array" ref="H301">if(and(H$4-$B301+1&lt;='Get Started'!$D$39,$B301&lt;=H$4,index($G$131:$Z$131,$B301)&gt;0),'Get Started'!$D$28*index($G$132:$Z$132,$B301),0)</f>
        <v>0</v>
      </c>
      <c r="I301" s="74">
        <f t="array" ref="I301">if(and(I$4-$B301+1&lt;='Get Started'!$D$39,$B301&lt;=I$4,index($G$131:$Z$131,$B301)&gt;0),'Get Started'!$D$28*index($G$132:$Z$132,$B301),0)</f>
        <v>0</v>
      </c>
      <c r="J301" s="74">
        <f t="array" ref="J301">if(and(J$4-$B301+1&lt;='Get Started'!$D$39,$B301&lt;=J$4,index($G$131:$Z$131,$B301)&gt;0),'Get Started'!$D$28*index($G$132:$Z$132,$B301),0)</f>
        <v>0</v>
      </c>
      <c r="K301" s="74">
        <f t="array" ref="K301">if(and(K$4-$B301+1&lt;='Get Started'!$D$39,$B301&lt;=K$4,index($G$131:$Z$131,$B301)&gt;0),'Get Started'!$D$28*index($G$132:$Z$132,$B301),0)</f>
        <v>0</v>
      </c>
      <c r="L301" s="74">
        <f t="array" ref="L301">if(and(L$4-$B301+1&lt;='Get Started'!$D$39,$B301&lt;=L$4,index($G$131:$Z$131,$B301)&gt;0),'Get Started'!$D$28*index($G$132:$Z$132,$B301),0)</f>
        <v>0</v>
      </c>
      <c r="M301" s="74">
        <f t="array" ref="M301">if(and(M$4-$B301+1&lt;='Get Started'!$D$39,$B301&lt;=M$4,index($G$131:$Z$131,$B301)&gt;0),'Get Started'!$D$28*index($G$132:$Z$132,$B301),0)</f>
        <v>0</v>
      </c>
      <c r="N301" s="74">
        <f t="array" ref="N301">if(and(N$4-$B301+1&lt;='Get Started'!$D$39,$B301&lt;=N$4,index($G$131:$Z$131,$B301)&gt;0),'Get Started'!$D$28*index($G$132:$Z$132,$B301),0)</f>
        <v>0</v>
      </c>
      <c r="O301" s="74">
        <f t="array" ref="O301">if(and(O$4-$B301+1&lt;='Get Started'!$D$39,$B301&lt;=O$4,index($G$131:$Z$131,$B301)&gt;0),'Get Started'!$D$28*index($G$132:$Z$132,$B301),0)</f>
        <v>0</v>
      </c>
      <c r="P301" s="74">
        <f t="array" ref="P301">if(and(P$4-$B301+1&lt;='Get Started'!$D$39,$B301&lt;=P$4,index($G$131:$Z$131,$B301)&gt;0),'Get Started'!$D$28*index($G$132:$Z$132,$B301),0)</f>
        <v>0</v>
      </c>
      <c r="Q301" s="74">
        <f t="array" ref="Q301">if(and(Q$4-$B301+1&lt;='Get Started'!$D$39,$B301&lt;=Q$4,index($G$131:$Z$131,$B301)&gt;0),'Get Started'!$D$28*index($G$132:$Z$132,$B301),0)</f>
        <v>0</v>
      </c>
      <c r="R301" s="74">
        <f t="array" ref="R301">if(and(R$4-$B301+1&lt;='Get Started'!$D$39,$B301&lt;=R$4,index($G$131:$Z$131,$B301)&gt;0),'Get Started'!$D$28*index($G$132:$Z$132,$B301),0)</f>
        <v>0</v>
      </c>
      <c r="S301" s="74">
        <f t="array" ref="S301">if(and(S$4-$B301+1&lt;='Get Started'!$D$39,$B301&lt;=S$4,index($G$131:$Z$131,$B301)&gt;0),'Get Started'!$D$28*index($G$132:$Z$132,$B301),0)</f>
        <v>0</v>
      </c>
      <c r="T301" s="74">
        <f t="array" ref="T301">if(and(T$4-$B301+1&lt;='Get Started'!$D$39,$B301&lt;=T$4,index($G$131:$Z$131,$B301)&gt;0),'Get Started'!$D$28*index($G$132:$Z$132,$B301),0)</f>
        <v>0</v>
      </c>
      <c r="U301" s="74">
        <f t="array" ref="U301">if(and(U$4-$B301+1&lt;='Get Started'!$D$39,$B301&lt;=U$4,index($G$131:$Z$131,$B301)&gt;0),'Get Started'!$D$28*index($G$132:$Z$132,$B301),0)</f>
        <v>0</v>
      </c>
      <c r="V301" s="74">
        <f t="array" ref="V301">if(and(V$4-$B301+1&lt;='Get Started'!$D$39,$B301&lt;=V$4,index($G$131:$Z$131,$B301)&gt;0),'Get Started'!$D$28*index($G$132:$Z$132,$B301),0)</f>
        <v>0</v>
      </c>
      <c r="W301" s="74">
        <f t="array" ref="W301">if(and(W$4-$B301+1&lt;='Get Started'!$D$39,$B301&lt;=W$4,index($G$131:$Z$131,$B301)&gt;0),'Get Started'!$D$28*index($G$132:$Z$132,$B301),0)</f>
        <v>0</v>
      </c>
      <c r="X301" s="74">
        <f t="array" ref="X301">if(and(X$4-$B301+1&lt;='Get Started'!$D$39,$B301&lt;=X$4,index($G$131:$Z$131,$B301)&gt;0),'Get Started'!$D$28*index($G$132:$Z$132,$B301),0)</f>
        <v>0</v>
      </c>
      <c r="Y301" s="74">
        <f t="array" ref="Y301">if(and(Y$4-$B301+1&lt;='Get Started'!$D$39,$B301&lt;=Y$4,index($G$131:$Z$131,$B301)&gt;0),'Get Started'!$D$28*index($G$132:$Z$132,$B301),0)</f>
        <v>0</v>
      </c>
      <c r="Z301" s="74">
        <f t="array" ref="Z301">if(and(Z$4-$B301+1&lt;='Get Started'!$D$39,$B301&lt;=Z$4,index($G$131:$Z$131,$B301)&gt;0),'Get Started'!$D$28*index($G$132:$Z$132,$B301),0)</f>
        <v>0</v>
      </c>
    </row>
    <row r="302" hidden="1" outlineLevel="1">
      <c r="B302" s="93">
        <f t="shared" si="161"/>
        <v>18</v>
      </c>
      <c r="C302" s="40"/>
      <c r="D302" s="16" t="s">
        <v>161</v>
      </c>
      <c r="E302" s="74">
        <f t="shared" si="108"/>
        <v>0</v>
      </c>
      <c r="F302" s="74"/>
      <c r="G302" s="74">
        <f t="array" ref="G302">if(and(G$4-$B302+1&lt;='Get Started'!$D$39,$B302&lt;=G$4,index($G$131:$Z$131,$B302)&gt;0),'Get Started'!$D$28*index($G$132:$Z$132,$B302),0)</f>
        <v>0</v>
      </c>
      <c r="H302" s="74">
        <f t="array" ref="H302">if(and(H$4-$B302+1&lt;='Get Started'!$D$39,$B302&lt;=H$4,index($G$131:$Z$131,$B302)&gt;0),'Get Started'!$D$28*index($G$132:$Z$132,$B302),0)</f>
        <v>0</v>
      </c>
      <c r="I302" s="74">
        <f t="array" ref="I302">if(and(I$4-$B302+1&lt;='Get Started'!$D$39,$B302&lt;=I$4,index($G$131:$Z$131,$B302)&gt;0),'Get Started'!$D$28*index($G$132:$Z$132,$B302),0)</f>
        <v>0</v>
      </c>
      <c r="J302" s="74">
        <f t="array" ref="J302">if(and(J$4-$B302+1&lt;='Get Started'!$D$39,$B302&lt;=J$4,index($G$131:$Z$131,$B302)&gt;0),'Get Started'!$D$28*index($G$132:$Z$132,$B302),0)</f>
        <v>0</v>
      </c>
      <c r="K302" s="74">
        <f t="array" ref="K302">if(and(K$4-$B302+1&lt;='Get Started'!$D$39,$B302&lt;=K$4,index($G$131:$Z$131,$B302)&gt;0),'Get Started'!$D$28*index($G$132:$Z$132,$B302),0)</f>
        <v>0</v>
      </c>
      <c r="L302" s="74">
        <f t="array" ref="L302">if(and(L$4-$B302+1&lt;='Get Started'!$D$39,$B302&lt;=L$4,index($G$131:$Z$131,$B302)&gt;0),'Get Started'!$D$28*index($G$132:$Z$132,$B302),0)</f>
        <v>0</v>
      </c>
      <c r="M302" s="74">
        <f t="array" ref="M302">if(and(M$4-$B302+1&lt;='Get Started'!$D$39,$B302&lt;=M$4,index($G$131:$Z$131,$B302)&gt;0),'Get Started'!$D$28*index($G$132:$Z$132,$B302),0)</f>
        <v>0</v>
      </c>
      <c r="N302" s="74">
        <f t="array" ref="N302">if(and(N$4-$B302+1&lt;='Get Started'!$D$39,$B302&lt;=N$4,index($G$131:$Z$131,$B302)&gt;0),'Get Started'!$D$28*index($G$132:$Z$132,$B302),0)</f>
        <v>0</v>
      </c>
      <c r="O302" s="74">
        <f t="array" ref="O302">if(and(O$4-$B302+1&lt;='Get Started'!$D$39,$B302&lt;=O$4,index($G$131:$Z$131,$B302)&gt;0),'Get Started'!$D$28*index($G$132:$Z$132,$B302),0)</f>
        <v>0</v>
      </c>
      <c r="P302" s="74">
        <f t="array" ref="P302">if(and(P$4-$B302+1&lt;='Get Started'!$D$39,$B302&lt;=P$4,index($G$131:$Z$131,$B302)&gt;0),'Get Started'!$D$28*index($G$132:$Z$132,$B302),0)</f>
        <v>0</v>
      </c>
      <c r="Q302" s="74">
        <f t="array" ref="Q302">if(and(Q$4-$B302+1&lt;='Get Started'!$D$39,$B302&lt;=Q$4,index($G$131:$Z$131,$B302)&gt;0),'Get Started'!$D$28*index($G$132:$Z$132,$B302),0)</f>
        <v>0</v>
      </c>
      <c r="R302" s="74">
        <f t="array" ref="R302">if(and(R$4-$B302+1&lt;='Get Started'!$D$39,$B302&lt;=R$4,index($G$131:$Z$131,$B302)&gt;0),'Get Started'!$D$28*index($G$132:$Z$132,$B302),0)</f>
        <v>0</v>
      </c>
      <c r="S302" s="74">
        <f t="array" ref="S302">if(and(S$4-$B302+1&lt;='Get Started'!$D$39,$B302&lt;=S$4,index($G$131:$Z$131,$B302)&gt;0),'Get Started'!$D$28*index($G$132:$Z$132,$B302),0)</f>
        <v>0</v>
      </c>
      <c r="T302" s="74">
        <f t="array" ref="T302">if(and(T$4-$B302+1&lt;='Get Started'!$D$39,$B302&lt;=T$4,index($G$131:$Z$131,$B302)&gt;0),'Get Started'!$D$28*index($G$132:$Z$132,$B302),0)</f>
        <v>0</v>
      </c>
      <c r="U302" s="74">
        <f t="array" ref="U302">if(and(U$4-$B302+1&lt;='Get Started'!$D$39,$B302&lt;=U$4,index($G$131:$Z$131,$B302)&gt;0),'Get Started'!$D$28*index($G$132:$Z$132,$B302),0)</f>
        <v>0</v>
      </c>
      <c r="V302" s="74">
        <f t="array" ref="V302">if(and(V$4-$B302+1&lt;='Get Started'!$D$39,$B302&lt;=V$4,index($G$131:$Z$131,$B302)&gt;0),'Get Started'!$D$28*index($G$132:$Z$132,$B302),0)</f>
        <v>0</v>
      </c>
      <c r="W302" s="74">
        <f t="array" ref="W302">if(and(W$4-$B302+1&lt;='Get Started'!$D$39,$B302&lt;=W$4,index($G$131:$Z$131,$B302)&gt;0),'Get Started'!$D$28*index($G$132:$Z$132,$B302),0)</f>
        <v>0</v>
      </c>
      <c r="X302" s="74">
        <f t="array" ref="X302">if(and(X$4-$B302+1&lt;='Get Started'!$D$39,$B302&lt;=X$4,index($G$131:$Z$131,$B302)&gt;0),'Get Started'!$D$28*index($G$132:$Z$132,$B302),0)</f>
        <v>0</v>
      </c>
      <c r="Y302" s="74">
        <f t="array" ref="Y302">if(and(Y$4-$B302+1&lt;='Get Started'!$D$39,$B302&lt;=Y$4,index($G$131:$Z$131,$B302)&gt;0),'Get Started'!$D$28*index($G$132:$Z$132,$B302),0)</f>
        <v>0</v>
      </c>
      <c r="Z302" s="74">
        <f t="array" ref="Z302">if(and(Z$4-$B302+1&lt;='Get Started'!$D$39,$B302&lt;=Z$4,index($G$131:$Z$131,$B302)&gt;0),'Get Started'!$D$28*index($G$132:$Z$132,$B302),0)</f>
        <v>0</v>
      </c>
    </row>
    <row r="303" hidden="1" outlineLevel="1">
      <c r="B303" s="93">
        <f t="shared" si="161"/>
        <v>19</v>
      </c>
      <c r="C303" s="40"/>
      <c r="D303" s="16" t="s">
        <v>161</v>
      </c>
      <c r="E303" s="74">
        <f t="shared" si="108"/>
        <v>0</v>
      </c>
      <c r="F303" s="74"/>
      <c r="G303" s="74">
        <f t="array" ref="G303">if(and(G$4-$B303+1&lt;='Get Started'!$D$39,$B303&lt;=G$4,index($G$131:$Z$131,$B303)&gt;0),'Get Started'!$D$28*index($G$132:$Z$132,$B303),0)</f>
        <v>0</v>
      </c>
      <c r="H303" s="74">
        <f t="array" ref="H303">if(and(H$4-$B303+1&lt;='Get Started'!$D$39,$B303&lt;=H$4,index($G$131:$Z$131,$B303)&gt;0),'Get Started'!$D$28*index($G$132:$Z$132,$B303),0)</f>
        <v>0</v>
      </c>
      <c r="I303" s="74">
        <f t="array" ref="I303">if(and(I$4-$B303+1&lt;='Get Started'!$D$39,$B303&lt;=I$4,index($G$131:$Z$131,$B303)&gt;0),'Get Started'!$D$28*index($G$132:$Z$132,$B303),0)</f>
        <v>0</v>
      </c>
      <c r="J303" s="74">
        <f t="array" ref="J303">if(and(J$4-$B303+1&lt;='Get Started'!$D$39,$B303&lt;=J$4,index($G$131:$Z$131,$B303)&gt;0),'Get Started'!$D$28*index($G$132:$Z$132,$B303),0)</f>
        <v>0</v>
      </c>
      <c r="K303" s="74">
        <f t="array" ref="K303">if(and(K$4-$B303+1&lt;='Get Started'!$D$39,$B303&lt;=K$4,index($G$131:$Z$131,$B303)&gt;0),'Get Started'!$D$28*index($G$132:$Z$132,$B303),0)</f>
        <v>0</v>
      </c>
      <c r="L303" s="74">
        <f t="array" ref="L303">if(and(L$4-$B303+1&lt;='Get Started'!$D$39,$B303&lt;=L$4,index($G$131:$Z$131,$B303)&gt;0),'Get Started'!$D$28*index($G$132:$Z$132,$B303),0)</f>
        <v>0</v>
      </c>
      <c r="M303" s="74">
        <f t="array" ref="M303">if(and(M$4-$B303+1&lt;='Get Started'!$D$39,$B303&lt;=M$4,index($G$131:$Z$131,$B303)&gt;0),'Get Started'!$D$28*index($G$132:$Z$132,$B303),0)</f>
        <v>0</v>
      </c>
      <c r="N303" s="74">
        <f t="array" ref="N303">if(and(N$4-$B303+1&lt;='Get Started'!$D$39,$B303&lt;=N$4,index($G$131:$Z$131,$B303)&gt;0),'Get Started'!$D$28*index($G$132:$Z$132,$B303),0)</f>
        <v>0</v>
      </c>
      <c r="O303" s="74">
        <f t="array" ref="O303">if(and(O$4-$B303+1&lt;='Get Started'!$D$39,$B303&lt;=O$4,index($G$131:$Z$131,$B303)&gt;0),'Get Started'!$D$28*index($G$132:$Z$132,$B303),0)</f>
        <v>0</v>
      </c>
      <c r="P303" s="74">
        <f t="array" ref="P303">if(and(P$4-$B303+1&lt;='Get Started'!$D$39,$B303&lt;=P$4,index($G$131:$Z$131,$B303)&gt;0),'Get Started'!$D$28*index($G$132:$Z$132,$B303),0)</f>
        <v>0</v>
      </c>
      <c r="Q303" s="74">
        <f t="array" ref="Q303">if(and(Q$4-$B303+1&lt;='Get Started'!$D$39,$B303&lt;=Q$4,index($G$131:$Z$131,$B303)&gt;0),'Get Started'!$D$28*index($G$132:$Z$132,$B303),0)</f>
        <v>0</v>
      </c>
      <c r="R303" s="74">
        <f t="array" ref="R303">if(and(R$4-$B303+1&lt;='Get Started'!$D$39,$B303&lt;=R$4,index($G$131:$Z$131,$B303)&gt;0),'Get Started'!$D$28*index($G$132:$Z$132,$B303),0)</f>
        <v>0</v>
      </c>
      <c r="S303" s="74">
        <f t="array" ref="S303">if(and(S$4-$B303+1&lt;='Get Started'!$D$39,$B303&lt;=S$4,index($G$131:$Z$131,$B303)&gt;0),'Get Started'!$D$28*index($G$132:$Z$132,$B303),0)</f>
        <v>0</v>
      </c>
      <c r="T303" s="74">
        <f t="array" ref="T303">if(and(T$4-$B303+1&lt;='Get Started'!$D$39,$B303&lt;=T$4,index($G$131:$Z$131,$B303)&gt;0),'Get Started'!$D$28*index($G$132:$Z$132,$B303),0)</f>
        <v>0</v>
      </c>
      <c r="U303" s="74">
        <f t="array" ref="U303">if(and(U$4-$B303+1&lt;='Get Started'!$D$39,$B303&lt;=U$4,index($G$131:$Z$131,$B303)&gt;0),'Get Started'!$D$28*index($G$132:$Z$132,$B303),0)</f>
        <v>0</v>
      </c>
      <c r="V303" s="74">
        <f t="array" ref="V303">if(and(V$4-$B303+1&lt;='Get Started'!$D$39,$B303&lt;=V$4,index($G$131:$Z$131,$B303)&gt;0),'Get Started'!$D$28*index($G$132:$Z$132,$B303),0)</f>
        <v>0</v>
      </c>
      <c r="W303" s="74">
        <f t="array" ref="W303">if(and(W$4-$B303+1&lt;='Get Started'!$D$39,$B303&lt;=W$4,index($G$131:$Z$131,$B303)&gt;0),'Get Started'!$D$28*index($G$132:$Z$132,$B303),0)</f>
        <v>0</v>
      </c>
      <c r="X303" s="74">
        <f t="array" ref="X303">if(and(X$4-$B303+1&lt;='Get Started'!$D$39,$B303&lt;=X$4,index($G$131:$Z$131,$B303)&gt;0),'Get Started'!$D$28*index($G$132:$Z$132,$B303),0)</f>
        <v>0</v>
      </c>
      <c r="Y303" s="74">
        <f t="array" ref="Y303">if(and(Y$4-$B303+1&lt;='Get Started'!$D$39,$B303&lt;=Y$4,index($G$131:$Z$131,$B303)&gt;0),'Get Started'!$D$28*index($G$132:$Z$132,$B303),0)</f>
        <v>0</v>
      </c>
      <c r="Z303" s="74">
        <f t="array" ref="Z303">if(and(Z$4-$B303+1&lt;='Get Started'!$D$39,$B303&lt;=Z$4,index($G$131:$Z$131,$B303)&gt;0),'Get Started'!$D$28*index($G$132:$Z$132,$B303),0)</f>
        <v>0</v>
      </c>
    </row>
    <row r="304" hidden="1" outlineLevel="1">
      <c r="B304" s="93">
        <f t="shared" si="161"/>
        <v>20</v>
      </c>
      <c r="C304" s="40"/>
      <c r="D304" s="16" t="s">
        <v>161</v>
      </c>
      <c r="E304" s="74">
        <f t="shared" si="108"/>
        <v>0</v>
      </c>
      <c r="F304" s="74"/>
      <c r="G304" s="74">
        <f t="array" ref="G304">if(and(G$4-$B304+1&lt;='Get Started'!$D$39,$B304&lt;=G$4,index($G$131:$Z$131,$B304)&gt;0),'Get Started'!$D$28*index($G$132:$Z$132,$B304),0)</f>
        <v>0</v>
      </c>
      <c r="H304" s="74">
        <f t="array" ref="H304">if(and(H$4-$B304+1&lt;='Get Started'!$D$39,$B304&lt;=H$4,index($G$131:$Z$131,$B304)&gt;0),'Get Started'!$D$28*index($G$132:$Z$132,$B304),0)</f>
        <v>0</v>
      </c>
      <c r="I304" s="74">
        <f t="array" ref="I304">if(and(I$4-$B304+1&lt;='Get Started'!$D$39,$B304&lt;=I$4,index($G$131:$Z$131,$B304)&gt;0),'Get Started'!$D$28*index($G$132:$Z$132,$B304),0)</f>
        <v>0</v>
      </c>
      <c r="J304" s="74">
        <f t="array" ref="J304">if(and(J$4-$B304+1&lt;='Get Started'!$D$39,$B304&lt;=J$4,index($G$131:$Z$131,$B304)&gt;0),'Get Started'!$D$28*index($G$132:$Z$132,$B304),0)</f>
        <v>0</v>
      </c>
      <c r="K304" s="74">
        <f t="array" ref="K304">if(and(K$4-$B304+1&lt;='Get Started'!$D$39,$B304&lt;=K$4,index($G$131:$Z$131,$B304)&gt;0),'Get Started'!$D$28*index($G$132:$Z$132,$B304),0)</f>
        <v>0</v>
      </c>
      <c r="L304" s="74">
        <f t="array" ref="L304">if(and(L$4-$B304+1&lt;='Get Started'!$D$39,$B304&lt;=L$4,index($G$131:$Z$131,$B304)&gt;0),'Get Started'!$D$28*index($G$132:$Z$132,$B304),0)</f>
        <v>0</v>
      </c>
      <c r="M304" s="74">
        <f t="array" ref="M304">if(and(M$4-$B304+1&lt;='Get Started'!$D$39,$B304&lt;=M$4,index($G$131:$Z$131,$B304)&gt;0),'Get Started'!$D$28*index($G$132:$Z$132,$B304),0)</f>
        <v>0</v>
      </c>
      <c r="N304" s="74">
        <f t="array" ref="N304">if(and(N$4-$B304+1&lt;='Get Started'!$D$39,$B304&lt;=N$4,index($G$131:$Z$131,$B304)&gt;0),'Get Started'!$D$28*index($G$132:$Z$132,$B304),0)</f>
        <v>0</v>
      </c>
      <c r="O304" s="74">
        <f t="array" ref="O304">if(and(O$4-$B304+1&lt;='Get Started'!$D$39,$B304&lt;=O$4,index($G$131:$Z$131,$B304)&gt;0),'Get Started'!$D$28*index($G$132:$Z$132,$B304),0)</f>
        <v>0</v>
      </c>
      <c r="P304" s="74">
        <f t="array" ref="P304">if(and(P$4-$B304+1&lt;='Get Started'!$D$39,$B304&lt;=P$4,index($G$131:$Z$131,$B304)&gt;0),'Get Started'!$D$28*index($G$132:$Z$132,$B304),0)</f>
        <v>0</v>
      </c>
      <c r="Q304" s="74">
        <f t="array" ref="Q304">if(and(Q$4-$B304+1&lt;='Get Started'!$D$39,$B304&lt;=Q$4,index($G$131:$Z$131,$B304)&gt;0),'Get Started'!$D$28*index($G$132:$Z$132,$B304),0)</f>
        <v>0</v>
      </c>
      <c r="R304" s="74">
        <f t="array" ref="R304">if(and(R$4-$B304+1&lt;='Get Started'!$D$39,$B304&lt;=R$4,index($G$131:$Z$131,$B304)&gt;0),'Get Started'!$D$28*index($G$132:$Z$132,$B304),0)</f>
        <v>0</v>
      </c>
      <c r="S304" s="74">
        <f t="array" ref="S304">if(and(S$4-$B304+1&lt;='Get Started'!$D$39,$B304&lt;=S$4,index($G$131:$Z$131,$B304)&gt;0),'Get Started'!$D$28*index($G$132:$Z$132,$B304),0)</f>
        <v>0</v>
      </c>
      <c r="T304" s="74">
        <f t="array" ref="T304">if(and(T$4-$B304+1&lt;='Get Started'!$D$39,$B304&lt;=T$4,index($G$131:$Z$131,$B304)&gt;0),'Get Started'!$D$28*index($G$132:$Z$132,$B304),0)</f>
        <v>0</v>
      </c>
      <c r="U304" s="74">
        <f t="array" ref="U304">if(and(U$4-$B304+1&lt;='Get Started'!$D$39,$B304&lt;=U$4,index($G$131:$Z$131,$B304)&gt;0),'Get Started'!$D$28*index($G$132:$Z$132,$B304),0)</f>
        <v>0</v>
      </c>
      <c r="V304" s="74">
        <f t="array" ref="V304">if(and(V$4-$B304+1&lt;='Get Started'!$D$39,$B304&lt;=V$4,index($G$131:$Z$131,$B304)&gt;0),'Get Started'!$D$28*index($G$132:$Z$132,$B304),0)</f>
        <v>0</v>
      </c>
      <c r="W304" s="74">
        <f t="array" ref="W304">if(and(W$4-$B304+1&lt;='Get Started'!$D$39,$B304&lt;=W$4,index($G$131:$Z$131,$B304)&gt;0),'Get Started'!$D$28*index($G$132:$Z$132,$B304),0)</f>
        <v>0</v>
      </c>
      <c r="X304" s="74">
        <f t="array" ref="X304">if(and(X$4-$B304+1&lt;='Get Started'!$D$39,$B304&lt;=X$4,index($G$131:$Z$131,$B304)&gt;0),'Get Started'!$D$28*index($G$132:$Z$132,$B304),0)</f>
        <v>0</v>
      </c>
      <c r="Y304" s="74">
        <f t="array" ref="Y304">if(and(Y$4-$B304+1&lt;='Get Started'!$D$39,$B304&lt;=Y$4,index($G$131:$Z$131,$B304)&gt;0),'Get Started'!$D$28*index($G$132:$Z$132,$B304),0)</f>
        <v>0</v>
      </c>
      <c r="Z304" s="74">
        <f t="array" ref="Z304">if(and(Z$4-$B304+1&lt;='Get Started'!$D$39,$B304&lt;=Z$4,index($G$131:$Z$131,$B304)&gt;0),'Get Started'!$D$28*index($G$132:$Z$132,$B304),0)</f>
        <v>0</v>
      </c>
    </row>
    <row r="305" collapsed="1">
      <c r="B305" s="40" t="s">
        <v>166</v>
      </c>
      <c r="C305" s="16"/>
      <c r="D305" s="16" t="s">
        <v>161</v>
      </c>
      <c r="E305" s="74">
        <f t="shared" si="108"/>
        <v>19690000</v>
      </c>
      <c r="F305" s="78"/>
      <c r="G305" s="77">
        <f t="shared" ref="G305:Z305" si="162">sum(G306:G325)</f>
        <v>656333.3333</v>
      </c>
      <c r="H305" s="77">
        <f t="shared" si="162"/>
        <v>1312666.667</v>
      </c>
      <c r="I305" s="77">
        <f t="shared" si="162"/>
        <v>1969000</v>
      </c>
      <c r="J305" s="77">
        <f t="shared" si="162"/>
        <v>1969000</v>
      </c>
      <c r="K305" s="77">
        <f t="shared" si="162"/>
        <v>1969000</v>
      </c>
      <c r="L305" s="77">
        <f t="shared" si="162"/>
        <v>1969000</v>
      </c>
      <c r="M305" s="77">
        <f t="shared" si="162"/>
        <v>1969000</v>
      </c>
      <c r="N305" s="77">
        <f t="shared" si="162"/>
        <v>1969000</v>
      </c>
      <c r="O305" s="77">
        <f t="shared" si="162"/>
        <v>1969000</v>
      </c>
      <c r="P305" s="77">
        <f t="shared" si="162"/>
        <v>1969000</v>
      </c>
      <c r="Q305" s="77">
        <f t="shared" si="162"/>
        <v>1312666.667</v>
      </c>
      <c r="R305" s="77">
        <f t="shared" si="162"/>
        <v>656333.3333</v>
      </c>
      <c r="S305" s="77">
        <f t="shared" si="162"/>
        <v>0</v>
      </c>
      <c r="T305" s="77">
        <f t="shared" si="162"/>
        <v>0</v>
      </c>
      <c r="U305" s="77">
        <f t="shared" si="162"/>
        <v>0</v>
      </c>
      <c r="V305" s="77">
        <f t="shared" si="162"/>
        <v>0</v>
      </c>
      <c r="W305" s="77">
        <f t="shared" si="162"/>
        <v>0</v>
      </c>
      <c r="X305" s="77">
        <f t="shared" si="162"/>
        <v>0</v>
      </c>
      <c r="Y305" s="77">
        <f t="shared" si="162"/>
        <v>0</v>
      </c>
      <c r="Z305" s="77">
        <f t="shared" si="162"/>
        <v>0</v>
      </c>
    </row>
    <row r="306" hidden="1" outlineLevel="1">
      <c r="B306" s="93">
        <f>G$4</f>
        <v>1</v>
      </c>
      <c r="C306" s="40"/>
      <c r="D306" s="16" t="s">
        <v>161</v>
      </c>
      <c r="E306" s="74">
        <f t="shared" si="108"/>
        <v>6563333.333</v>
      </c>
      <c r="F306" s="74"/>
      <c r="G306" s="74">
        <f t="shared" ref="G306:Z306" si="163">if(G$4&gt;=$B306,if(index($G$135:$Z$135,,G$4-$B306+1)="committed",G582*index($G$134:$Z$134,,G$4-$B306+1)+if(and(G$4&lt;&gt;1,G477&lt;&gt;0,sum($G477:G477)&lt;&gt;$E477),G477*(G$4-1)*index($G$134:$Z$134,,G$4-$B306+1),0),if(index($G$135:$Z$135,,$B306)="called",index($G$134:$Z$134,,G$4-$B306+1)*(G159+F159)/2,index($G$134:$Z$134,,G$4-$B306+1)*(G603+F603)/2)),0)</f>
        <v>656333.3333</v>
      </c>
      <c r="H306" s="74">
        <f t="shared" si="163"/>
        <v>656333.3333</v>
      </c>
      <c r="I306" s="74">
        <f t="shared" si="163"/>
        <v>656333.3333</v>
      </c>
      <c r="J306" s="74">
        <f t="shared" si="163"/>
        <v>656333.3333</v>
      </c>
      <c r="K306" s="74">
        <f t="shared" si="163"/>
        <v>656333.3333</v>
      </c>
      <c r="L306" s="74">
        <f t="shared" si="163"/>
        <v>656333.3333</v>
      </c>
      <c r="M306" s="74">
        <f t="shared" si="163"/>
        <v>656333.3333</v>
      </c>
      <c r="N306" s="74">
        <f t="shared" si="163"/>
        <v>656333.3333</v>
      </c>
      <c r="O306" s="74">
        <f t="shared" si="163"/>
        <v>656333.3333</v>
      </c>
      <c r="P306" s="74">
        <f t="shared" si="163"/>
        <v>656333.3333</v>
      </c>
      <c r="Q306" s="74">
        <f t="shared" si="163"/>
        <v>0</v>
      </c>
      <c r="R306" s="74">
        <f t="shared" si="163"/>
        <v>0</v>
      </c>
      <c r="S306" s="74">
        <f t="shared" si="163"/>
        <v>0</v>
      </c>
      <c r="T306" s="74">
        <f t="shared" si="163"/>
        <v>0</v>
      </c>
      <c r="U306" s="74">
        <f t="shared" si="163"/>
        <v>0</v>
      </c>
      <c r="V306" s="74">
        <f t="shared" si="163"/>
        <v>0</v>
      </c>
      <c r="W306" s="74">
        <f t="shared" si="163"/>
        <v>0</v>
      </c>
      <c r="X306" s="74">
        <f t="shared" si="163"/>
        <v>0</v>
      </c>
      <c r="Y306" s="74">
        <f t="shared" si="163"/>
        <v>0</v>
      </c>
      <c r="Z306" s="74">
        <f t="shared" si="163"/>
        <v>0</v>
      </c>
    </row>
    <row r="307" hidden="1" outlineLevel="1">
      <c r="B307" s="93">
        <f t="shared" ref="B307:B325" si="165">B306+1</f>
        <v>2</v>
      </c>
      <c r="C307" s="40"/>
      <c r="D307" s="16" t="s">
        <v>161</v>
      </c>
      <c r="E307" s="74">
        <f t="shared" si="108"/>
        <v>6563333.333</v>
      </c>
      <c r="F307" s="74"/>
      <c r="G307" s="74">
        <f t="shared" ref="G307:Z307" si="164">if(G$4&gt;=$B307,if(index($G$135:$Z$135,,G$4-$B307+1)="committed",G583*index($G$134:$Z$134,,G$4-$B307+1)+if(and(G$4&lt;&gt;1,G478&lt;&gt;0,sum($G478:G478)&lt;&gt;$E478),G478*(G$4-1)*index($G$134:$Z$134,,G$4-$B307+1),0),if(index($G$135:$Z$135,,$B307)="called",index($G$134:$Z$134,,G$4-$B307+1)*(G160+F160)/2,index($G$134:$Z$134,,G$4-$B307+1)*(G604+F604)/2)),0)</f>
        <v>0</v>
      </c>
      <c r="H307" s="74">
        <f t="shared" si="164"/>
        <v>656333.3333</v>
      </c>
      <c r="I307" s="74">
        <f t="shared" si="164"/>
        <v>656333.3333</v>
      </c>
      <c r="J307" s="74">
        <f t="shared" si="164"/>
        <v>656333.3333</v>
      </c>
      <c r="K307" s="74">
        <f t="shared" si="164"/>
        <v>656333.3333</v>
      </c>
      <c r="L307" s="74">
        <f t="shared" si="164"/>
        <v>656333.3333</v>
      </c>
      <c r="M307" s="74">
        <f t="shared" si="164"/>
        <v>656333.3333</v>
      </c>
      <c r="N307" s="74">
        <f t="shared" si="164"/>
        <v>656333.3333</v>
      </c>
      <c r="O307" s="74">
        <f t="shared" si="164"/>
        <v>656333.3333</v>
      </c>
      <c r="P307" s="74">
        <f t="shared" si="164"/>
        <v>656333.3333</v>
      </c>
      <c r="Q307" s="74">
        <f t="shared" si="164"/>
        <v>656333.3333</v>
      </c>
      <c r="R307" s="74">
        <f t="shared" si="164"/>
        <v>0</v>
      </c>
      <c r="S307" s="74">
        <f t="shared" si="164"/>
        <v>0</v>
      </c>
      <c r="T307" s="74">
        <f t="shared" si="164"/>
        <v>0</v>
      </c>
      <c r="U307" s="74">
        <f t="shared" si="164"/>
        <v>0</v>
      </c>
      <c r="V307" s="74">
        <f t="shared" si="164"/>
        <v>0</v>
      </c>
      <c r="W307" s="74">
        <f t="shared" si="164"/>
        <v>0</v>
      </c>
      <c r="X307" s="74">
        <f t="shared" si="164"/>
        <v>0</v>
      </c>
      <c r="Y307" s="74">
        <f t="shared" si="164"/>
        <v>0</v>
      </c>
      <c r="Z307" s="74">
        <f t="shared" si="164"/>
        <v>0</v>
      </c>
    </row>
    <row r="308" hidden="1" outlineLevel="1">
      <c r="B308" s="93">
        <f t="shared" si="165"/>
        <v>3</v>
      </c>
      <c r="C308" s="40"/>
      <c r="D308" s="16" t="s">
        <v>161</v>
      </c>
      <c r="E308" s="74">
        <f t="shared" si="108"/>
        <v>6563333.333</v>
      </c>
      <c r="F308" s="74"/>
      <c r="G308" s="74">
        <f t="shared" ref="G308:Z308" si="166">if(G$4&gt;=$B308,if(index($G$135:$Z$135,,G$4-$B308+1)="committed",G584*index($G$134:$Z$134,,G$4-$B308+1)+if(and(G$4&lt;&gt;1,G479&lt;&gt;0,sum($G479:G479)&lt;&gt;$E479),G479*(G$4-1)*index($G$134:$Z$134,,G$4-$B308+1),0),if(index($G$135:$Z$135,,$B308)="called",index($G$134:$Z$134,,G$4-$B308+1)*(G161+F161)/2,index($G$134:$Z$134,,G$4-$B308+1)*(G605+F605)/2)),0)</f>
        <v>0</v>
      </c>
      <c r="H308" s="74">
        <f t="shared" si="166"/>
        <v>0</v>
      </c>
      <c r="I308" s="74">
        <f t="shared" si="166"/>
        <v>656333.3333</v>
      </c>
      <c r="J308" s="74">
        <f t="shared" si="166"/>
        <v>656333.3333</v>
      </c>
      <c r="K308" s="74">
        <f t="shared" si="166"/>
        <v>656333.3333</v>
      </c>
      <c r="L308" s="74">
        <f t="shared" si="166"/>
        <v>656333.3333</v>
      </c>
      <c r="M308" s="74">
        <f t="shared" si="166"/>
        <v>656333.3333</v>
      </c>
      <c r="N308" s="74">
        <f t="shared" si="166"/>
        <v>656333.3333</v>
      </c>
      <c r="O308" s="74">
        <f t="shared" si="166"/>
        <v>656333.3333</v>
      </c>
      <c r="P308" s="74">
        <f t="shared" si="166"/>
        <v>656333.3333</v>
      </c>
      <c r="Q308" s="74">
        <f t="shared" si="166"/>
        <v>656333.3333</v>
      </c>
      <c r="R308" s="74">
        <f t="shared" si="166"/>
        <v>656333.3333</v>
      </c>
      <c r="S308" s="74">
        <f t="shared" si="166"/>
        <v>0</v>
      </c>
      <c r="T308" s="74">
        <f t="shared" si="166"/>
        <v>0</v>
      </c>
      <c r="U308" s="74">
        <f t="shared" si="166"/>
        <v>0</v>
      </c>
      <c r="V308" s="74">
        <f t="shared" si="166"/>
        <v>0</v>
      </c>
      <c r="W308" s="74">
        <f t="shared" si="166"/>
        <v>0</v>
      </c>
      <c r="X308" s="74">
        <f t="shared" si="166"/>
        <v>0</v>
      </c>
      <c r="Y308" s="74">
        <f t="shared" si="166"/>
        <v>0</v>
      </c>
      <c r="Z308" s="74">
        <f t="shared" si="166"/>
        <v>0</v>
      </c>
    </row>
    <row r="309" hidden="1" outlineLevel="1">
      <c r="B309" s="93">
        <f t="shared" si="165"/>
        <v>4</v>
      </c>
      <c r="C309" s="40"/>
      <c r="D309" s="16" t="s">
        <v>161</v>
      </c>
      <c r="E309" s="74">
        <f t="shared" si="108"/>
        <v>0</v>
      </c>
      <c r="F309" s="74"/>
      <c r="G309" s="74">
        <f t="shared" ref="G309:Z309" si="167">if(G$4&gt;=$B309,if(index($G$135:$Z$135,,G$4-$B309+1)="committed",G585*index($G$134:$Z$134,,G$4-$B309+1)+if(and(G$4&lt;&gt;1,G480&lt;&gt;0,sum($G480:G480)&lt;&gt;$E480),G480*(G$4-1)*index($G$134:$Z$134,,G$4-$B309+1),0),if(index($G$135:$Z$135,,$B309)="called",index($G$134:$Z$134,,G$4-$B309+1)*(G162+F162)/2,index($G$134:$Z$134,,G$4-$B309+1)*(G606+F606)/2)),0)</f>
        <v>0</v>
      </c>
      <c r="H309" s="74">
        <f t="shared" si="167"/>
        <v>0</v>
      </c>
      <c r="I309" s="74">
        <f t="shared" si="167"/>
        <v>0</v>
      </c>
      <c r="J309" s="74">
        <f t="shared" si="167"/>
        <v>0</v>
      </c>
      <c r="K309" s="74">
        <f t="shared" si="167"/>
        <v>0</v>
      </c>
      <c r="L309" s="74">
        <f t="shared" si="167"/>
        <v>0</v>
      </c>
      <c r="M309" s="74">
        <f t="shared" si="167"/>
        <v>0</v>
      </c>
      <c r="N309" s="74">
        <f t="shared" si="167"/>
        <v>0</v>
      </c>
      <c r="O309" s="74">
        <f t="shared" si="167"/>
        <v>0</v>
      </c>
      <c r="P309" s="74">
        <f t="shared" si="167"/>
        <v>0</v>
      </c>
      <c r="Q309" s="74">
        <f t="shared" si="167"/>
        <v>0</v>
      </c>
      <c r="R309" s="74">
        <f t="shared" si="167"/>
        <v>0</v>
      </c>
      <c r="S309" s="74">
        <f t="shared" si="167"/>
        <v>0</v>
      </c>
      <c r="T309" s="74">
        <f t="shared" si="167"/>
        <v>0</v>
      </c>
      <c r="U309" s="74">
        <f t="shared" si="167"/>
        <v>0</v>
      </c>
      <c r="V309" s="74">
        <f t="shared" si="167"/>
        <v>0</v>
      </c>
      <c r="W309" s="74">
        <f t="shared" si="167"/>
        <v>0</v>
      </c>
      <c r="X309" s="74">
        <f t="shared" si="167"/>
        <v>0</v>
      </c>
      <c r="Y309" s="74">
        <f t="shared" si="167"/>
        <v>0</v>
      </c>
      <c r="Z309" s="74">
        <f t="shared" si="167"/>
        <v>0</v>
      </c>
    </row>
    <row r="310" hidden="1" outlineLevel="1">
      <c r="B310" s="93">
        <f t="shared" si="165"/>
        <v>5</v>
      </c>
      <c r="C310" s="40"/>
      <c r="D310" s="16" t="s">
        <v>161</v>
      </c>
      <c r="E310" s="74">
        <f t="shared" si="108"/>
        <v>0</v>
      </c>
      <c r="F310" s="74"/>
      <c r="G310" s="74">
        <f t="shared" ref="G310:Z310" si="168">if(G$4&gt;=$B310,if(index($G$135:$Z$135,,G$4-$B310+1)="committed",G586*index($G$134:$Z$134,,G$4-$B310+1)+if(and(G$4&lt;&gt;1,G481&lt;&gt;0,sum($G481:G481)&lt;&gt;$E481),G481*(G$4-1)*index($G$134:$Z$134,,G$4-$B310+1),0),if(index($G$135:$Z$135,,$B310)="called",index($G$134:$Z$134,,G$4-$B310+1)*(G163+F163)/2,index($G$134:$Z$134,,G$4-$B310+1)*(G607+F607)/2)),0)</f>
        <v>0</v>
      </c>
      <c r="H310" s="74">
        <f t="shared" si="168"/>
        <v>0</v>
      </c>
      <c r="I310" s="74">
        <f t="shared" si="168"/>
        <v>0</v>
      </c>
      <c r="J310" s="74">
        <f t="shared" si="168"/>
        <v>0</v>
      </c>
      <c r="K310" s="74">
        <f t="shared" si="168"/>
        <v>0</v>
      </c>
      <c r="L310" s="74">
        <f t="shared" si="168"/>
        <v>0</v>
      </c>
      <c r="M310" s="74">
        <f t="shared" si="168"/>
        <v>0</v>
      </c>
      <c r="N310" s="74">
        <f t="shared" si="168"/>
        <v>0</v>
      </c>
      <c r="O310" s="74">
        <f t="shared" si="168"/>
        <v>0</v>
      </c>
      <c r="P310" s="74">
        <f t="shared" si="168"/>
        <v>0</v>
      </c>
      <c r="Q310" s="74">
        <f t="shared" si="168"/>
        <v>0</v>
      </c>
      <c r="R310" s="74">
        <f t="shared" si="168"/>
        <v>0</v>
      </c>
      <c r="S310" s="74">
        <f t="shared" si="168"/>
        <v>0</v>
      </c>
      <c r="T310" s="74">
        <f t="shared" si="168"/>
        <v>0</v>
      </c>
      <c r="U310" s="74">
        <f t="shared" si="168"/>
        <v>0</v>
      </c>
      <c r="V310" s="74">
        <f t="shared" si="168"/>
        <v>0</v>
      </c>
      <c r="W310" s="74">
        <f t="shared" si="168"/>
        <v>0</v>
      </c>
      <c r="X310" s="74">
        <f t="shared" si="168"/>
        <v>0</v>
      </c>
      <c r="Y310" s="74">
        <f t="shared" si="168"/>
        <v>0</v>
      </c>
      <c r="Z310" s="74">
        <f t="shared" si="168"/>
        <v>0</v>
      </c>
    </row>
    <row r="311" hidden="1" outlineLevel="1">
      <c r="B311" s="93">
        <f t="shared" si="165"/>
        <v>6</v>
      </c>
      <c r="C311" s="40"/>
      <c r="D311" s="16" t="s">
        <v>161</v>
      </c>
      <c r="E311" s="74">
        <f t="shared" si="108"/>
        <v>0</v>
      </c>
      <c r="F311" s="74"/>
      <c r="G311" s="74">
        <f t="shared" ref="G311:Z311" si="169">if(G$4&gt;=$B311,if(index($G$135:$Z$135,,G$4-$B311+1)="committed",G587*index($G$134:$Z$134,,G$4-$B311+1)+if(and(G$4&lt;&gt;1,G482&lt;&gt;0,sum($G482:G482)&lt;&gt;$E482),G482*(G$4-1)*index($G$134:$Z$134,,G$4-$B311+1),0),if(index($G$135:$Z$135,,$B311)="called",index($G$134:$Z$134,,G$4-$B311+1)*(G164+F164)/2,index($G$134:$Z$134,,G$4-$B311+1)*(G608+F608)/2)),0)</f>
        <v>0</v>
      </c>
      <c r="H311" s="74">
        <f t="shared" si="169"/>
        <v>0</v>
      </c>
      <c r="I311" s="74">
        <f t="shared" si="169"/>
        <v>0</v>
      </c>
      <c r="J311" s="74">
        <f t="shared" si="169"/>
        <v>0</v>
      </c>
      <c r="K311" s="74">
        <f t="shared" si="169"/>
        <v>0</v>
      </c>
      <c r="L311" s="74">
        <f t="shared" si="169"/>
        <v>0</v>
      </c>
      <c r="M311" s="74">
        <f t="shared" si="169"/>
        <v>0</v>
      </c>
      <c r="N311" s="74">
        <f t="shared" si="169"/>
        <v>0</v>
      </c>
      <c r="O311" s="74">
        <f t="shared" si="169"/>
        <v>0</v>
      </c>
      <c r="P311" s="74">
        <f t="shared" si="169"/>
        <v>0</v>
      </c>
      <c r="Q311" s="74">
        <f t="shared" si="169"/>
        <v>0</v>
      </c>
      <c r="R311" s="74">
        <f t="shared" si="169"/>
        <v>0</v>
      </c>
      <c r="S311" s="74">
        <f t="shared" si="169"/>
        <v>0</v>
      </c>
      <c r="T311" s="74">
        <f t="shared" si="169"/>
        <v>0</v>
      </c>
      <c r="U311" s="74">
        <f t="shared" si="169"/>
        <v>0</v>
      </c>
      <c r="V311" s="74">
        <f t="shared" si="169"/>
        <v>0</v>
      </c>
      <c r="W311" s="74">
        <f t="shared" si="169"/>
        <v>0</v>
      </c>
      <c r="X311" s="74">
        <f t="shared" si="169"/>
        <v>0</v>
      </c>
      <c r="Y311" s="74">
        <f t="shared" si="169"/>
        <v>0</v>
      </c>
      <c r="Z311" s="74">
        <f t="shared" si="169"/>
        <v>0</v>
      </c>
    </row>
    <row r="312" hidden="1" outlineLevel="1">
      <c r="B312" s="93">
        <f t="shared" si="165"/>
        <v>7</v>
      </c>
      <c r="C312" s="40"/>
      <c r="D312" s="16" t="s">
        <v>161</v>
      </c>
      <c r="E312" s="74">
        <f t="shared" si="108"/>
        <v>0</v>
      </c>
      <c r="F312" s="74"/>
      <c r="G312" s="74">
        <f t="shared" ref="G312:Z312" si="170">if(G$4&gt;=$B312,if(index($G$135:$Z$135,,G$4-$B312+1)="committed",G588*index($G$134:$Z$134,,G$4-$B312+1)+if(and(G$4&lt;&gt;1,G483&lt;&gt;0,sum($G483:G483)&lt;&gt;$E483),G483*(G$4-1)*index($G$134:$Z$134,,G$4-$B312+1),0),if(index($G$135:$Z$135,,$B312)="called",index($G$134:$Z$134,,G$4-$B312+1)*(G165+F165)/2,index($G$134:$Z$134,,G$4-$B312+1)*(G609+F609)/2)),0)</f>
        <v>0</v>
      </c>
      <c r="H312" s="74">
        <f t="shared" si="170"/>
        <v>0</v>
      </c>
      <c r="I312" s="74">
        <f t="shared" si="170"/>
        <v>0</v>
      </c>
      <c r="J312" s="74">
        <f t="shared" si="170"/>
        <v>0</v>
      </c>
      <c r="K312" s="74">
        <f t="shared" si="170"/>
        <v>0</v>
      </c>
      <c r="L312" s="74">
        <f t="shared" si="170"/>
        <v>0</v>
      </c>
      <c r="M312" s="74">
        <f t="shared" si="170"/>
        <v>0</v>
      </c>
      <c r="N312" s="74">
        <f t="shared" si="170"/>
        <v>0</v>
      </c>
      <c r="O312" s="74">
        <f t="shared" si="170"/>
        <v>0</v>
      </c>
      <c r="P312" s="74">
        <f t="shared" si="170"/>
        <v>0</v>
      </c>
      <c r="Q312" s="74">
        <f t="shared" si="170"/>
        <v>0</v>
      </c>
      <c r="R312" s="74">
        <f t="shared" si="170"/>
        <v>0</v>
      </c>
      <c r="S312" s="74">
        <f t="shared" si="170"/>
        <v>0</v>
      </c>
      <c r="T312" s="74">
        <f t="shared" si="170"/>
        <v>0</v>
      </c>
      <c r="U312" s="74">
        <f t="shared" si="170"/>
        <v>0</v>
      </c>
      <c r="V312" s="74">
        <f t="shared" si="170"/>
        <v>0</v>
      </c>
      <c r="W312" s="74">
        <f t="shared" si="170"/>
        <v>0</v>
      </c>
      <c r="X312" s="74">
        <f t="shared" si="170"/>
        <v>0</v>
      </c>
      <c r="Y312" s="74">
        <f t="shared" si="170"/>
        <v>0</v>
      </c>
      <c r="Z312" s="74">
        <f t="shared" si="170"/>
        <v>0</v>
      </c>
    </row>
    <row r="313" hidden="1" outlineLevel="1">
      <c r="B313" s="93">
        <f t="shared" si="165"/>
        <v>8</v>
      </c>
      <c r="C313" s="40"/>
      <c r="D313" s="16" t="s">
        <v>161</v>
      </c>
      <c r="E313" s="74">
        <f t="shared" si="108"/>
        <v>0</v>
      </c>
      <c r="F313" s="74"/>
      <c r="G313" s="74">
        <f t="shared" ref="G313:Z313" si="171">if(G$4&gt;=$B313,if(index($G$135:$Z$135,,G$4-$B313+1)="committed",G589*index($G$134:$Z$134,,G$4-$B313+1)+if(and(G$4&lt;&gt;1,G484&lt;&gt;0,sum($G484:G484)&lt;&gt;$E484),G484*(G$4-1)*index($G$134:$Z$134,,G$4-$B313+1),0),if(index($G$135:$Z$135,,$B313)="called",index($G$134:$Z$134,,G$4-$B313+1)*(G166+F166)/2,index($G$134:$Z$134,,G$4-$B313+1)*(G610+F610)/2)),0)</f>
        <v>0</v>
      </c>
      <c r="H313" s="74">
        <f t="shared" si="171"/>
        <v>0</v>
      </c>
      <c r="I313" s="74">
        <f t="shared" si="171"/>
        <v>0</v>
      </c>
      <c r="J313" s="74">
        <f t="shared" si="171"/>
        <v>0</v>
      </c>
      <c r="K313" s="74">
        <f t="shared" si="171"/>
        <v>0</v>
      </c>
      <c r="L313" s="74">
        <f t="shared" si="171"/>
        <v>0</v>
      </c>
      <c r="M313" s="74">
        <f t="shared" si="171"/>
        <v>0</v>
      </c>
      <c r="N313" s="74">
        <f t="shared" si="171"/>
        <v>0</v>
      </c>
      <c r="O313" s="74">
        <f t="shared" si="171"/>
        <v>0</v>
      </c>
      <c r="P313" s="74">
        <f t="shared" si="171"/>
        <v>0</v>
      </c>
      <c r="Q313" s="74">
        <f t="shared" si="171"/>
        <v>0</v>
      </c>
      <c r="R313" s="74">
        <f t="shared" si="171"/>
        <v>0</v>
      </c>
      <c r="S313" s="74">
        <f t="shared" si="171"/>
        <v>0</v>
      </c>
      <c r="T313" s="74">
        <f t="shared" si="171"/>
        <v>0</v>
      </c>
      <c r="U313" s="74">
        <f t="shared" si="171"/>
        <v>0</v>
      </c>
      <c r="V313" s="74">
        <f t="shared" si="171"/>
        <v>0</v>
      </c>
      <c r="W313" s="74">
        <f t="shared" si="171"/>
        <v>0</v>
      </c>
      <c r="X313" s="74">
        <f t="shared" si="171"/>
        <v>0</v>
      </c>
      <c r="Y313" s="74">
        <f t="shared" si="171"/>
        <v>0</v>
      </c>
      <c r="Z313" s="74">
        <f t="shared" si="171"/>
        <v>0</v>
      </c>
    </row>
    <row r="314" hidden="1" outlineLevel="1">
      <c r="B314" s="93">
        <f t="shared" si="165"/>
        <v>9</v>
      </c>
      <c r="C314" s="40"/>
      <c r="D314" s="16" t="s">
        <v>161</v>
      </c>
      <c r="E314" s="74">
        <f t="shared" si="108"/>
        <v>0</v>
      </c>
      <c r="F314" s="74"/>
      <c r="G314" s="74">
        <f t="shared" ref="G314:Z314" si="172">if(G$4&gt;=$B314,if(index($G$135:$Z$135,,G$4-$B314+1)="committed",G590*index($G$134:$Z$134,,G$4-$B314+1)+if(and(G$4&lt;&gt;1,G485&lt;&gt;0,sum($G485:G485)&lt;&gt;$E485),G485*(G$4-1)*index($G$134:$Z$134,,G$4-$B314+1),0),if(index($G$135:$Z$135,,$B314)="called",index($G$134:$Z$134,,G$4-$B314+1)*(G167+F167)/2,index($G$134:$Z$134,,G$4-$B314+1)*(G611+F611)/2)),0)</f>
        <v>0</v>
      </c>
      <c r="H314" s="74">
        <f t="shared" si="172"/>
        <v>0</v>
      </c>
      <c r="I314" s="74">
        <f t="shared" si="172"/>
        <v>0</v>
      </c>
      <c r="J314" s="74">
        <f t="shared" si="172"/>
        <v>0</v>
      </c>
      <c r="K314" s="74">
        <f t="shared" si="172"/>
        <v>0</v>
      </c>
      <c r="L314" s="74">
        <f t="shared" si="172"/>
        <v>0</v>
      </c>
      <c r="M314" s="74">
        <f t="shared" si="172"/>
        <v>0</v>
      </c>
      <c r="N314" s="74">
        <f t="shared" si="172"/>
        <v>0</v>
      </c>
      <c r="O314" s="74">
        <f t="shared" si="172"/>
        <v>0</v>
      </c>
      <c r="P314" s="74">
        <f t="shared" si="172"/>
        <v>0</v>
      </c>
      <c r="Q314" s="74">
        <f t="shared" si="172"/>
        <v>0</v>
      </c>
      <c r="R314" s="74">
        <f t="shared" si="172"/>
        <v>0</v>
      </c>
      <c r="S314" s="74">
        <f t="shared" si="172"/>
        <v>0</v>
      </c>
      <c r="T314" s="74">
        <f t="shared" si="172"/>
        <v>0</v>
      </c>
      <c r="U314" s="74">
        <f t="shared" si="172"/>
        <v>0</v>
      </c>
      <c r="V314" s="74">
        <f t="shared" si="172"/>
        <v>0</v>
      </c>
      <c r="W314" s="74">
        <f t="shared" si="172"/>
        <v>0</v>
      </c>
      <c r="X314" s="74">
        <f t="shared" si="172"/>
        <v>0</v>
      </c>
      <c r="Y314" s="74">
        <f t="shared" si="172"/>
        <v>0</v>
      </c>
      <c r="Z314" s="74">
        <f t="shared" si="172"/>
        <v>0</v>
      </c>
    </row>
    <row r="315" hidden="1" outlineLevel="1">
      <c r="B315" s="93">
        <f t="shared" si="165"/>
        <v>10</v>
      </c>
      <c r="C315" s="40"/>
      <c r="D315" s="16" t="s">
        <v>161</v>
      </c>
      <c r="E315" s="74">
        <f t="shared" si="108"/>
        <v>0</v>
      </c>
      <c r="F315" s="74"/>
      <c r="G315" s="74">
        <f t="shared" ref="G315:Z315" si="173">if(G$4&gt;=$B315,if(index($G$135:$Z$135,,G$4-$B315+1)="committed",G591*index($G$134:$Z$134,,G$4-$B315+1)+if(and(G$4&lt;&gt;1,G486&lt;&gt;0,sum($G486:G486)&lt;&gt;$E486),G486*(G$4-1)*index($G$134:$Z$134,,G$4-$B315+1),0),if(index($G$135:$Z$135,,$B315)="called",index($G$134:$Z$134,,G$4-$B315+1)*(G168+F168)/2,index($G$134:$Z$134,,G$4-$B315+1)*(G612+F612)/2)),0)</f>
        <v>0</v>
      </c>
      <c r="H315" s="74">
        <f t="shared" si="173"/>
        <v>0</v>
      </c>
      <c r="I315" s="74">
        <f t="shared" si="173"/>
        <v>0</v>
      </c>
      <c r="J315" s="74">
        <f t="shared" si="173"/>
        <v>0</v>
      </c>
      <c r="K315" s="74">
        <f t="shared" si="173"/>
        <v>0</v>
      </c>
      <c r="L315" s="74">
        <f t="shared" si="173"/>
        <v>0</v>
      </c>
      <c r="M315" s="74">
        <f t="shared" si="173"/>
        <v>0</v>
      </c>
      <c r="N315" s="74">
        <f t="shared" si="173"/>
        <v>0</v>
      </c>
      <c r="O315" s="74">
        <f t="shared" si="173"/>
        <v>0</v>
      </c>
      <c r="P315" s="74">
        <f t="shared" si="173"/>
        <v>0</v>
      </c>
      <c r="Q315" s="74">
        <f t="shared" si="173"/>
        <v>0</v>
      </c>
      <c r="R315" s="74">
        <f t="shared" si="173"/>
        <v>0</v>
      </c>
      <c r="S315" s="74">
        <f t="shared" si="173"/>
        <v>0</v>
      </c>
      <c r="T315" s="74">
        <f t="shared" si="173"/>
        <v>0</v>
      </c>
      <c r="U315" s="74">
        <f t="shared" si="173"/>
        <v>0</v>
      </c>
      <c r="V315" s="74">
        <f t="shared" si="173"/>
        <v>0</v>
      </c>
      <c r="W315" s="74">
        <f t="shared" si="173"/>
        <v>0</v>
      </c>
      <c r="X315" s="74">
        <f t="shared" si="173"/>
        <v>0</v>
      </c>
      <c r="Y315" s="74">
        <f t="shared" si="173"/>
        <v>0</v>
      </c>
      <c r="Z315" s="74">
        <f t="shared" si="173"/>
        <v>0</v>
      </c>
    </row>
    <row r="316" hidden="1" outlineLevel="1">
      <c r="B316" s="93">
        <f t="shared" si="165"/>
        <v>11</v>
      </c>
      <c r="C316" s="40"/>
      <c r="D316" s="16" t="s">
        <v>161</v>
      </c>
      <c r="E316" s="74">
        <f t="shared" si="108"/>
        <v>0</v>
      </c>
      <c r="F316" s="74"/>
      <c r="G316" s="74">
        <f t="shared" ref="G316:Z316" si="174">if(G$4&gt;=$B316,if(index($G$135:$Z$135,,G$4-$B316+1)="committed",G592*index($G$134:$Z$134,,G$4-$B316+1)+if(and(G$4&lt;&gt;1,G487&lt;&gt;0,sum($G487:G487)&lt;&gt;$E487),G487*(G$4-1)*index($G$134:$Z$134,,G$4-$B316+1),0),if(index($G$135:$Z$135,,$B316)="called",index($G$134:$Z$134,,G$4-$B316+1)*(G169+F169)/2,index($G$134:$Z$134,,G$4-$B316+1)*(G613+F613)/2)),0)</f>
        <v>0</v>
      </c>
      <c r="H316" s="74">
        <f t="shared" si="174"/>
        <v>0</v>
      </c>
      <c r="I316" s="74">
        <f t="shared" si="174"/>
        <v>0</v>
      </c>
      <c r="J316" s="74">
        <f t="shared" si="174"/>
        <v>0</v>
      </c>
      <c r="K316" s="74">
        <f t="shared" si="174"/>
        <v>0</v>
      </c>
      <c r="L316" s="74">
        <f t="shared" si="174"/>
        <v>0</v>
      </c>
      <c r="M316" s="74">
        <f t="shared" si="174"/>
        <v>0</v>
      </c>
      <c r="N316" s="74">
        <f t="shared" si="174"/>
        <v>0</v>
      </c>
      <c r="O316" s="74">
        <f t="shared" si="174"/>
        <v>0</v>
      </c>
      <c r="P316" s="74">
        <f t="shared" si="174"/>
        <v>0</v>
      </c>
      <c r="Q316" s="74">
        <f t="shared" si="174"/>
        <v>0</v>
      </c>
      <c r="R316" s="74">
        <f t="shared" si="174"/>
        <v>0</v>
      </c>
      <c r="S316" s="74">
        <f t="shared" si="174"/>
        <v>0</v>
      </c>
      <c r="T316" s="74">
        <f t="shared" si="174"/>
        <v>0</v>
      </c>
      <c r="U316" s="74">
        <f t="shared" si="174"/>
        <v>0</v>
      </c>
      <c r="V316" s="74">
        <f t="shared" si="174"/>
        <v>0</v>
      </c>
      <c r="W316" s="74">
        <f t="shared" si="174"/>
        <v>0</v>
      </c>
      <c r="X316" s="74">
        <f t="shared" si="174"/>
        <v>0</v>
      </c>
      <c r="Y316" s="74">
        <f t="shared" si="174"/>
        <v>0</v>
      </c>
      <c r="Z316" s="74">
        <f t="shared" si="174"/>
        <v>0</v>
      </c>
    </row>
    <row r="317" hidden="1" outlineLevel="1">
      <c r="B317" s="93">
        <f t="shared" si="165"/>
        <v>12</v>
      </c>
      <c r="C317" s="40"/>
      <c r="D317" s="16" t="s">
        <v>161</v>
      </c>
      <c r="E317" s="74">
        <f t="shared" si="108"/>
        <v>0</v>
      </c>
      <c r="F317" s="74"/>
      <c r="G317" s="74">
        <f t="shared" ref="G317:Z317" si="175">if(G$4&gt;=$B317,if(index($G$135:$Z$135,,G$4-$B317+1)="committed",G593*index($G$134:$Z$134,,G$4-$B317+1)+if(and(G$4&lt;&gt;1,G488&lt;&gt;0,sum($G488:G488)&lt;&gt;$E488),G488*(G$4-1)*index($G$134:$Z$134,,G$4-$B317+1),0),if(index($G$135:$Z$135,,$B317)="called",index($G$134:$Z$134,,G$4-$B317+1)*(G170+F170)/2,index($G$134:$Z$134,,G$4-$B317+1)*(G614+F614)/2)),0)</f>
        <v>0</v>
      </c>
      <c r="H317" s="74">
        <f t="shared" si="175"/>
        <v>0</v>
      </c>
      <c r="I317" s="74">
        <f t="shared" si="175"/>
        <v>0</v>
      </c>
      <c r="J317" s="74">
        <f t="shared" si="175"/>
        <v>0</v>
      </c>
      <c r="K317" s="74">
        <f t="shared" si="175"/>
        <v>0</v>
      </c>
      <c r="L317" s="74">
        <f t="shared" si="175"/>
        <v>0</v>
      </c>
      <c r="M317" s="74">
        <f t="shared" si="175"/>
        <v>0</v>
      </c>
      <c r="N317" s="74">
        <f t="shared" si="175"/>
        <v>0</v>
      </c>
      <c r="O317" s="74">
        <f t="shared" si="175"/>
        <v>0</v>
      </c>
      <c r="P317" s="74">
        <f t="shared" si="175"/>
        <v>0</v>
      </c>
      <c r="Q317" s="74">
        <f t="shared" si="175"/>
        <v>0</v>
      </c>
      <c r="R317" s="74">
        <f t="shared" si="175"/>
        <v>0</v>
      </c>
      <c r="S317" s="74">
        <f t="shared" si="175"/>
        <v>0</v>
      </c>
      <c r="T317" s="74">
        <f t="shared" si="175"/>
        <v>0</v>
      </c>
      <c r="U317" s="74">
        <f t="shared" si="175"/>
        <v>0</v>
      </c>
      <c r="V317" s="74">
        <f t="shared" si="175"/>
        <v>0</v>
      </c>
      <c r="W317" s="74">
        <f t="shared" si="175"/>
        <v>0</v>
      </c>
      <c r="X317" s="74">
        <f t="shared" si="175"/>
        <v>0</v>
      </c>
      <c r="Y317" s="74">
        <f t="shared" si="175"/>
        <v>0</v>
      </c>
      <c r="Z317" s="74">
        <f t="shared" si="175"/>
        <v>0</v>
      </c>
    </row>
    <row r="318" hidden="1" outlineLevel="1">
      <c r="B318" s="93">
        <f t="shared" si="165"/>
        <v>13</v>
      </c>
      <c r="C318" s="40"/>
      <c r="D318" s="16" t="s">
        <v>161</v>
      </c>
      <c r="E318" s="74">
        <f t="shared" si="108"/>
        <v>0</v>
      </c>
      <c r="F318" s="74"/>
      <c r="G318" s="74">
        <f t="shared" ref="G318:Z318" si="176">if(G$4&gt;=$B318,if(index($G$135:$Z$135,,G$4-$B318+1)="committed",G594*index($G$134:$Z$134,,G$4-$B318+1)+if(and(G$4&lt;&gt;1,G489&lt;&gt;0,sum($G489:G489)&lt;&gt;$E489),G489*(G$4-1)*index($G$134:$Z$134,,G$4-$B318+1),0),if(index($G$135:$Z$135,,$B318)="called",index($G$134:$Z$134,,G$4-$B318+1)*(G171+F171)/2,index($G$134:$Z$134,,G$4-$B318+1)*(G615+F615)/2)),0)</f>
        <v>0</v>
      </c>
      <c r="H318" s="74">
        <f t="shared" si="176"/>
        <v>0</v>
      </c>
      <c r="I318" s="74">
        <f t="shared" si="176"/>
        <v>0</v>
      </c>
      <c r="J318" s="74">
        <f t="shared" si="176"/>
        <v>0</v>
      </c>
      <c r="K318" s="74">
        <f t="shared" si="176"/>
        <v>0</v>
      </c>
      <c r="L318" s="74">
        <f t="shared" si="176"/>
        <v>0</v>
      </c>
      <c r="M318" s="74">
        <f t="shared" si="176"/>
        <v>0</v>
      </c>
      <c r="N318" s="74">
        <f t="shared" si="176"/>
        <v>0</v>
      </c>
      <c r="O318" s="74">
        <f t="shared" si="176"/>
        <v>0</v>
      </c>
      <c r="P318" s="74">
        <f t="shared" si="176"/>
        <v>0</v>
      </c>
      <c r="Q318" s="74">
        <f t="shared" si="176"/>
        <v>0</v>
      </c>
      <c r="R318" s="74">
        <f t="shared" si="176"/>
        <v>0</v>
      </c>
      <c r="S318" s="74">
        <f t="shared" si="176"/>
        <v>0</v>
      </c>
      <c r="T318" s="74">
        <f t="shared" si="176"/>
        <v>0</v>
      </c>
      <c r="U318" s="74">
        <f t="shared" si="176"/>
        <v>0</v>
      </c>
      <c r="V318" s="74">
        <f t="shared" si="176"/>
        <v>0</v>
      </c>
      <c r="W318" s="74">
        <f t="shared" si="176"/>
        <v>0</v>
      </c>
      <c r="X318" s="74">
        <f t="shared" si="176"/>
        <v>0</v>
      </c>
      <c r="Y318" s="74">
        <f t="shared" si="176"/>
        <v>0</v>
      </c>
      <c r="Z318" s="74">
        <f t="shared" si="176"/>
        <v>0</v>
      </c>
    </row>
    <row r="319" hidden="1" outlineLevel="1">
      <c r="B319" s="93">
        <f t="shared" si="165"/>
        <v>14</v>
      </c>
      <c r="C319" s="40"/>
      <c r="D319" s="16" t="s">
        <v>161</v>
      </c>
      <c r="E319" s="74">
        <f t="shared" si="108"/>
        <v>0</v>
      </c>
      <c r="F319" s="74"/>
      <c r="G319" s="74">
        <f t="shared" ref="G319:Z319" si="177">if(G$4&gt;=$B319,if(index($G$135:$Z$135,,G$4-$B319+1)="committed",G595*index($G$134:$Z$134,,G$4-$B319+1)+if(and(G$4&lt;&gt;1,G490&lt;&gt;0,sum($G490:G490)&lt;&gt;$E490),G490*(G$4-1)*index($G$134:$Z$134,,G$4-$B319+1),0),if(index($G$135:$Z$135,,$B319)="called",index($G$134:$Z$134,,G$4-$B319+1)*(G172+F172)/2,index($G$134:$Z$134,,G$4-$B319+1)*(G616+F616)/2)),0)</f>
        <v>0</v>
      </c>
      <c r="H319" s="74">
        <f t="shared" si="177"/>
        <v>0</v>
      </c>
      <c r="I319" s="74">
        <f t="shared" si="177"/>
        <v>0</v>
      </c>
      <c r="J319" s="74">
        <f t="shared" si="177"/>
        <v>0</v>
      </c>
      <c r="K319" s="74">
        <f t="shared" si="177"/>
        <v>0</v>
      </c>
      <c r="L319" s="74">
        <f t="shared" si="177"/>
        <v>0</v>
      </c>
      <c r="M319" s="74">
        <f t="shared" si="177"/>
        <v>0</v>
      </c>
      <c r="N319" s="74">
        <f t="shared" si="177"/>
        <v>0</v>
      </c>
      <c r="O319" s="74">
        <f t="shared" si="177"/>
        <v>0</v>
      </c>
      <c r="P319" s="74">
        <f t="shared" si="177"/>
        <v>0</v>
      </c>
      <c r="Q319" s="74">
        <f t="shared" si="177"/>
        <v>0</v>
      </c>
      <c r="R319" s="74">
        <f t="shared" si="177"/>
        <v>0</v>
      </c>
      <c r="S319" s="74">
        <f t="shared" si="177"/>
        <v>0</v>
      </c>
      <c r="T319" s="74">
        <f t="shared" si="177"/>
        <v>0</v>
      </c>
      <c r="U319" s="74">
        <f t="shared" si="177"/>
        <v>0</v>
      </c>
      <c r="V319" s="74">
        <f t="shared" si="177"/>
        <v>0</v>
      </c>
      <c r="W319" s="74">
        <f t="shared" si="177"/>
        <v>0</v>
      </c>
      <c r="X319" s="74">
        <f t="shared" si="177"/>
        <v>0</v>
      </c>
      <c r="Y319" s="74">
        <f t="shared" si="177"/>
        <v>0</v>
      </c>
      <c r="Z319" s="74">
        <f t="shared" si="177"/>
        <v>0</v>
      </c>
    </row>
    <row r="320" hidden="1" outlineLevel="1">
      <c r="B320" s="93">
        <f t="shared" si="165"/>
        <v>15</v>
      </c>
      <c r="C320" s="40"/>
      <c r="D320" s="16" t="s">
        <v>161</v>
      </c>
      <c r="E320" s="74">
        <f t="shared" si="108"/>
        <v>0</v>
      </c>
      <c r="F320" s="74"/>
      <c r="G320" s="74">
        <f t="shared" ref="G320:Z320" si="178">if(G$4&gt;=$B320,if(index($G$135:$Z$135,,G$4-$B320+1)="committed",G596*index($G$134:$Z$134,,G$4-$B320+1)+if(and(G$4&lt;&gt;1,G491&lt;&gt;0,sum($G491:G491)&lt;&gt;$E491),G491*(G$4-1)*index($G$134:$Z$134,,G$4-$B320+1),0),if(index($G$135:$Z$135,,$B320)="called",index($G$134:$Z$134,,G$4-$B320+1)*(G173+F173)/2,index($G$134:$Z$134,,G$4-$B320+1)*(G617+F617)/2)),0)</f>
        <v>0</v>
      </c>
      <c r="H320" s="74">
        <f t="shared" si="178"/>
        <v>0</v>
      </c>
      <c r="I320" s="74">
        <f t="shared" si="178"/>
        <v>0</v>
      </c>
      <c r="J320" s="74">
        <f t="shared" si="178"/>
        <v>0</v>
      </c>
      <c r="K320" s="74">
        <f t="shared" si="178"/>
        <v>0</v>
      </c>
      <c r="L320" s="74">
        <f t="shared" si="178"/>
        <v>0</v>
      </c>
      <c r="M320" s="74">
        <f t="shared" si="178"/>
        <v>0</v>
      </c>
      <c r="N320" s="74">
        <f t="shared" si="178"/>
        <v>0</v>
      </c>
      <c r="O320" s="74">
        <f t="shared" si="178"/>
        <v>0</v>
      </c>
      <c r="P320" s="74">
        <f t="shared" si="178"/>
        <v>0</v>
      </c>
      <c r="Q320" s="74">
        <f t="shared" si="178"/>
        <v>0</v>
      </c>
      <c r="R320" s="74">
        <f t="shared" si="178"/>
        <v>0</v>
      </c>
      <c r="S320" s="74">
        <f t="shared" si="178"/>
        <v>0</v>
      </c>
      <c r="T320" s="74">
        <f t="shared" si="178"/>
        <v>0</v>
      </c>
      <c r="U320" s="74">
        <f t="shared" si="178"/>
        <v>0</v>
      </c>
      <c r="V320" s="74">
        <f t="shared" si="178"/>
        <v>0</v>
      </c>
      <c r="W320" s="74">
        <f t="shared" si="178"/>
        <v>0</v>
      </c>
      <c r="X320" s="74">
        <f t="shared" si="178"/>
        <v>0</v>
      </c>
      <c r="Y320" s="74">
        <f t="shared" si="178"/>
        <v>0</v>
      </c>
      <c r="Z320" s="74">
        <f t="shared" si="178"/>
        <v>0</v>
      </c>
    </row>
    <row r="321" hidden="1" outlineLevel="1">
      <c r="B321" s="93">
        <f t="shared" si="165"/>
        <v>16</v>
      </c>
      <c r="C321" s="40"/>
      <c r="D321" s="16" t="s">
        <v>161</v>
      </c>
      <c r="E321" s="74">
        <f t="shared" si="108"/>
        <v>0</v>
      </c>
      <c r="F321" s="74"/>
      <c r="G321" s="74">
        <f t="shared" ref="G321:Z321" si="179">if(G$4&gt;=$B321,if(index($G$135:$Z$135,,G$4-$B321+1)="committed",G597*index($G$134:$Z$134,,G$4-$B321+1)+if(and(G$4&lt;&gt;1,G492&lt;&gt;0,sum($G492:G492)&lt;&gt;$E492),G492*(G$4-1)*index($G$134:$Z$134,,G$4-$B321+1),0),if(index($G$135:$Z$135,,$B321)="called",index($G$134:$Z$134,,G$4-$B321+1)*(G174+F174)/2,index($G$134:$Z$134,,G$4-$B321+1)*(G618+F618)/2)),0)</f>
        <v>0</v>
      </c>
      <c r="H321" s="74">
        <f t="shared" si="179"/>
        <v>0</v>
      </c>
      <c r="I321" s="74">
        <f t="shared" si="179"/>
        <v>0</v>
      </c>
      <c r="J321" s="74">
        <f t="shared" si="179"/>
        <v>0</v>
      </c>
      <c r="K321" s="74">
        <f t="shared" si="179"/>
        <v>0</v>
      </c>
      <c r="L321" s="74">
        <f t="shared" si="179"/>
        <v>0</v>
      </c>
      <c r="M321" s="74">
        <f t="shared" si="179"/>
        <v>0</v>
      </c>
      <c r="N321" s="74">
        <f t="shared" si="179"/>
        <v>0</v>
      </c>
      <c r="O321" s="74">
        <f t="shared" si="179"/>
        <v>0</v>
      </c>
      <c r="P321" s="74">
        <f t="shared" si="179"/>
        <v>0</v>
      </c>
      <c r="Q321" s="74">
        <f t="shared" si="179"/>
        <v>0</v>
      </c>
      <c r="R321" s="74">
        <f t="shared" si="179"/>
        <v>0</v>
      </c>
      <c r="S321" s="74">
        <f t="shared" si="179"/>
        <v>0</v>
      </c>
      <c r="T321" s="74">
        <f t="shared" si="179"/>
        <v>0</v>
      </c>
      <c r="U321" s="74">
        <f t="shared" si="179"/>
        <v>0</v>
      </c>
      <c r="V321" s="74">
        <f t="shared" si="179"/>
        <v>0</v>
      </c>
      <c r="W321" s="74">
        <f t="shared" si="179"/>
        <v>0</v>
      </c>
      <c r="X321" s="74">
        <f t="shared" si="179"/>
        <v>0</v>
      </c>
      <c r="Y321" s="74">
        <f t="shared" si="179"/>
        <v>0</v>
      </c>
      <c r="Z321" s="74">
        <f t="shared" si="179"/>
        <v>0</v>
      </c>
    </row>
    <row r="322" hidden="1" outlineLevel="1">
      <c r="B322" s="93">
        <f t="shared" si="165"/>
        <v>17</v>
      </c>
      <c r="C322" s="40"/>
      <c r="D322" s="16" t="s">
        <v>161</v>
      </c>
      <c r="E322" s="74">
        <f t="shared" si="108"/>
        <v>0</v>
      </c>
      <c r="F322" s="74"/>
      <c r="G322" s="74">
        <f t="shared" ref="G322:Z322" si="180">if(G$4&gt;=$B322,if(index($G$135:$Z$135,,G$4-$B322+1)="committed",G598*index($G$134:$Z$134,,G$4-$B322+1)+if(and(G$4&lt;&gt;1,G493&lt;&gt;0,sum($G493:G493)&lt;&gt;$E493),G493*(G$4-1)*index($G$134:$Z$134,,G$4-$B322+1),0),if(index($G$135:$Z$135,,$B322)="called",index($G$134:$Z$134,,G$4-$B322+1)*(G175+F175)/2,index($G$134:$Z$134,,G$4-$B322+1)*(G619+F619)/2)),0)</f>
        <v>0</v>
      </c>
      <c r="H322" s="74">
        <f t="shared" si="180"/>
        <v>0</v>
      </c>
      <c r="I322" s="74">
        <f t="shared" si="180"/>
        <v>0</v>
      </c>
      <c r="J322" s="74">
        <f t="shared" si="180"/>
        <v>0</v>
      </c>
      <c r="K322" s="74">
        <f t="shared" si="180"/>
        <v>0</v>
      </c>
      <c r="L322" s="74">
        <f t="shared" si="180"/>
        <v>0</v>
      </c>
      <c r="M322" s="74">
        <f t="shared" si="180"/>
        <v>0</v>
      </c>
      <c r="N322" s="74">
        <f t="shared" si="180"/>
        <v>0</v>
      </c>
      <c r="O322" s="74">
        <f t="shared" si="180"/>
        <v>0</v>
      </c>
      <c r="P322" s="74">
        <f t="shared" si="180"/>
        <v>0</v>
      </c>
      <c r="Q322" s="74">
        <f t="shared" si="180"/>
        <v>0</v>
      </c>
      <c r="R322" s="74">
        <f t="shared" si="180"/>
        <v>0</v>
      </c>
      <c r="S322" s="74">
        <f t="shared" si="180"/>
        <v>0</v>
      </c>
      <c r="T322" s="74">
        <f t="shared" si="180"/>
        <v>0</v>
      </c>
      <c r="U322" s="74">
        <f t="shared" si="180"/>
        <v>0</v>
      </c>
      <c r="V322" s="74">
        <f t="shared" si="180"/>
        <v>0</v>
      </c>
      <c r="W322" s="74">
        <f t="shared" si="180"/>
        <v>0</v>
      </c>
      <c r="X322" s="74">
        <f t="shared" si="180"/>
        <v>0</v>
      </c>
      <c r="Y322" s="74">
        <f t="shared" si="180"/>
        <v>0</v>
      </c>
      <c r="Z322" s="74">
        <f t="shared" si="180"/>
        <v>0</v>
      </c>
    </row>
    <row r="323" hidden="1" outlineLevel="1">
      <c r="B323" s="93">
        <f t="shared" si="165"/>
        <v>18</v>
      </c>
      <c r="C323" s="40"/>
      <c r="D323" s="16" t="s">
        <v>161</v>
      </c>
      <c r="E323" s="74">
        <f t="shared" si="108"/>
        <v>0</v>
      </c>
      <c r="F323" s="74"/>
      <c r="G323" s="74">
        <f t="shared" ref="G323:Z323" si="181">if(G$4&gt;=$B323,if(index($G$135:$Z$135,,G$4-$B323+1)="committed",G599*index($G$134:$Z$134,,G$4-$B323+1)+if(and(G$4&lt;&gt;1,G494&lt;&gt;0,sum($G494:G494)&lt;&gt;$E494),G494*(G$4-1)*index($G$134:$Z$134,,G$4-$B323+1),0),if(index($G$135:$Z$135,,$B323)="called",index($G$134:$Z$134,,G$4-$B323+1)*(G176+F176)/2,index($G$134:$Z$134,,G$4-$B323+1)*(G620+F620)/2)),0)</f>
        <v>0</v>
      </c>
      <c r="H323" s="74">
        <f t="shared" si="181"/>
        <v>0</v>
      </c>
      <c r="I323" s="74">
        <f t="shared" si="181"/>
        <v>0</v>
      </c>
      <c r="J323" s="74">
        <f t="shared" si="181"/>
        <v>0</v>
      </c>
      <c r="K323" s="74">
        <f t="shared" si="181"/>
        <v>0</v>
      </c>
      <c r="L323" s="74">
        <f t="shared" si="181"/>
        <v>0</v>
      </c>
      <c r="M323" s="74">
        <f t="shared" si="181"/>
        <v>0</v>
      </c>
      <c r="N323" s="74">
        <f t="shared" si="181"/>
        <v>0</v>
      </c>
      <c r="O323" s="74">
        <f t="shared" si="181"/>
        <v>0</v>
      </c>
      <c r="P323" s="74">
        <f t="shared" si="181"/>
        <v>0</v>
      </c>
      <c r="Q323" s="74">
        <f t="shared" si="181"/>
        <v>0</v>
      </c>
      <c r="R323" s="74">
        <f t="shared" si="181"/>
        <v>0</v>
      </c>
      <c r="S323" s="74">
        <f t="shared" si="181"/>
        <v>0</v>
      </c>
      <c r="T323" s="74">
        <f t="shared" si="181"/>
        <v>0</v>
      </c>
      <c r="U323" s="74">
        <f t="shared" si="181"/>
        <v>0</v>
      </c>
      <c r="V323" s="74">
        <f t="shared" si="181"/>
        <v>0</v>
      </c>
      <c r="W323" s="74">
        <f t="shared" si="181"/>
        <v>0</v>
      </c>
      <c r="X323" s="74">
        <f t="shared" si="181"/>
        <v>0</v>
      </c>
      <c r="Y323" s="74">
        <f t="shared" si="181"/>
        <v>0</v>
      </c>
      <c r="Z323" s="74">
        <f t="shared" si="181"/>
        <v>0</v>
      </c>
    </row>
    <row r="324" hidden="1" outlineLevel="1">
      <c r="B324" s="93">
        <f t="shared" si="165"/>
        <v>19</v>
      </c>
      <c r="C324" s="40"/>
      <c r="D324" s="16" t="s">
        <v>161</v>
      </c>
      <c r="E324" s="74">
        <f t="shared" si="108"/>
        <v>0</v>
      </c>
      <c r="F324" s="74"/>
      <c r="G324" s="74">
        <f t="shared" ref="G324:Z324" si="182">if(G$4&gt;=$B324,if(index($G$135:$Z$135,,G$4-$B324+1)="committed",G600*index($G$134:$Z$134,,G$4-$B324+1)+if(and(G$4&lt;&gt;1,G495&lt;&gt;0,sum($G495:G495)&lt;&gt;$E495),G495*(G$4-1)*index($G$134:$Z$134,,G$4-$B324+1),0),if(index($G$135:$Z$135,,$B324)="called",index($G$134:$Z$134,,G$4-$B324+1)*(G177+F177)/2,index($G$134:$Z$134,,G$4-$B324+1)*(G621+F621)/2)),0)</f>
        <v>0</v>
      </c>
      <c r="H324" s="74">
        <f t="shared" si="182"/>
        <v>0</v>
      </c>
      <c r="I324" s="74">
        <f t="shared" si="182"/>
        <v>0</v>
      </c>
      <c r="J324" s="74">
        <f t="shared" si="182"/>
        <v>0</v>
      </c>
      <c r="K324" s="74">
        <f t="shared" si="182"/>
        <v>0</v>
      </c>
      <c r="L324" s="74">
        <f t="shared" si="182"/>
        <v>0</v>
      </c>
      <c r="M324" s="74">
        <f t="shared" si="182"/>
        <v>0</v>
      </c>
      <c r="N324" s="74">
        <f t="shared" si="182"/>
        <v>0</v>
      </c>
      <c r="O324" s="74">
        <f t="shared" si="182"/>
        <v>0</v>
      </c>
      <c r="P324" s="74">
        <f t="shared" si="182"/>
        <v>0</v>
      </c>
      <c r="Q324" s="74">
        <f t="shared" si="182"/>
        <v>0</v>
      </c>
      <c r="R324" s="74">
        <f t="shared" si="182"/>
        <v>0</v>
      </c>
      <c r="S324" s="74">
        <f t="shared" si="182"/>
        <v>0</v>
      </c>
      <c r="T324" s="74">
        <f t="shared" si="182"/>
        <v>0</v>
      </c>
      <c r="U324" s="74">
        <f t="shared" si="182"/>
        <v>0</v>
      </c>
      <c r="V324" s="74">
        <f t="shared" si="182"/>
        <v>0</v>
      </c>
      <c r="W324" s="74">
        <f t="shared" si="182"/>
        <v>0</v>
      </c>
      <c r="X324" s="74">
        <f t="shared" si="182"/>
        <v>0</v>
      </c>
      <c r="Y324" s="74">
        <f t="shared" si="182"/>
        <v>0</v>
      </c>
      <c r="Z324" s="74">
        <f t="shared" si="182"/>
        <v>0</v>
      </c>
    </row>
    <row r="325" hidden="1" outlineLevel="1">
      <c r="B325" s="93">
        <f t="shared" si="165"/>
        <v>20</v>
      </c>
      <c r="C325" s="40"/>
      <c r="D325" s="16" t="s">
        <v>161</v>
      </c>
      <c r="E325" s="74">
        <f t="shared" si="108"/>
        <v>0</v>
      </c>
      <c r="F325" s="74"/>
      <c r="G325" s="74">
        <f t="shared" ref="G325:Z325" si="183">if(G$4&gt;=$B325,if(index($G$135:$Z$135,,G$4-$B325+1)="committed",G601*index($G$134:$Z$134,,G$4-$B325+1)+if(and(G$4&lt;&gt;1,G496&lt;&gt;0,sum($G496:G496)&lt;&gt;$E496),G496*(G$4-1)*index($G$134:$Z$134,,G$4-$B325+1),0),if(index($G$135:$Z$135,,$B325)="called",index($G$134:$Z$134,,G$4-$B325+1)*(G178+F178)/2,index($G$134:$Z$134,,G$4-$B325+1)*(G622+F622)/2)),0)</f>
        <v>0</v>
      </c>
      <c r="H325" s="74">
        <f t="shared" si="183"/>
        <v>0</v>
      </c>
      <c r="I325" s="74">
        <f t="shared" si="183"/>
        <v>0</v>
      </c>
      <c r="J325" s="74">
        <f t="shared" si="183"/>
        <v>0</v>
      </c>
      <c r="K325" s="74">
        <f t="shared" si="183"/>
        <v>0</v>
      </c>
      <c r="L325" s="74">
        <f t="shared" si="183"/>
        <v>0</v>
      </c>
      <c r="M325" s="74">
        <f t="shared" si="183"/>
        <v>0</v>
      </c>
      <c r="N325" s="74">
        <f t="shared" si="183"/>
        <v>0</v>
      </c>
      <c r="O325" s="74">
        <f t="shared" si="183"/>
        <v>0</v>
      </c>
      <c r="P325" s="74">
        <f t="shared" si="183"/>
        <v>0</v>
      </c>
      <c r="Q325" s="74">
        <f t="shared" si="183"/>
        <v>0</v>
      </c>
      <c r="R325" s="74">
        <f t="shared" si="183"/>
        <v>0</v>
      </c>
      <c r="S325" s="74">
        <f t="shared" si="183"/>
        <v>0</v>
      </c>
      <c r="T325" s="74">
        <f t="shared" si="183"/>
        <v>0</v>
      </c>
      <c r="U325" s="74">
        <f t="shared" si="183"/>
        <v>0</v>
      </c>
      <c r="V325" s="74">
        <f t="shared" si="183"/>
        <v>0</v>
      </c>
      <c r="W325" s="74">
        <f t="shared" si="183"/>
        <v>0</v>
      </c>
      <c r="X325" s="74">
        <f t="shared" si="183"/>
        <v>0</v>
      </c>
      <c r="Y325" s="74">
        <f t="shared" si="183"/>
        <v>0</v>
      </c>
      <c r="Z325" s="74">
        <f t="shared" si="183"/>
        <v>0</v>
      </c>
    </row>
    <row r="326" collapsed="1">
      <c r="B326" s="16" t="s">
        <v>82</v>
      </c>
      <c r="C326" s="16"/>
      <c r="D326" s="16" t="s">
        <v>161</v>
      </c>
      <c r="E326" s="74">
        <f t="shared" si="108"/>
        <v>19690000</v>
      </c>
      <c r="F326" s="78"/>
      <c r="G326" s="77">
        <f t="shared" ref="G326:Z326" si="184">sum(G327:G346)</f>
        <v>0</v>
      </c>
      <c r="H326" s="77">
        <f t="shared" si="184"/>
        <v>0</v>
      </c>
      <c r="I326" s="77">
        <f t="shared" si="184"/>
        <v>0</v>
      </c>
      <c r="J326" s="77">
        <f t="shared" si="184"/>
        <v>1969000</v>
      </c>
      <c r="K326" s="77">
        <f t="shared" si="184"/>
        <v>4297342.5</v>
      </c>
      <c r="L326" s="77">
        <f t="shared" si="184"/>
        <v>6563333.333</v>
      </c>
      <c r="M326" s="77">
        <f t="shared" si="184"/>
        <v>4594333.333</v>
      </c>
      <c r="N326" s="77">
        <f t="shared" si="184"/>
        <v>2265990.833</v>
      </c>
      <c r="O326" s="77">
        <f t="shared" si="184"/>
        <v>0</v>
      </c>
      <c r="P326" s="77">
        <f t="shared" si="184"/>
        <v>0</v>
      </c>
      <c r="Q326" s="77">
        <f t="shared" si="184"/>
        <v>0</v>
      </c>
      <c r="R326" s="77">
        <f t="shared" si="184"/>
        <v>0</v>
      </c>
      <c r="S326" s="77">
        <f t="shared" si="184"/>
        <v>0</v>
      </c>
      <c r="T326" s="77">
        <f t="shared" si="184"/>
        <v>0</v>
      </c>
      <c r="U326" s="77">
        <f t="shared" si="184"/>
        <v>0</v>
      </c>
      <c r="V326" s="77">
        <f t="shared" si="184"/>
        <v>0</v>
      </c>
      <c r="W326" s="77">
        <f t="shared" si="184"/>
        <v>0</v>
      </c>
      <c r="X326" s="77">
        <f t="shared" si="184"/>
        <v>0</v>
      </c>
      <c r="Y326" s="77">
        <f t="shared" si="184"/>
        <v>0</v>
      </c>
      <c r="Z326" s="77">
        <f t="shared" si="184"/>
        <v>0</v>
      </c>
    </row>
    <row r="327" hidden="1" outlineLevel="1">
      <c r="B327" s="93">
        <f>G$4</f>
        <v>1</v>
      </c>
      <c r="C327" s="40"/>
      <c r="D327" s="16" t="s">
        <v>161</v>
      </c>
      <c r="E327" s="74">
        <f t="shared" si="108"/>
        <v>6563333.333</v>
      </c>
      <c r="F327" s="74"/>
      <c r="G327" s="74">
        <f>min(G348,$E729*'Get Started'!$D$30-F750,F729*'Get Started'!$D$30)</f>
        <v>0</v>
      </c>
      <c r="H327" s="74">
        <f>min(H348,$E729*'Get Started'!$D$30-G750,G729*'Get Started'!$D$30)</f>
        <v>0</v>
      </c>
      <c r="I327" s="74">
        <f>min(I348,$E729*'Get Started'!$D$30-H750,H729*'Get Started'!$D$30)</f>
        <v>0</v>
      </c>
      <c r="J327" s="74">
        <f>min(J348,$E729*'Get Started'!$D$30-I750,I729*'Get Started'!$D$30)</f>
        <v>1969000</v>
      </c>
      <c r="K327" s="74">
        <f>min(K348,$E729*'Get Started'!$D$30-J750,J729*'Get Started'!$D$30)</f>
        <v>2328342.5</v>
      </c>
      <c r="L327" s="74">
        <f>min(L348,$E729*'Get Started'!$D$30-K750,K729*'Get Started'!$D$30)</f>
        <v>2265990.833</v>
      </c>
      <c r="M327" s="74">
        <f>min(M348,$E729*'Get Started'!$D$30-L750,L729*'Get Started'!$D$30)</f>
        <v>0</v>
      </c>
      <c r="N327" s="74">
        <f>min(N348,$E729*'Get Started'!$D$30-M750,M729*'Get Started'!$D$30)</f>
        <v>0</v>
      </c>
      <c r="O327" s="74">
        <f>min(O348,$E729*'Get Started'!$D$30-N750,N729*'Get Started'!$D$30)</f>
        <v>0</v>
      </c>
      <c r="P327" s="74">
        <f>min(P348,$E729*'Get Started'!$D$30-O750,O729*'Get Started'!$D$30)</f>
        <v>0</v>
      </c>
      <c r="Q327" s="74">
        <f>min(Q348,$E729*'Get Started'!$D$30-P750,P729*'Get Started'!$D$30)</f>
        <v>0</v>
      </c>
      <c r="R327" s="74">
        <f>min(R348,$E729*'Get Started'!$D$30-Q750,Q729*'Get Started'!$D$30)</f>
        <v>0</v>
      </c>
      <c r="S327" s="74">
        <f>min(S348,$E729*'Get Started'!$D$30-R750,R729*'Get Started'!$D$30)</f>
        <v>0</v>
      </c>
      <c r="T327" s="74">
        <f>min(T348,$E729*'Get Started'!$D$30-S750,S729*'Get Started'!$D$30)</f>
        <v>0</v>
      </c>
      <c r="U327" s="74">
        <f>min(U348,$E729*'Get Started'!$D$30-T750,T729*'Get Started'!$D$30)</f>
        <v>0</v>
      </c>
      <c r="V327" s="74">
        <f>min(V348,$E729*'Get Started'!$D$30-U750,U729*'Get Started'!$D$30)</f>
        <v>0</v>
      </c>
      <c r="W327" s="74">
        <f>min(W348,$E729*'Get Started'!$D$30-V750,V729*'Get Started'!$D$30)</f>
        <v>0</v>
      </c>
      <c r="X327" s="74">
        <f>min(X348,$E729*'Get Started'!$D$30-W750,W729*'Get Started'!$D$30)</f>
        <v>0</v>
      </c>
      <c r="Y327" s="74">
        <f>min(Y348,$E729*'Get Started'!$D$30-X750,X729*'Get Started'!$D$30)</f>
        <v>0</v>
      </c>
      <c r="Z327" s="74">
        <f>min(Z348,$E729*'Get Started'!$D$30-Y750,Y729*'Get Started'!$D$30)</f>
        <v>0</v>
      </c>
    </row>
    <row r="328" hidden="1" outlineLevel="1">
      <c r="B328" s="93">
        <f t="shared" ref="B328:B346" si="185">B327+1</f>
        <v>2</v>
      </c>
      <c r="C328" s="40"/>
      <c r="D328" s="16" t="s">
        <v>161</v>
      </c>
      <c r="E328" s="74">
        <f t="shared" si="108"/>
        <v>6563333.333</v>
      </c>
      <c r="F328" s="74"/>
      <c r="G328" s="74">
        <f>min(G349,$E730*'Get Started'!$D$30-F751,F730*'Get Started'!$D$30)</f>
        <v>0</v>
      </c>
      <c r="H328" s="74">
        <f>min(H349,$E730*'Get Started'!$D$30-G751,G730*'Get Started'!$D$30)</f>
        <v>0</v>
      </c>
      <c r="I328" s="74">
        <f>min(I349,$E730*'Get Started'!$D$30-H751,H730*'Get Started'!$D$30)</f>
        <v>0</v>
      </c>
      <c r="J328" s="74">
        <f>min(J349,$E730*'Get Started'!$D$30-I751,I730*'Get Started'!$D$30)</f>
        <v>0</v>
      </c>
      <c r="K328" s="74">
        <f>min(K349,$E730*'Get Started'!$D$30-J751,J730*'Get Started'!$D$30)</f>
        <v>1969000</v>
      </c>
      <c r="L328" s="74">
        <f>min(L349,$E730*'Get Started'!$D$30-K751,K730*'Get Started'!$D$30)</f>
        <v>2328342.5</v>
      </c>
      <c r="M328" s="74">
        <f>min(M349,$E730*'Get Started'!$D$30-L751,L730*'Get Started'!$D$30)</f>
        <v>2265990.833</v>
      </c>
      <c r="N328" s="74">
        <f>min(N349,$E730*'Get Started'!$D$30-M751,M730*'Get Started'!$D$30)</f>
        <v>0</v>
      </c>
      <c r="O328" s="74">
        <f>min(O349,$E730*'Get Started'!$D$30-N751,N730*'Get Started'!$D$30)</f>
        <v>0</v>
      </c>
      <c r="P328" s="74">
        <f>min(P349,$E730*'Get Started'!$D$30-O751,O730*'Get Started'!$D$30)</f>
        <v>0</v>
      </c>
      <c r="Q328" s="74">
        <f>min(Q349,$E730*'Get Started'!$D$30-P751,P730*'Get Started'!$D$30)</f>
        <v>0</v>
      </c>
      <c r="R328" s="74">
        <f>min(R349,$E730*'Get Started'!$D$30-Q751,Q730*'Get Started'!$D$30)</f>
        <v>0</v>
      </c>
      <c r="S328" s="74">
        <f>min(S349,$E730*'Get Started'!$D$30-R751,R730*'Get Started'!$D$30)</f>
        <v>0</v>
      </c>
      <c r="T328" s="74">
        <f>min(T349,$E730*'Get Started'!$D$30-S751,S730*'Get Started'!$D$30)</f>
        <v>0</v>
      </c>
      <c r="U328" s="74">
        <f>min(U349,$E730*'Get Started'!$D$30-T751,T730*'Get Started'!$D$30)</f>
        <v>0</v>
      </c>
      <c r="V328" s="74">
        <f>min(V349,$E730*'Get Started'!$D$30-U751,U730*'Get Started'!$D$30)</f>
        <v>0</v>
      </c>
      <c r="W328" s="74">
        <f>min(W349,$E730*'Get Started'!$D$30-V751,V730*'Get Started'!$D$30)</f>
        <v>0</v>
      </c>
      <c r="X328" s="74">
        <f>min(X349,$E730*'Get Started'!$D$30-W751,W730*'Get Started'!$D$30)</f>
        <v>0</v>
      </c>
      <c r="Y328" s="74">
        <f>min(Y349,$E730*'Get Started'!$D$30-X751,X730*'Get Started'!$D$30)</f>
        <v>0</v>
      </c>
      <c r="Z328" s="74">
        <f>min(Z349,$E730*'Get Started'!$D$30-Y751,Y730*'Get Started'!$D$30)</f>
        <v>0</v>
      </c>
    </row>
    <row r="329" hidden="1" outlineLevel="1">
      <c r="B329" s="93">
        <f t="shared" si="185"/>
        <v>3</v>
      </c>
      <c r="C329" s="40"/>
      <c r="D329" s="16" t="s">
        <v>161</v>
      </c>
      <c r="E329" s="74">
        <f t="shared" si="108"/>
        <v>6563333.333</v>
      </c>
      <c r="F329" s="74"/>
      <c r="G329" s="74">
        <f>min(G350,$E731*'Get Started'!$D$30-F752,F731*'Get Started'!$D$30)</f>
        <v>0</v>
      </c>
      <c r="H329" s="74">
        <f>min(H350,$E731*'Get Started'!$D$30-G752,G731*'Get Started'!$D$30)</f>
        <v>0</v>
      </c>
      <c r="I329" s="74">
        <f>min(I350,$E731*'Get Started'!$D$30-H752,H731*'Get Started'!$D$30)</f>
        <v>0</v>
      </c>
      <c r="J329" s="74">
        <f>min(J350,$E731*'Get Started'!$D$30-I752,I731*'Get Started'!$D$30)</f>
        <v>0</v>
      </c>
      <c r="K329" s="74">
        <f>min(K350,$E731*'Get Started'!$D$30-J752,J731*'Get Started'!$D$30)</f>
        <v>0</v>
      </c>
      <c r="L329" s="74">
        <f>min(L350,$E731*'Get Started'!$D$30-K752,K731*'Get Started'!$D$30)</f>
        <v>1969000</v>
      </c>
      <c r="M329" s="74">
        <f>min(M350,$E731*'Get Started'!$D$30-L752,L731*'Get Started'!$D$30)</f>
        <v>2328342.5</v>
      </c>
      <c r="N329" s="74">
        <f>min(N350,$E731*'Get Started'!$D$30-M752,M731*'Get Started'!$D$30)</f>
        <v>2265990.833</v>
      </c>
      <c r="O329" s="74">
        <f>min(O350,$E731*'Get Started'!$D$30-N752,N731*'Get Started'!$D$30)</f>
        <v>0</v>
      </c>
      <c r="P329" s="74">
        <f>min(P350,$E731*'Get Started'!$D$30-O752,O731*'Get Started'!$D$30)</f>
        <v>0</v>
      </c>
      <c r="Q329" s="74">
        <f>min(Q350,$E731*'Get Started'!$D$30-P752,P731*'Get Started'!$D$30)</f>
        <v>0</v>
      </c>
      <c r="R329" s="74">
        <f>min(R350,$E731*'Get Started'!$D$30-Q752,Q731*'Get Started'!$D$30)</f>
        <v>0</v>
      </c>
      <c r="S329" s="74">
        <f>min(S350,$E731*'Get Started'!$D$30-R752,R731*'Get Started'!$D$30)</f>
        <v>0</v>
      </c>
      <c r="T329" s="74">
        <f>min(T350,$E731*'Get Started'!$D$30-S752,S731*'Get Started'!$D$30)</f>
        <v>0</v>
      </c>
      <c r="U329" s="74">
        <f>min(U350,$E731*'Get Started'!$D$30-T752,T731*'Get Started'!$D$30)</f>
        <v>0</v>
      </c>
      <c r="V329" s="74">
        <f>min(V350,$E731*'Get Started'!$D$30-U752,U731*'Get Started'!$D$30)</f>
        <v>0</v>
      </c>
      <c r="W329" s="74">
        <f>min(W350,$E731*'Get Started'!$D$30-V752,V731*'Get Started'!$D$30)</f>
        <v>0</v>
      </c>
      <c r="X329" s="74">
        <f>min(X350,$E731*'Get Started'!$D$30-W752,W731*'Get Started'!$D$30)</f>
        <v>0</v>
      </c>
      <c r="Y329" s="74">
        <f>min(Y350,$E731*'Get Started'!$D$30-X752,X731*'Get Started'!$D$30)</f>
        <v>0</v>
      </c>
      <c r="Z329" s="74">
        <f>min(Z350,$E731*'Get Started'!$D$30-Y752,Y731*'Get Started'!$D$30)</f>
        <v>0</v>
      </c>
    </row>
    <row r="330" hidden="1" outlineLevel="1">
      <c r="B330" s="93">
        <f t="shared" si="185"/>
        <v>4</v>
      </c>
      <c r="C330" s="40"/>
      <c r="D330" s="16" t="s">
        <v>161</v>
      </c>
      <c r="E330" s="74">
        <f t="shared" si="108"/>
        <v>0</v>
      </c>
      <c r="F330" s="74"/>
      <c r="G330" s="74">
        <f>min(G351,$E732*'Get Started'!$D$30-F753,F732*'Get Started'!$D$30)</f>
        <v>0</v>
      </c>
      <c r="H330" s="74">
        <f>min(H351,$E732*'Get Started'!$D$30-G753,G732*'Get Started'!$D$30)</f>
        <v>0</v>
      </c>
      <c r="I330" s="74">
        <f>min(I351,$E732*'Get Started'!$D$30-H753,H732*'Get Started'!$D$30)</f>
        <v>0</v>
      </c>
      <c r="J330" s="74">
        <f>min(J351,$E732*'Get Started'!$D$30-I753,I732*'Get Started'!$D$30)</f>
        <v>0</v>
      </c>
      <c r="K330" s="74">
        <f>min(K351,$E732*'Get Started'!$D$30-J753,J732*'Get Started'!$D$30)</f>
        <v>0</v>
      </c>
      <c r="L330" s="74">
        <f>min(L351,$E732*'Get Started'!$D$30-K753,K732*'Get Started'!$D$30)</f>
        <v>0</v>
      </c>
      <c r="M330" s="74">
        <f>min(M351,$E732*'Get Started'!$D$30-L753,L732*'Get Started'!$D$30)</f>
        <v>0</v>
      </c>
      <c r="N330" s="74">
        <f>min(N351,$E732*'Get Started'!$D$30-M753,M732*'Get Started'!$D$30)</f>
        <v>0</v>
      </c>
      <c r="O330" s="74">
        <f>min(O351,$E732*'Get Started'!$D$30-N753,N732*'Get Started'!$D$30)</f>
        <v>0</v>
      </c>
      <c r="P330" s="74">
        <f>min(P351,$E732*'Get Started'!$D$30-O753,O732*'Get Started'!$D$30)</f>
        <v>0</v>
      </c>
      <c r="Q330" s="74">
        <f>min(Q351,$E732*'Get Started'!$D$30-P753,P732*'Get Started'!$D$30)</f>
        <v>0</v>
      </c>
      <c r="R330" s="74">
        <f>min(R351,$E732*'Get Started'!$D$30-Q753,Q732*'Get Started'!$D$30)</f>
        <v>0</v>
      </c>
      <c r="S330" s="74">
        <f>min(S351,$E732*'Get Started'!$D$30-R753,R732*'Get Started'!$D$30)</f>
        <v>0</v>
      </c>
      <c r="T330" s="74">
        <f>min(T351,$E732*'Get Started'!$D$30-S753,S732*'Get Started'!$D$30)</f>
        <v>0</v>
      </c>
      <c r="U330" s="74">
        <f>min(U351,$E732*'Get Started'!$D$30-T753,T732*'Get Started'!$D$30)</f>
        <v>0</v>
      </c>
      <c r="V330" s="74">
        <f>min(V351,$E732*'Get Started'!$D$30-U753,U732*'Get Started'!$D$30)</f>
        <v>0</v>
      </c>
      <c r="W330" s="74">
        <f>min(W351,$E732*'Get Started'!$D$30-V753,V732*'Get Started'!$D$30)</f>
        <v>0</v>
      </c>
      <c r="X330" s="74">
        <f>min(X351,$E732*'Get Started'!$D$30-W753,W732*'Get Started'!$D$30)</f>
        <v>0</v>
      </c>
      <c r="Y330" s="74">
        <f>min(Y351,$E732*'Get Started'!$D$30-X753,X732*'Get Started'!$D$30)</f>
        <v>0</v>
      </c>
      <c r="Z330" s="74">
        <f>min(Z351,$E732*'Get Started'!$D$30-Y753,Y732*'Get Started'!$D$30)</f>
        <v>0</v>
      </c>
    </row>
    <row r="331" hidden="1" outlineLevel="1">
      <c r="B331" s="93">
        <f t="shared" si="185"/>
        <v>5</v>
      </c>
      <c r="C331" s="40"/>
      <c r="D331" s="16" t="s">
        <v>161</v>
      </c>
      <c r="E331" s="74">
        <f t="shared" si="108"/>
        <v>0</v>
      </c>
      <c r="F331" s="74"/>
      <c r="G331" s="74">
        <f>min(G352,$E733*'Get Started'!$D$30-F754,F733*'Get Started'!$D$30)</f>
        <v>0</v>
      </c>
      <c r="H331" s="74">
        <f>min(H352,$E733*'Get Started'!$D$30-G754,G733*'Get Started'!$D$30)</f>
        <v>0</v>
      </c>
      <c r="I331" s="74">
        <f>min(I352,$E733*'Get Started'!$D$30-H754,H733*'Get Started'!$D$30)</f>
        <v>0</v>
      </c>
      <c r="J331" s="74">
        <f>min(J352,$E733*'Get Started'!$D$30-I754,I733*'Get Started'!$D$30)</f>
        <v>0</v>
      </c>
      <c r="K331" s="74">
        <f>min(K352,$E733*'Get Started'!$D$30-J754,J733*'Get Started'!$D$30)</f>
        <v>0</v>
      </c>
      <c r="L331" s="74">
        <f>min(L352,$E733*'Get Started'!$D$30-K754,K733*'Get Started'!$D$30)</f>
        <v>0</v>
      </c>
      <c r="M331" s="74">
        <f>min(M352,$E733*'Get Started'!$D$30-L754,L733*'Get Started'!$D$30)</f>
        <v>0</v>
      </c>
      <c r="N331" s="74">
        <f>min(N352,$E733*'Get Started'!$D$30-M754,M733*'Get Started'!$D$30)</f>
        <v>0</v>
      </c>
      <c r="O331" s="74">
        <f>min(O352,$E733*'Get Started'!$D$30-N754,N733*'Get Started'!$D$30)</f>
        <v>0</v>
      </c>
      <c r="P331" s="74">
        <f>min(P352,$E733*'Get Started'!$D$30-O754,O733*'Get Started'!$D$30)</f>
        <v>0</v>
      </c>
      <c r="Q331" s="74">
        <f>min(Q352,$E733*'Get Started'!$D$30-P754,P733*'Get Started'!$D$30)</f>
        <v>0</v>
      </c>
      <c r="R331" s="74">
        <f>min(R352,$E733*'Get Started'!$D$30-Q754,Q733*'Get Started'!$D$30)</f>
        <v>0</v>
      </c>
      <c r="S331" s="74">
        <f>min(S352,$E733*'Get Started'!$D$30-R754,R733*'Get Started'!$D$30)</f>
        <v>0</v>
      </c>
      <c r="T331" s="74">
        <f>min(T352,$E733*'Get Started'!$D$30-S754,S733*'Get Started'!$D$30)</f>
        <v>0</v>
      </c>
      <c r="U331" s="74">
        <f>min(U352,$E733*'Get Started'!$D$30-T754,T733*'Get Started'!$D$30)</f>
        <v>0</v>
      </c>
      <c r="V331" s="74">
        <f>min(V352,$E733*'Get Started'!$D$30-U754,U733*'Get Started'!$D$30)</f>
        <v>0</v>
      </c>
      <c r="W331" s="74">
        <f>min(W352,$E733*'Get Started'!$D$30-V754,V733*'Get Started'!$D$30)</f>
        <v>0</v>
      </c>
      <c r="X331" s="74">
        <f>min(X352,$E733*'Get Started'!$D$30-W754,W733*'Get Started'!$D$30)</f>
        <v>0</v>
      </c>
      <c r="Y331" s="74">
        <f>min(Y352,$E733*'Get Started'!$D$30-X754,X733*'Get Started'!$D$30)</f>
        <v>0</v>
      </c>
      <c r="Z331" s="74">
        <f>min(Z352,$E733*'Get Started'!$D$30-Y754,Y733*'Get Started'!$D$30)</f>
        <v>0</v>
      </c>
    </row>
    <row r="332" hidden="1" outlineLevel="1">
      <c r="B332" s="93">
        <f t="shared" si="185"/>
        <v>6</v>
      </c>
      <c r="C332" s="40"/>
      <c r="D332" s="16" t="s">
        <v>161</v>
      </c>
      <c r="E332" s="74">
        <f t="shared" si="108"/>
        <v>0</v>
      </c>
      <c r="F332" s="74"/>
      <c r="G332" s="74">
        <f>min(G353,$E734*'Get Started'!$D$30-F755,F734*'Get Started'!$D$30)</f>
        <v>0</v>
      </c>
      <c r="H332" s="74">
        <f>min(H353,$E734*'Get Started'!$D$30-G755,G734*'Get Started'!$D$30)</f>
        <v>0</v>
      </c>
      <c r="I332" s="74">
        <f>min(I353,$E734*'Get Started'!$D$30-H755,H734*'Get Started'!$D$30)</f>
        <v>0</v>
      </c>
      <c r="J332" s="74">
        <f>min(J353,$E734*'Get Started'!$D$30-I755,I734*'Get Started'!$D$30)</f>
        <v>0</v>
      </c>
      <c r="K332" s="74">
        <f>min(K353,$E734*'Get Started'!$D$30-J755,J734*'Get Started'!$D$30)</f>
        <v>0</v>
      </c>
      <c r="L332" s="74">
        <f>min(L353,$E734*'Get Started'!$D$30-K755,K734*'Get Started'!$D$30)</f>
        <v>0</v>
      </c>
      <c r="M332" s="74">
        <f>min(M353,$E734*'Get Started'!$D$30-L755,L734*'Get Started'!$D$30)</f>
        <v>0</v>
      </c>
      <c r="N332" s="74">
        <f>min(N353,$E734*'Get Started'!$D$30-M755,M734*'Get Started'!$D$30)</f>
        <v>0</v>
      </c>
      <c r="O332" s="74">
        <f>min(O353,$E734*'Get Started'!$D$30-N755,N734*'Get Started'!$D$30)</f>
        <v>0</v>
      </c>
      <c r="P332" s="74">
        <f>min(P353,$E734*'Get Started'!$D$30-O755,O734*'Get Started'!$D$30)</f>
        <v>0</v>
      </c>
      <c r="Q332" s="74">
        <f>min(Q353,$E734*'Get Started'!$D$30-P755,P734*'Get Started'!$D$30)</f>
        <v>0</v>
      </c>
      <c r="R332" s="74">
        <f>min(R353,$E734*'Get Started'!$D$30-Q755,Q734*'Get Started'!$D$30)</f>
        <v>0</v>
      </c>
      <c r="S332" s="74">
        <f>min(S353,$E734*'Get Started'!$D$30-R755,R734*'Get Started'!$D$30)</f>
        <v>0</v>
      </c>
      <c r="T332" s="74">
        <f>min(T353,$E734*'Get Started'!$D$30-S755,S734*'Get Started'!$D$30)</f>
        <v>0</v>
      </c>
      <c r="U332" s="74">
        <f>min(U353,$E734*'Get Started'!$D$30-T755,T734*'Get Started'!$D$30)</f>
        <v>0</v>
      </c>
      <c r="V332" s="74">
        <f>min(V353,$E734*'Get Started'!$D$30-U755,U734*'Get Started'!$D$30)</f>
        <v>0</v>
      </c>
      <c r="W332" s="74">
        <f>min(W353,$E734*'Get Started'!$D$30-V755,V734*'Get Started'!$D$30)</f>
        <v>0</v>
      </c>
      <c r="X332" s="74">
        <f>min(X353,$E734*'Get Started'!$D$30-W755,W734*'Get Started'!$D$30)</f>
        <v>0</v>
      </c>
      <c r="Y332" s="74">
        <f>min(Y353,$E734*'Get Started'!$D$30-X755,X734*'Get Started'!$D$30)</f>
        <v>0</v>
      </c>
      <c r="Z332" s="74">
        <f>min(Z353,$E734*'Get Started'!$D$30-Y755,Y734*'Get Started'!$D$30)</f>
        <v>0</v>
      </c>
    </row>
    <row r="333" hidden="1" outlineLevel="1">
      <c r="B333" s="93">
        <f t="shared" si="185"/>
        <v>7</v>
      </c>
      <c r="C333" s="40"/>
      <c r="D333" s="16" t="s">
        <v>161</v>
      </c>
      <c r="E333" s="74">
        <f t="shared" si="108"/>
        <v>0</v>
      </c>
      <c r="F333" s="74"/>
      <c r="G333" s="74">
        <f>min(G354,$E735*'Get Started'!$D$30-F756,F735*'Get Started'!$D$30)</f>
        <v>0</v>
      </c>
      <c r="H333" s="74">
        <f>min(H354,$E735*'Get Started'!$D$30-G756,G735*'Get Started'!$D$30)</f>
        <v>0</v>
      </c>
      <c r="I333" s="74">
        <f>min(I354,$E735*'Get Started'!$D$30-H756,H735*'Get Started'!$D$30)</f>
        <v>0</v>
      </c>
      <c r="J333" s="74">
        <f>min(J354,$E735*'Get Started'!$D$30-I756,I735*'Get Started'!$D$30)</f>
        <v>0</v>
      </c>
      <c r="K333" s="74">
        <f>min(K354,$E735*'Get Started'!$D$30-J756,J735*'Get Started'!$D$30)</f>
        <v>0</v>
      </c>
      <c r="L333" s="74">
        <f>min(L354,$E735*'Get Started'!$D$30-K756,K735*'Get Started'!$D$30)</f>
        <v>0</v>
      </c>
      <c r="M333" s="74">
        <f>min(M354,$E735*'Get Started'!$D$30-L756,L735*'Get Started'!$D$30)</f>
        <v>0</v>
      </c>
      <c r="N333" s="74">
        <f>min(N354,$E735*'Get Started'!$D$30-M756,M735*'Get Started'!$D$30)</f>
        <v>0</v>
      </c>
      <c r="O333" s="74">
        <f>min(O354,$E735*'Get Started'!$D$30-N756,N735*'Get Started'!$D$30)</f>
        <v>0</v>
      </c>
      <c r="P333" s="74">
        <f>min(P354,$E735*'Get Started'!$D$30-O756,O735*'Get Started'!$D$30)</f>
        <v>0</v>
      </c>
      <c r="Q333" s="74">
        <f>min(Q354,$E735*'Get Started'!$D$30-P756,P735*'Get Started'!$D$30)</f>
        <v>0</v>
      </c>
      <c r="R333" s="74">
        <f>min(R354,$E735*'Get Started'!$D$30-Q756,Q735*'Get Started'!$D$30)</f>
        <v>0</v>
      </c>
      <c r="S333" s="74">
        <f>min(S354,$E735*'Get Started'!$D$30-R756,R735*'Get Started'!$D$30)</f>
        <v>0</v>
      </c>
      <c r="T333" s="74">
        <f>min(T354,$E735*'Get Started'!$D$30-S756,S735*'Get Started'!$D$30)</f>
        <v>0</v>
      </c>
      <c r="U333" s="74">
        <f>min(U354,$E735*'Get Started'!$D$30-T756,T735*'Get Started'!$D$30)</f>
        <v>0</v>
      </c>
      <c r="V333" s="74">
        <f>min(V354,$E735*'Get Started'!$D$30-U756,U735*'Get Started'!$D$30)</f>
        <v>0</v>
      </c>
      <c r="W333" s="74">
        <f>min(W354,$E735*'Get Started'!$D$30-V756,V735*'Get Started'!$D$30)</f>
        <v>0</v>
      </c>
      <c r="X333" s="74">
        <f>min(X354,$E735*'Get Started'!$D$30-W756,W735*'Get Started'!$D$30)</f>
        <v>0</v>
      </c>
      <c r="Y333" s="74">
        <f>min(Y354,$E735*'Get Started'!$D$30-X756,X735*'Get Started'!$D$30)</f>
        <v>0</v>
      </c>
      <c r="Z333" s="74">
        <f>min(Z354,$E735*'Get Started'!$D$30-Y756,Y735*'Get Started'!$D$30)</f>
        <v>0</v>
      </c>
    </row>
    <row r="334" hidden="1" outlineLevel="1">
      <c r="B334" s="93">
        <f t="shared" si="185"/>
        <v>8</v>
      </c>
      <c r="C334" s="40"/>
      <c r="D334" s="16" t="s">
        <v>161</v>
      </c>
      <c r="E334" s="74">
        <f t="shared" si="108"/>
        <v>0</v>
      </c>
      <c r="F334" s="74"/>
      <c r="G334" s="74">
        <f>min(G355,$E736*'Get Started'!$D$30-F757,F736*'Get Started'!$D$30)</f>
        <v>0</v>
      </c>
      <c r="H334" s="74">
        <f>min(H355,$E736*'Get Started'!$D$30-G757,G736*'Get Started'!$D$30)</f>
        <v>0</v>
      </c>
      <c r="I334" s="74">
        <f>min(I355,$E736*'Get Started'!$D$30-H757,H736*'Get Started'!$D$30)</f>
        <v>0</v>
      </c>
      <c r="J334" s="74">
        <f>min(J355,$E736*'Get Started'!$D$30-I757,I736*'Get Started'!$D$30)</f>
        <v>0</v>
      </c>
      <c r="K334" s="74">
        <f>min(K355,$E736*'Get Started'!$D$30-J757,J736*'Get Started'!$D$30)</f>
        <v>0</v>
      </c>
      <c r="L334" s="74">
        <f>min(L355,$E736*'Get Started'!$D$30-K757,K736*'Get Started'!$D$30)</f>
        <v>0</v>
      </c>
      <c r="M334" s="74">
        <f>min(M355,$E736*'Get Started'!$D$30-L757,L736*'Get Started'!$D$30)</f>
        <v>0</v>
      </c>
      <c r="N334" s="74">
        <f>min(N355,$E736*'Get Started'!$D$30-M757,M736*'Get Started'!$D$30)</f>
        <v>0</v>
      </c>
      <c r="O334" s="74">
        <f>min(O355,$E736*'Get Started'!$D$30-N757,N736*'Get Started'!$D$30)</f>
        <v>0</v>
      </c>
      <c r="P334" s="74">
        <f>min(P355,$E736*'Get Started'!$D$30-O757,O736*'Get Started'!$D$30)</f>
        <v>0</v>
      </c>
      <c r="Q334" s="74">
        <f>min(Q355,$E736*'Get Started'!$D$30-P757,P736*'Get Started'!$D$30)</f>
        <v>0</v>
      </c>
      <c r="R334" s="74">
        <f>min(R355,$E736*'Get Started'!$D$30-Q757,Q736*'Get Started'!$D$30)</f>
        <v>0</v>
      </c>
      <c r="S334" s="74">
        <f>min(S355,$E736*'Get Started'!$D$30-R757,R736*'Get Started'!$D$30)</f>
        <v>0</v>
      </c>
      <c r="T334" s="74">
        <f>min(T355,$E736*'Get Started'!$D$30-S757,S736*'Get Started'!$D$30)</f>
        <v>0</v>
      </c>
      <c r="U334" s="74">
        <f>min(U355,$E736*'Get Started'!$D$30-T757,T736*'Get Started'!$D$30)</f>
        <v>0</v>
      </c>
      <c r="V334" s="74">
        <f>min(V355,$E736*'Get Started'!$D$30-U757,U736*'Get Started'!$D$30)</f>
        <v>0</v>
      </c>
      <c r="W334" s="74">
        <f>min(W355,$E736*'Get Started'!$D$30-V757,V736*'Get Started'!$D$30)</f>
        <v>0</v>
      </c>
      <c r="X334" s="74">
        <f>min(X355,$E736*'Get Started'!$D$30-W757,W736*'Get Started'!$D$30)</f>
        <v>0</v>
      </c>
      <c r="Y334" s="74">
        <f>min(Y355,$E736*'Get Started'!$D$30-X757,X736*'Get Started'!$D$30)</f>
        <v>0</v>
      </c>
      <c r="Z334" s="74">
        <f>min(Z355,$E736*'Get Started'!$D$30-Y757,Y736*'Get Started'!$D$30)</f>
        <v>0</v>
      </c>
    </row>
    <row r="335" hidden="1" outlineLevel="1">
      <c r="B335" s="93">
        <f t="shared" si="185"/>
        <v>9</v>
      </c>
      <c r="C335" s="40"/>
      <c r="D335" s="16" t="s">
        <v>161</v>
      </c>
      <c r="E335" s="74">
        <f t="shared" si="108"/>
        <v>0</v>
      </c>
      <c r="F335" s="74"/>
      <c r="G335" s="74">
        <f>min(G356,$E737*'Get Started'!$D$30-F758,F737*'Get Started'!$D$30)</f>
        <v>0</v>
      </c>
      <c r="H335" s="74">
        <f>min(H356,$E737*'Get Started'!$D$30-G758,G737*'Get Started'!$D$30)</f>
        <v>0</v>
      </c>
      <c r="I335" s="74">
        <f>min(I356,$E737*'Get Started'!$D$30-H758,H737*'Get Started'!$D$30)</f>
        <v>0</v>
      </c>
      <c r="J335" s="74">
        <f>min(J356,$E737*'Get Started'!$D$30-I758,I737*'Get Started'!$D$30)</f>
        <v>0</v>
      </c>
      <c r="K335" s="74">
        <f>min(K356,$E737*'Get Started'!$D$30-J758,J737*'Get Started'!$D$30)</f>
        <v>0</v>
      </c>
      <c r="L335" s="74">
        <f>min(L356,$E737*'Get Started'!$D$30-K758,K737*'Get Started'!$D$30)</f>
        <v>0</v>
      </c>
      <c r="M335" s="74">
        <f>min(M356,$E737*'Get Started'!$D$30-L758,L737*'Get Started'!$D$30)</f>
        <v>0</v>
      </c>
      <c r="N335" s="74">
        <f>min(N356,$E737*'Get Started'!$D$30-M758,M737*'Get Started'!$D$30)</f>
        <v>0</v>
      </c>
      <c r="O335" s="74">
        <f>min(O356,$E737*'Get Started'!$D$30-N758,N737*'Get Started'!$D$30)</f>
        <v>0</v>
      </c>
      <c r="P335" s="74">
        <f>min(P356,$E737*'Get Started'!$D$30-O758,O737*'Get Started'!$D$30)</f>
        <v>0</v>
      </c>
      <c r="Q335" s="74">
        <f>min(Q356,$E737*'Get Started'!$D$30-P758,P737*'Get Started'!$D$30)</f>
        <v>0</v>
      </c>
      <c r="R335" s="74">
        <f>min(R356,$E737*'Get Started'!$D$30-Q758,Q737*'Get Started'!$D$30)</f>
        <v>0</v>
      </c>
      <c r="S335" s="74">
        <f>min(S356,$E737*'Get Started'!$D$30-R758,R737*'Get Started'!$D$30)</f>
        <v>0</v>
      </c>
      <c r="T335" s="74">
        <f>min(T356,$E737*'Get Started'!$D$30-S758,S737*'Get Started'!$D$30)</f>
        <v>0</v>
      </c>
      <c r="U335" s="74">
        <f>min(U356,$E737*'Get Started'!$D$30-T758,T737*'Get Started'!$D$30)</f>
        <v>0</v>
      </c>
      <c r="V335" s="74">
        <f>min(V356,$E737*'Get Started'!$D$30-U758,U737*'Get Started'!$D$30)</f>
        <v>0</v>
      </c>
      <c r="W335" s="74">
        <f>min(W356,$E737*'Get Started'!$D$30-V758,V737*'Get Started'!$D$30)</f>
        <v>0</v>
      </c>
      <c r="X335" s="74">
        <f>min(X356,$E737*'Get Started'!$D$30-W758,W737*'Get Started'!$D$30)</f>
        <v>0</v>
      </c>
      <c r="Y335" s="74">
        <f>min(Y356,$E737*'Get Started'!$D$30-X758,X737*'Get Started'!$D$30)</f>
        <v>0</v>
      </c>
      <c r="Z335" s="74">
        <f>min(Z356,$E737*'Get Started'!$D$30-Y758,Y737*'Get Started'!$D$30)</f>
        <v>0</v>
      </c>
    </row>
    <row r="336" hidden="1" outlineLevel="1">
      <c r="B336" s="93">
        <f t="shared" si="185"/>
        <v>10</v>
      </c>
      <c r="C336" s="40"/>
      <c r="D336" s="16" t="s">
        <v>161</v>
      </c>
      <c r="E336" s="74">
        <f t="shared" si="108"/>
        <v>0</v>
      </c>
      <c r="F336" s="74"/>
      <c r="G336" s="74">
        <f>min(G357,$E738*'Get Started'!$D$30-F759,F738*'Get Started'!$D$30)</f>
        <v>0</v>
      </c>
      <c r="H336" s="74">
        <f>min(H357,$E738*'Get Started'!$D$30-G759,G738*'Get Started'!$D$30)</f>
        <v>0</v>
      </c>
      <c r="I336" s="74">
        <f>min(I357,$E738*'Get Started'!$D$30-H759,H738*'Get Started'!$D$30)</f>
        <v>0</v>
      </c>
      <c r="J336" s="74">
        <f>min(J357,$E738*'Get Started'!$D$30-I759,I738*'Get Started'!$D$30)</f>
        <v>0</v>
      </c>
      <c r="K336" s="74">
        <f>min(K357,$E738*'Get Started'!$D$30-J759,J738*'Get Started'!$D$30)</f>
        <v>0</v>
      </c>
      <c r="L336" s="74">
        <f>min(L357,$E738*'Get Started'!$D$30-K759,K738*'Get Started'!$D$30)</f>
        <v>0</v>
      </c>
      <c r="M336" s="74">
        <f>min(M357,$E738*'Get Started'!$D$30-L759,L738*'Get Started'!$D$30)</f>
        <v>0</v>
      </c>
      <c r="N336" s="74">
        <f>min(N357,$E738*'Get Started'!$D$30-M759,M738*'Get Started'!$D$30)</f>
        <v>0</v>
      </c>
      <c r="O336" s="74">
        <f>min(O357,$E738*'Get Started'!$D$30-N759,N738*'Get Started'!$D$30)</f>
        <v>0</v>
      </c>
      <c r="P336" s="74">
        <f>min(P357,$E738*'Get Started'!$D$30-O759,O738*'Get Started'!$D$30)</f>
        <v>0</v>
      </c>
      <c r="Q336" s="74">
        <f>min(Q357,$E738*'Get Started'!$D$30-P759,P738*'Get Started'!$D$30)</f>
        <v>0</v>
      </c>
      <c r="R336" s="74">
        <f>min(R357,$E738*'Get Started'!$D$30-Q759,Q738*'Get Started'!$D$30)</f>
        <v>0</v>
      </c>
      <c r="S336" s="74">
        <f>min(S357,$E738*'Get Started'!$D$30-R759,R738*'Get Started'!$D$30)</f>
        <v>0</v>
      </c>
      <c r="T336" s="74">
        <f>min(T357,$E738*'Get Started'!$D$30-S759,S738*'Get Started'!$D$30)</f>
        <v>0</v>
      </c>
      <c r="U336" s="74">
        <f>min(U357,$E738*'Get Started'!$D$30-T759,T738*'Get Started'!$D$30)</f>
        <v>0</v>
      </c>
      <c r="V336" s="74">
        <f>min(V357,$E738*'Get Started'!$D$30-U759,U738*'Get Started'!$D$30)</f>
        <v>0</v>
      </c>
      <c r="W336" s="74">
        <f>min(W357,$E738*'Get Started'!$D$30-V759,V738*'Get Started'!$D$30)</f>
        <v>0</v>
      </c>
      <c r="X336" s="74">
        <f>min(X357,$E738*'Get Started'!$D$30-W759,W738*'Get Started'!$D$30)</f>
        <v>0</v>
      </c>
      <c r="Y336" s="74">
        <f>min(Y357,$E738*'Get Started'!$D$30-X759,X738*'Get Started'!$D$30)</f>
        <v>0</v>
      </c>
      <c r="Z336" s="74">
        <f>min(Z357,$E738*'Get Started'!$D$30-Y759,Y738*'Get Started'!$D$30)</f>
        <v>0</v>
      </c>
    </row>
    <row r="337" hidden="1" outlineLevel="1">
      <c r="B337" s="93">
        <f t="shared" si="185"/>
        <v>11</v>
      </c>
      <c r="C337" s="40"/>
      <c r="D337" s="16" t="s">
        <v>161</v>
      </c>
      <c r="E337" s="74">
        <f t="shared" si="108"/>
        <v>0</v>
      </c>
      <c r="F337" s="74"/>
      <c r="G337" s="74">
        <f>min(G358,$E739*'Get Started'!$D$30-F760,F739*'Get Started'!$D$30)</f>
        <v>0</v>
      </c>
      <c r="H337" s="74">
        <f>min(H358,$E739*'Get Started'!$D$30-G760,G739*'Get Started'!$D$30)</f>
        <v>0</v>
      </c>
      <c r="I337" s="74">
        <f>min(I358,$E739*'Get Started'!$D$30-H760,H739*'Get Started'!$D$30)</f>
        <v>0</v>
      </c>
      <c r="J337" s="74">
        <f>min(J358,$E739*'Get Started'!$D$30-I760,I739*'Get Started'!$D$30)</f>
        <v>0</v>
      </c>
      <c r="K337" s="74">
        <f>min(K358,$E739*'Get Started'!$D$30-J760,J739*'Get Started'!$D$30)</f>
        <v>0</v>
      </c>
      <c r="L337" s="74">
        <f>min(L358,$E739*'Get Started'!$D$30-K760,K739*'Get Started'!$D$30)</f>
        <v>0</v>
      </c>
      <c r="M337" s="74">
        <f>min(M358,$E739*'Get Started'!$D$30-L760,L739*'Get Started'!$D$30)</f>
        <v>0</v>
      </c>
      <c r="N337" s="74">
        <f>min(N358,$E739*'Get Started'!$D$30-M760,M739*'Get Started'!$D$30)</f>
        <v>0</v>
      </c>
      <c r="O337" s="74">
        <f>min(O358,$E739*'Get Started'!$D$30-N760,N739*'Get Started'!$D$30)</f>
        <v>0</v>
      </c>
      <c r="P337" s="74">
        <f>min(P358,$E739*'Get Started'!$D$30-O760,O739*'Get Started'!$D$30)</f>
        <v>0</v>
      </c>
      <c r="Q337" s="74">
        <f>min(Q358,$E739*'Get Started'!$D$30-P760,P739*'Get Started'!$D$30)</f>
        <v>0</v>
      </c>
      <c r="R337" s="74">
        <f>min(R358,$E739*'Get Started'!$D$30-Q760,Q739*'Get Started'!$D$30)</f>
        <v>0</v>
      </c>
      <c r="S337" s="74">
        <f>min(S358,$E739*'Get Started'!$D$30-R760,R739*'Get Started'!$D$30)</f>
        <v>0</v>
      </c>
      <c r="T337" s="74">
        <f>min(T358,$E739*'Get Started'!$D$30-S760,S739*'Get Started'!$D$30)</f>
        <v>0</v>
      </c>
      <c r="U337" s="74">
        <f>min(U358,$E739*'Get Started'!$D$30-T760,T739*'Get Started'!$D$30)</f>
        <v>0</v>
      </c>
      <c r="V337" s="74">
        <f>min(V358,$E739*'Get Started'!$D$30-U760,U739*'Get Started'!$D$30)</f>
        <v>0</v>
      </c>
      <c r="W337" s="74">
        <f>min(W358,$E739*'Get Started'!$D$30-V760,V739*'Get Started'!$D$30)</f>
        <v>0</v>
      </c>
      <c r="X337" s="74">
        <f>min(X358,$E739*'Get Started'!$D$30-W760,W739*'Get Started'!$D$30)</f>
        <v>0</v>
      </c>
      <c r="Y337" s="74">
        <f>min(Y358,$E739*'Get Started'!$D$30-X760,X739*'Get Started'!$D$30)</f>
        <v>0</v>
      </c>
      <c r="Z337" s="74">
        <f>min(Z358,$E739*'Get Started'!$D$30-Y760,Y739*'Get Started'!$D$30)</f>
        <v>0</v>
      </c>
    </row>
    <row r="338" hidden="1" outlineLevel="1">
      <c r="B338" s="93">
        <f t="shared" si="185"/>
        <v>12</v>
      </c>
      <c r="C338" s="40"/>
      <c r="D338" s="16" t="s">
        <v>161</v>
      </c>
      <c r="E338" s="74">
        <f t="shared" si="108"/>
        <v>0</v>
      </c>
      <c r="F338" s="74"/>
      <c r="G338" s="74">
        <f>min(G359,$E740*'Get Started'!$D$30-F761,F740*'Get Started'!$D$30)</f>
        <v>0</v>
      </c>
      <c r="H338" s="74">
        <f>min(H359,$E740*'Get Started'!$D$30-G761,G740*'Get Started'!$D$30)</f>
        <v>0</v>
      </c>
      <c r="I338" s="74">
        <f>min(I359,$E740*'Get Started'!$D$30-H761,H740*'Get Started'!$D$30)</f>
        <v>0</v>
      </c>
      <c r="J338" s="74">
        <f>min(J359,$E740*'Get Started'!$D$30-I761,I740*'Get Started'!$D$30)</f>
        <v>0</v>
      </c>
      <c r="K338" s="74">
        <f>min(K359,$E740*'Get Started'!$D$30-J761,J740*'Get Started'!$D$30)</f>
        <v>0</v>
      </c>
      <c r="L338" s="74">
        <f>min(L359,$E740*'Get Started'!$D$30-K761,K740*'Get Started'!$D$30)</f>
        <v>0</v>
      </c>
      <c r="M338" s="74">
        <f>min(M359,$E740*'Get Started'!$D$30-L761,L740*'Get Started'!$D$30)</f>
        <v>0</v>
      </c>
      <c r="N338" s="74">
        <f>min(N359,$E740*'Get Started'!$D$30-M761,M740*'Get Started'!$D$30)</f>
        <v>0</v>
      </c>
      <c r="O338" s="74">
        <f>min(O359,$E740*'Get Started'!$D$30-N761,N740*'Get Started'!$D$30)</f>
        <v>0</v>
      </c>
      <c r="P338" s="74">
        <f>min(P359,$E740*'Get Started'!$D$30-O761,O740*'Get Started'!$D$30)</f>
        <v>0</v>
      </c>
      <c r="Q338" s="74">
        <f>min(Q359,$E740*'Get Started'!$D$30-P761,P740*'Get Started'!$D$30)</f>
        <v>0</v>
      </c>
      <c r="R338" s="74">
        <f>min(R359,$E740*'Get Started'!$D$30-Q761,Q740*'Get Started'!$D$30)</f>
        <v>0</v>
      </c>
      <c r="S338" s="74">
        <f>min(S359,$E740*'Get Started'!$D$30-R761,R740*'Get Started'!$D$30)</f>
        <v>0</v>
      </c>
      <c r="T338" s="74">
        <f>min(T359,$E740*'Get Started'!$D$30-S761,S740*'Get Started'!$D$30)</f>
        <v>0</v>
      </c>
      <c r="U338" s="74">
        <f>min(U359,$E740*'Get Started'!$D$30-T761,T740*'Get Started'!$D$30)</f>
        <v>0</v>
      </c>
      <c r="V338" s="74">
        <f>min(V359,$E740*'Get Started'!$D$30-U761,U740*'Get Started'!$D$30)</f>
        <v>0</v>
      </c>
      <c r="W338" s="74">
        <f>min(W359,$E740*'Get Started'!$D$30-V761,V740*'Get Started'!$D$30)</f>
        <v>0</v>
      </c>
      <c r="X338" s="74">
        <f>min(X359,$E740*'Get Started'!$D$30-W761,W740*'Get Started'!$D$30)</f>
        <v>0</v>
      </c>
      <c r="Y338" s="74">
        <f>min(Y359,$E740*'Get Started'!$D$30-X761,X740*'Get Started'!$D$30)</f>
        <v>0</v>
      </c>
      <c r="Z338" s="74">
        <f>min(Z359,$E740*'Get Started'!$D$30-Y761,Y740*'Get Started'!$D$30)</f>
        <v>0</v>
      </c>
    </row>
    <row r="339" hidden="1" outlineLevel="1">
      <c r="B339" s="93">
        <f t="shared" si="185"/>
        <v>13</v>
      </c>
      <c r="C339" s="40"/>
      <c r="D339" s="16" t="s">
        <v>161</v>
      </c>
      <c r="E339" s="74">
        <f t="shared" si="108"/>
        <v>0</v>
      </c>
      <c r="F339" s="74"/>
      <c r="G339" s="74">
        <f>min(G360,$E741*'Get Started'!$D$30-F762,F741*'Get Started'!$D$30)</f>
        <v>0</v>
      </c>
      <c r="H339" s="74">
        <f>min(H360,$E741*'Get Started'!$D$30-G762,G741*'Get Started'!$D$30)</f>
        <v>0</v>
      </c>
      <c r="I339" s="74">
        <f>min(I360,$E741*'Get Started'!$D$30-H762,H741*'Get Started'!$D$30)</f>
        <v>0</v>
      </c>
      <c r="J339" s="74">
        <f>min(J360,$E741*'Get Started'!$D$30-I762,I741*'Get Started'!$D$30)</f>
        <v>0</v>
      </c>
      <c r="K339" s="74">
        <f>min(K360,$E741*'Get Started'!$D$30-J762,J741*'Get Started'!$D$30)</f>
        <v>0</v>
      </c>
      <c r="L339" s="74">
        <f>min(L360,$E741*'Get Started'!$D$30-K762,K741*'Get Started'!$D$30)</f>
        <v>0</v>
      </c>
      <c r="M339" s="74">
        <f>min(M360,$E741*'Get Started'!$D$30-L762,L741*'Get Started'!$D$30)</f>
        <v>0</v>
      </c>
      <c r="N339" s="74">
        <f>min(N360,$E741*'Get Started'!$D$30-M762,M741*'Get Started'!$D$30)</f>
        <v>0</v>
      </c>
      <c r="O339" s="74">
        <f>min(O360,$E741*'Get Started'!$D$30-N762,N741*'Get Started'!$D$30)</f>
        <v>0</v>
      </c>
      <c r="P339" s="74">
        <f>min(P360,$E741*'Get Started'!$D$30-O762,O741*'Get Started'!$D$30)</f>
        <v>0</v>
      </c>
      <c r="Q339" s="74">
        <f>min(Q360,$E741*'Get Started'!$D$30-P762,P741*'Get Started'!$D$30)</f>
        <v>0</v>
      </c>
      <c r="R339" s="74">
        <f>min(R360,$E741*'Get Started'!$D$30-Q762,Q741*'Get Started'!$D$30)</f>
        <v>0</v>
      </c>
      <c r="S339" s="74">
        <f>min(S360,$E741*'Get Started'!$D$30-R762,R741*'Get Started'!$D$30)</f>
        <v>0</v>
      </c>
      <c r="T339" s="74">
        <f>min(T360,$E741*'Get Started'!$D$30-S762,S741*'Get Started'!$D$30)</f>
        <v>0</v>
      </c>
      <c r="U339" s="74">
        <f>min(U360,$E741*'Get Started'!$D$30-T762,T741*'Get Started'!$D$30)</f>
        <v>0</v>
      </c>
      <c r="V339" s="74">
        <f>min(V360,$E741*'Get Started'!$D$30-U762,U741*'Get Started'!$D$30)</f>
        <v>0</v>
      </c>
      <c r="W339" s="74">
        <f>min(W360,$E741*'Get Started'!$D$30-V762,V741*'Get Started'!$D$30)</f>
        <v>0</v>
      </c>
      <c r="X339" s="74">
        <f>min(X360,$E741*'Get Started'!$D$30-W762,W741*'Get Started'!$D$30)</f>
        <v>0</v>
      </c>
      <c r="Y339" s="74">
        <f>min(Y360,$E741*'Get Started'!$D$30-X762,X741*'Get Started'!$D$30)</f>
        <v>0</v>
      </c>
      <c r="Z339" s="74">
        <f>min(Z360,$E741*'Get Started'!$D$30-Y762,Y741*'Get Started'!$D$30)</f>
        <v>0</v>
      </c>
    </row>
    <row r="340" hidden="1" outlineLevel="1">
      <c r="B340" s="93">
        <f t="shared" si="185"/>
        <v>14</v>
      </c>
      <c r="C340" s="40"/>
      <c r="D340" s="16" t="s">
        <v>161</v>
      </c>
      <c r="E340" s="74">
        <f t="shared" si="108"/>
        <v>0</v>
      </c>
      <c r="F340" s="74"/>
      <c r="G340" s="74">
        <f>min(G361,$E742*'Get Started'!$D$30-F763,F742*'Get Started'!$D$30)</f>
        <v>0</v>
      </c>
      <c r="H340" s="74">
        <f>min(H361,$E742*'Get Started'!$D$30-G763,G742*'Get Started'!$D$30)</f>
        <v>0</v>
      </c>
      <c r="I340" s="74">
        <f>min(I361,$E742*'Get Started'!$D$30-H763,H742*'Get Started'!$D$30)</f>
        <v>0</v>
      </c>
      <c r="J340" s="74">
        <f>min(J361,$E742*'Get Started'!$D$30-I763,I742*'Get Started'!$D$30)</f>
        <v>0</v>
      </c>
      <c r="K340" s="74">
        <f>min(K361,$E742*'Get Started'!$D$30-J763,J742*'Get Started'!$D$30)</f>
        <v>0</v>
      </c>
      <c r="L340" s="74">
        <f>min(L361,$E742*'Get Started'!$D$30-K763,K742*'Get Started'!$D$30)</f>
        <v>0</v>
      </c>
      <c r="M340" s="74">
        <f>min(M361,$E742*'Get Started'!$D$30-L763,L742*'Get Started'!$D$30)</f>
        <v>0</v>
      </c>
      <c r="N340" s="74">
        <f>min(N361,$E742*'Get Started'!$D$30-M763,M742*'Get Started'!$D$30)</f>
        <v>0</v>
      </c>
      <c r="O340" s="74">
        <f>min(O361,$E742*'Get Started'!$D$30-N763,N742*'Get Started'!$D$30)</f>
        <v>0</v>
      </c>
      <c r="P340" s="74">
        <f>min(P361,$E742*'Get Started'!$D$30-O763,O742*'Get Started'!$D$30)</f>
        <v>0</v>
      </c>
      <c r="Q340" s="74">
        <f>min(Q361,$E742*'Get Started'!$D$30-P763,P742*'Get Started'!$D$30)</f>
        <v>0</v>
      </c>
      <c r="R340" s="74">
        <f>min(R361,$E742*'Get Started'!$D$30-Q763,Q742*'Get Started'!$D$30)</f>
        <v>0</v>
      </c>
      <c r="S340" s="74">
        <f>min(S361,$E742*'Get Started'!$D$30-R763,R742*'Get Started'!$D$30)</f>
        <v>0</v>
      </c>
      <c r="T340" s="74">
        <f>min(T361,$E742*'Get Started'!$D$30-S763,S742*'Get Started'!$D$30)</f>
        <v>0</v>
      </c>
      <c r="U340" s="74">
        <f>min(U361,$E742*'Get Started'!$D$30-T763,T742*'Get Started'!$D$30)</f>
        <v>0</v>
      </c>
      <c r="V340" s="74">
        <f>min(V361,$E742*'Get Started'!$D$30-U763,U742*'Get Started'!$D$30)</f>
        <v>0</v>
      </c>
      <c r="W340" s="74">
        <f>min(W361,$E742*'Get Started'!$D$30-V763,V742*'Get Started'!$D$30)</f>
        <v>0</v>
      </c>
      <c r="X340" s="74">
        <f>min(X361,$E742*'Get Started'!$D$30-W763,W742*'Get Started'!$D$30)</f>
        <v>0</v>
      </c>
      <c r="Y340" s="74">
        <f>min(Y361,$E742*'Get Started'!$D$30-X763,X742*'Get Started'!$D$30)</f>
        <v>0</v>
      </c>
      <c r="Z340" s="74">
        <f>min(Z361,$E742*'Get Started'!$D$30-Y763,Y742*'Get Started'!$D$30)</f>
        <v>0</v>
      </c>
    </row>
    <row r="341" hidden="1" outlineLevel="1">
      <c r="B341" s="93">
        <f t="shared" si="185"/>
        <v>15</v>
      </c>
      <c r="C341" s="40"/>
      <c r="D341" s="16" t="s">
        <v>161</v>
      </c>
      <c r="E341" s="74">
        <f t="shared" si="108"/>
        <v>0</v>
      </c>
      <c r="F341" s="74"/>
      <c r="G341" s="74">
        <f>min(G362,$E743*'Get Started'!$D$30-F764,F743*'Get Started'!$D$30)</f>
        <v>0</v>
      </c>
      <c r="H341" s="74">
        <f>min(H362,$E743*'Get Started'!$D$30-G764,G743*'Get Started'!$D$30)</f>
        <v>0</v>
      </c>
      <c r="I341" s="74">
        <f>min(I362,$E743*'Get Started'!$D$30-H764,H743*'Get Started'!$D$30)</f>
        <v>0</v>
      </c>
      <c r="J341" s="74">
        <f>min(J362,$E743*'Get Started'!$D$30-I764,I743*'Get Started'!$D$30)</f>
        <v>0</v>
      </c>
      <c r="K341" s="74">
        <f>min(K362,$E743*'Get Started'!$D$30-J764,J743*'Get Started'!$D$30)</f>
        <v>0</v>
      </c>
      <c r="L341" s="74">
        <f>min(L362,$E743*'Get Started'!$D$30-K764,K743*'Get Started'!$D$30)</f>
        <v>0</v>
      </c>
      <c r="M341" s="74">
        <f>min(M362,$E743*'Get Started'!$D$30-L764,L743*'Get Started'!$D$30)</f>
        <v>0</v>
      </c>
      <c r="N341" s="74">
        <f>min(N362,$E743*'Get Started'!$D$30-M764,M743*'Get Started'!$D$30)</f>
        <v>0</v>
      </c>
      <c r="O341" s="74">
        <f>min(O362,$E743*'Get Started'!$D$30-N764,N743*'Get Started'!$D$30)</f>
        <v>0</v>
      </c>
      <c r="P341" s="74">
        <f>min(P362,$E743*'Get Started'!$D$30-O764,O743*'Get Started'!$D$30)</f>
        <v>0</v>
      </c>
      <c r="Q341" s="74">
        <f>min(Q362,$E743*'Get Started'!$D$30-P764,P743*'Get Started'!$D$30)</f>
        <v>0</v>
      </c>
      <c r="R341" s="74">
        <f>min(R362,$E743*'Get Started'!$D$30-Q764,Q743*'Get Started'!$D$30)</f>
        <v>0</v>
      </c>
      <c r="S341" s="74">
        <f>min(S362,$E743*'Get Started'!$D$30-R764,R743*'Get Started'!$D$30)</f>
        <v>0</v>
      </c>
      <c r="T341" s="74">
        <f>min(T362,$E743*'Get Started'!$D$30-S764,S743*'Get Started'!$D$30)</f>
        <v>0</v>
      </c>
      <c r="U341" s="74">
        <f>min(U362,$E743*'Get Started'!$D$30-T764,T743*'Get Started'!$D$30)</f>
        <v>0</v>
      </c>
      <c r="V341" s="74">
        <f>min(V362,$E743*'Get Started'!$D$30-U764,U743*'Get Started'!$D$30)</f>
        <v>0</v>
      </c>
      <c r="W341" s="74">
        <f>min(W362,$E743*'Get Started'!$D$30-V764,V743*'Get Started'!$D$30)</f>
        <v>0</v>
      </c>
      <c r="X341" s="74">
        <f>min(X362,$E743*'Get Started'!$D$30-W764,W743*'Get Started'!$D$30)</f>
        <v>0</v>
      </c>
      <c r="Y341" s="74">
        <f>min(Y362,$E743*'Get Started'!$D$30-X764,X743*'Get Started'!$D$30)</f>
        <v>0</v>
      </c>
      <c r="Z341" s="74">
        <f>min(Z362,$E743*'Get Started'!$D$30-Y764,Y743*'Get Started'!$D$30)</f>
        <v>0</v>
      </c>
    </row>
    <row r="342" hidden="1" outlineLevel="1">
      <c r="B342" s="93">
        <f t="shared" si="185"/>
        <v>16</v>
      </c>
      <c r="C342" s="40"/>
      <c r="D342" s="16" t="s">
        <v>161</v>
      </c>
      <c r="E342" s="74">
        <f t="shared" si="108"/>
        <v>0</v>
      </c>
      <c r="F342" s="74"/>
      <c r="G342" s="74">
        <f>min(G363,$E744*'Get Started'!$D$30-F765,F744*'Get Started'!$D$30)</f>
        <v>0</v>
      </c>
      <c r="H342" s="74">
        <f>min(H363,$E744*'Get Started'!$D$30-G765,G744*'Get Started'!$D$30)</f>
        <v>0</v>
      </c>
      <c r="I342" s="74">
        <f>min(I363,$E744*'Get Started'!$D$30-H765,H744*'Get Started'!$D$30)</f>
        <v>0</v>
      </c>
      <c r="J342" s="74">
        <f>min(J363,$E744*'Get Started'!$D$30-I765,I744*'Get Started'!$D$30)</f>
        <v>0</v>
      </c>
      <c r="K342" s="74">
        <f>min(K363,$E744*'Get Started'!$D$30-J765,J744*'Get Started'!$D$30)</f>
        <v>0</v>
      </c>
      <c r="L342" s="74">
        <f>min(L363,$E744*'Get Started'!$D$30-K765,K744*'Get Started'!$D$30)</f>
        <v>0</v>
      </c>
      <c r="M342" s="74">
        <f>min(M363,$E744*'Get Started'!$D$30-L765,L744*'Get Started'!$D$30)</f>
        <v>0</v>
      </c>
      <c r="N342" s="74">
        <f>min(N363,$E744*'Get Started'!$D$30-M765,M744*'Get Started'!$D$30)</f>
        <v>0</v>
      </c>
      <c r="O342" s="74">
        <f>min(O363,$E744*'Get Started'!$D$30-N765,N744*'Get Started'!$D$30)</f>
        <v>0</v>
      </c>
      <c r="P342" s="74">
        <f>min(P363,$E744*'Get Started'!$D$30-O765,O744*'Get Started'!$D$30)</f>
        <v>0</v>
      </c>
      <c r="Q342" s="74">
        <f>min(Q363,$E744*'Get Started'!$D$30-P765,P744*'Get Started'!$D$30)</f>
        <v>0</v>
      </c>
      <c r="R342" s="74">
        <f>min(R363,$E744*'Get Started'!$D$30-Q765,Q744*'Get Started'!$D$30)</f>
        <v>0</v>
      </c>
      <c r="S342" s="74">
        <f>min(S363,$E744*'Get Started'!$D$30-R765,R744*'Get Started'!$D$30)</f>
        <v>0</v>
      </c>
      <c r="T342" s="74">
        <f>min(T363,$E744*'Get Started'!$D$30-S765,S744*'Get Started'!$D$30)</f>
        <v>0</v>
      </c>
      <c r="U342" s="74">
        <f>min(U363,$E744*'Get Started'!$D$30-T765,T744*'Get Started'!$D$30)</f>
        <v>0</v>
      </c>
      <c r="V342" s="74">
        <f>min(V363,$E744*'Get Started'!$D$30-U765,U744*'Get Started'!$D$30)</f>
        <v>0</v>
      </c>
      <c r="W342" s="74">
        <f>min(W363,$E744*'Get Started'!$D$30-V765,V744*'Get Started'!$D$30)</f>
        <v>0</v>
      </c>
      <c r="X342" s="74">
        <f>min(X363,$E744*'Get Started'!$D$30-W765,W744*'Get Started'!$D$30)</f>
        <v>0</v>
      </c>
      <c r="Y342" s="74">
        <f>min(Y363,$E744*'Get Started'!$D$30-X765,X744*'Get Started'!$D$30)</f>
        <v>0</v>
      </c>
      <c r="Z342" s="74">
        <f>min(Z363,$E744*'Get Started'!$D$30-Y765,Y744*'Get Started'!$D$30)</f>
        <v>0</v>
      </c>
    </row>
    <row r="343" hidden="1" outlineLevel="1">
      <c r="B343" s="93">
        <f t="shared" si="185"/>
        <v>17</v>
      </c>
      <c r="C343" s="40"/>
      <c r="D343" s="16" t="s">
        <v>161</v>
      </c>
      <c r="E343" s="74">
        <f t="shared" si="108"/>
        <v>0</v>
      </c>
      <c r="F343" s="74"/>
      <c r="G343" s="74">
        <f>min(G364,$E745*'Get Started'!$D$30-F766,F745*'Get Started'!$D$30)</f>
        <v>0</v>
      </c>
      <c r="H343" s="74">
        <f>min(H364,$E745*'Get Started'!$D$30-G766,G745*'Get Started'!$D$30)</f>
        <v>0</v>
      </c>
      <c r="I343" s="74">
        <f>min(I364,$E745*'Get Started'!$D$30-H766,H745*'Get Started'!$D$30)</f>
        <v>0</v>
      </c>
      <c r="J343" s="74">
        <f>min(J364,$E745*'Get Started'!$D$30-I766,I745*'Get Started'!$D$30)</f>
        <v>0</v>
      </c>
      <c r="K343" s="74">
        <f>min(K364,$E745*'Get Started'!$D$30-J766,J745*'Get Started'!$D$30)</f>
        <v>0</v>
      </c>
      <c r="L343" s="74">
        <f>min(L364,$E745*'Get Started'!$D$30-K766,K745*'Get Started'!$D$30)</f>
        <v>0</v>
      </c>
      <c r="M343" s="74">
        <f>min(M364,$E745*'Get Started'!$D$30-L766,L745*'Get Started'!$D$30)</f>
        <v>0</v>
      </c>
      <c r="N343" s="74">
        <f>min(N364,$E745*'Get Started'!$D$30-M766,M745*'Get Started'!$D$30)</f>
        <v>0</v>
      </c>
      <c r="O343" s="74">
        <f>min(O364,$E745*'Get Started'!$D$30-N766,N745*'Get Started'!$D$30)</f>
        <v>0</v>
      </c>
      <c r="P343" s="74">
        <f>min(P364,$E745*'Get Started'!$D$30-O766,O745*'Get Started'!$D$30)</f>
        <v>0</v>
      </c>
      <c r="Q343" s="74">
        <f>min(Q364,$E745*'Get Started'!$D$30-P766,P745*'Get Started'!$D$30)</f>
        <v>0</v>
      </c>
      <c r="R343" s="74">
        <f>min(R364,$E745*'Get Started'!$D$30-Q766,Q745*'Get Started'!$D$30)</f>
        <v>0</v>
      </c>
      <c r="S343" s="74">
        <f>min(S364,$E745*'Get Started'!$D$30-R766,R745*'Get Started'!$D$30)</f>
        <v>0</v>
      </c>
      <c r="T343" s="74">
        <f>min(T364,$E745*'Get Started'!$D$30-S766,S745*'Get Started'!$D$30)</f>
        <v>0</v>
      </c>
      <c r="U343" s="74">
        <f>min(U364,$E745*'Get Started'!$D$30-T766,T745*'Get Started'!$D$30)</f>
        <v>0</v>
      </c>
      <c r="V343" s="74">
        <f>min(V364,$E745*'Get Started'!$D$30-U766,U745*'Get Started'!$D$30)</f>
        <v>0</v>
      </c>
      <c r="W343" s="74">
        <f>min(W364,$E745*'Get Started'!$D$30-V766,V745*'Get Started'!$D$30)</f>
        <v>0</v>
      </c>
      <c r="X343" s="74">
        <f>min(X364,$E745*'Get Started'!$D$30-W766,W745*'Get Started'!$D$30)</f>
        <v>0</v>
      </c>
      <c r="Y343" s="74">
        <f>min(Y364,$E745*'Get Started'!$D$30-X766,X745*'Get Started'!$D$30)</f>
        <v>0</v>
      </c>
      <c r="Z343" s="74">
        <f>min(Z364,$E745*'Get Started'!$D$30-Y766,Y745*'Get Started'!$D$30)</f>
        <v>0</v>
      </c>
    </row>
    <row r="344" hidden="1" outlineLevel="1">
      <c r="B344" s="93">
        <f t="shared" si="185"/>
        <v>18</v>
      </c>
      <c r="C344" s="40"/>
      <c r="D344" s="16" t="s">
        <v>161</v>
      </c>
      <c r="E344" s="74">
        <f t="shared" si="108"/>
        <v>0</v>
      </c>
      <c r="F344" s="74"/>
      <c r="G344" s="74">
        <f>min(G365,$E746*'Get Started'!$D$30-F767,F746*'Get Started'!$D$30)</f>
        <v>0</v>
      </c>
      <c r="H344" s="74">
        <f>min(H365,$E746*'Get Started'!$D$30-G767,G746*'Get Started'!$D$30)</f>
        <v>0</v>
      </c>
      <c r="I344" s="74">
        <f>min(I365,$E746*'Get Started'!$D$30-H767,H746*'Get Started'!$D$30)</f>
        <v>0</v>
      </c>
      <c r="J344" s="74">
        <f>min(J365,$E746*'Get Started'!$D$30-I767,I746*'Get Started'!$D$30)</f>
        <v>0</v>
      </c>
      <c r="K344" s="74">
        <f>min(K365,$E746*'Get Started'!$D$30-J767,J746*'Get Started'!$D$30)</f>
        <v>0</v>
      </c>
      <c r="L344" s="74">
        <f>min(L365,$E746*'Get Started'!$D$30-K767,K746*'Get Started'!$D$30)</f>
        <v>0</v>
      </c>
      <c r="M344" s="74">
        <f>min(M365,$E746*'Get Started'!$D$30-L767,L746*'Get Started'!$D$30)</f>
        <v>0</v>
      </c>
      <c r="N344" s="74">
        <f>min(N365,$E746*'Get Started'!$D$30-M767,M746*'Get Started'!$D$30)</f>
        <v>0</v>
      </c>
      <c r="O344" s="74">
        <f>min(O365,$E746*'Get Started'!$D$30-N767,N746*'Get Started'!$D$30)</f>
        <v>0</v>
      </c>
      <c r="P344" s="74">
        <f>min(P365,$E746*'Get Started'!$D$30-O767,O746*'Get Started'!$D$30)</f>
        <v>0</v>
      </c>
      <c r="Q344" s="74">
        <f>min(Q365,$E746*'Get Started'!$D$30-P767,P746*'Get Started'!$D$30)</f>
        <v>0</v>
      </c>
      <c r="R344" s="74">
        <f>min(R365,$E746*'Get Started'!$D$30-Q767,Q746*'Get Started'!$D$30)</f>
        <v>0</v>
      </c>
      <c r="S344" s="74">
        <f>min(S365,$E746*'Get Started'!$D$30-R767,R746*'Get Started'!$D$30)</f>
        <v>0</v>
      </c>
      <c r="T344" s="74">
        <f>min(T365,$E746*'Get Started'!$D$30-S767,S746*'Get Started'!$D$30)</f>
        <v>0</v>
      </c>
      <c r="U344" s="74">
        <f>min(U365,$E746*'Get Started'!$D$30-T767,T746*'Get Started'!$D$30)</f>
        <v>0</v>
      </c>
      <c r="V344" s="74">
        <f>min(V365,$E746*'Get Started'!$D$30-U767,U746*'Get Started'!$D$30)</f>
        <v>0</v>
      </c>
      <c r="W344" s="74">
        <f>min(W365,$E746*'Get Started'!$D$30-V767,V746*'Get Started'!$D$30)</f>
        <v>0</v>
      </c>
      <c r="X344" s="74">
        <f>min(X365,$E746*'Get Started'!$D$30-W767,W746*'Get Started'!$D$30)</f>
        <v>0</v>
      </c>
      <c r="Y344" s="74">
        <f>min(Y365,$E746*'Get Started'!$D$30-X767,X746*'Get Started'!$D$30)</f>
        <v>0</v>
      </c>
      <c r="Z344" s="74">
        <f>min(Z365,$E746*'Get Started'!$D$30-Y767,Y746*'Get Started'!$D$30)</f>
        <v>0</v>
      </c>
    </row>
    <row r="345" hidden="1" outlineLevel="1">
      <c r="B345" s="93">
        <f t="shared" si="185"/>
        <v>19</v>
      </c>
      <c r="C345" s="40"/>
      <c r="D345" s="16" t="s">
        <v>161</v>
      </c>
      <c r="E345" s="74">
        <f t="shared" si="108"/>
        <v>0</v>
      </c>
      <c r="F345" s="74"/>
      <c r="G345" s="74">
        <f>min(G366,$E747*'Get Started'!$D$30-F768,F747*'Get Started'!$D$30)</f>
        <v>0</v>
      </c>
      <c r="H345" s="74">
        <f>min(H366,$E747*'Get Started'!$D$30-G768,G747*'Get Started'!$D$30)</f>
        <v>0</v>
      </c>
      <c r="I345" s="74">
        <f>min(I366,$E747*'Get Started'!$D$30-H768,H747*'Get Started'!$D$30)</f>
        <v>0</v>
      </c>
      <c r="J345" s="74">
        <f>min(J366,$E747*'Get Started'!$D$30-I768,I747*'Get Started'!$D$30)</f>
        <v>0</v>
      </c>
      <c r="K345" s="74">
        <f>min(K366,$E747*'Get Started'!$D$30-J768,J747*'Get Started'!$D$30)</f>
        <v>0</v>
      </c>
      <c r="L345" s="74">
        <f>min(L366,$E747*'Get Started'!$D$30-K768,K747*'Get Started'!$D$30)</f>
        <v>0</v>
      </c>
      <c r="M345" s="74">
        <f>min(M366,$E747*'Get Started'!$D$30-L768,L747*'Get Started'!$D$30)</f>
        <v>0</v>
      </c>
      <c r="N345" s="74">
        <f>min(N366,$E747*'Get Started'!$D$30-M768,M747*'Get Started'!$D$30)</f>
        <v>0</v>
      </c>
      <c r="O345" s="74">
        <f>min(O366,$E747*'Get Started'!$D$30-N768,N747*'Get Started'!$D$30)</f>
        <v>0</v>
      </c>
      <c r="P345" s="74">
        <f>min(P366,$E747*'Get Started'!$D$30-O768,O747*'Get Started'!$D$30)</f>
        <v>0</v>
      </c>
      <c r="Q345" s="74">
        <f>min(Q366,$E747*'Get Started'!$D$30-P768,P747*'Get Started'!$D$30)</f>
        <v>0</v>
      </c>
      <c r="R345" s="74">
        <f>min(R366,$E747*'Get Started'!$D$30-Q768,Q747*'Get Started'!$D$30)</f>
        <v>0</v>
      </c>
      <c r="S345" s="74">
        <f>min(S366,$E747*'Get Started'!$D$30-R768,R747*'Get Started'!$D$30)</f>
        <v>0</v>
      </c>
      <c r="T345" s="74">
        <f>min(T366,$E747*'Get Started'!$D$30-S768,S747*'Get Started'!$D$30)</f>
        <v>0</v>
      </c>
      <c r="U345" s="74">
        <f>min(U366,$E747*'Get Started'!$D$30-T768,T747*'Get Started'!$D$30)</f>
        <v>0</v>
      </c>
      <c r="V345" s="74">
        <f>min(V366,$E747*'Get Started'!$D$30-U768,U747*'Get Started'!$D$30)</f>
        <v>0</v>
      </c>
      <c r="W345" s="74">
        <f>min(W366,$E747*'Get Started'!$D$30-V768,V747*'Get Started'!$D$30)</f>
        <v>0</v>
      </c>
      <c r="X345" s="74">
        <f>min(X366,$E747*'Get Started'!$D$30-W768,W747*'Get Started'!$D$30)</f>
        <v>0</v>
      </c>
      <c r="Y345" s="74">
        <f>min(Y366,$E747*'Get Started'!$D$30-X768,X747*'Get Started'!$D$30)</f>
        <v>0</v>
      </c>
      <c r="Z345" s="74">
        <f>min(Z366,$E747*'Get Started'!$D$30-Y768,Y747*'Get Started'!$D$30)</f>
        <v>0</v>
      </c>
    </row>
    <row r="346" hidden="1" outlineLevel="1">
      <c r="B346" s="93">
        <f t="shared" si="185"/>
        <v>20</v>
      </c>
      <c r="C346" s="40"/>
      <c r="D346" s="16" t="s">
        <v>161</v>
      </c>
      <c r="E346" s="74">
        <f t="shared" si="108"/>
        <v>0</v>
      </c>
      <c r="F346" s="74"/>
      <c r="G346" s="74">
        <f>min(G367,$E748*'Get Started'!$D$30-F769,F748*'Get Started'!$D$30)</f>
        <v>0</v>
      </c>
      <c r="H346" s="74">
        <f>min(H367,$E748*'Get Started'!$D$30-G769,G748*'Get Started'!$D$30)</f>
        <v>0</v>
      </c>
      <c r="I346" s="74">
        <f>min(I367,$E748*'Get Started'!$D$30-H769,H748*'Get Started'!$D$30)</f>
        <v>0</v>
      </c>
      <c r="J346" s="74">
        <f>min(J367,$E748*'Get Started'!$D$30-I769,I748*'Get Started'!$D$30)</f>
        <v>0</v>
      </c>
      <c r="K346" s="74">
        <f>min(K367,$E748*'Get Started'!$D$30-J769,J748*'Get Started'!$D$30)</f>
        <v>0</v>
      </c>
      <c r="L346" s="74">
        <f>min(L367,$E748*'Get Started'!$D$30-K769,K748*'Get Started'!$D$30)</f>
        <v>0</v>
      </c>
      <c r="M346" s="74">
        <f>min(M367,$E748*'Get Started'!$D$30-L769,L748*'Get Started'!$D$30)</f>
        <v>0</v>
      </c>
      <c r="N346" s="74">
        <f>min(N367,$E748*'Get Started'!$D$30-M769,M748*'Get Started'!$D$30)</f>
        <v>0</v>
      </c>
      <c r="O346" s="74">
        <f>min(O367,$E748*'Get Started'!$D$30-N769,N748*'Get Started'!$D$30)</f>
        <v>0</v>
      </c>
      <c r="P346" s="74">
        <f>min(P367,$E748*'Get Started'!$D$30-O769,O748*'Get Started'!$D$30)</f>
        <v>0</v>
      </c>
      <c r="Q346" s="74">
        <f>min(Q367,$E748*'Get Started'!$D$30-P769,P748*'Get Started'!$D$30)</f>
        <v>0</v>
      </c>
      <c r="R346" s="74">
        <f>min(R367,$E748*'Get Started'!$D$30-Q769,Q748*'Get Started'!$D$30)</f>
        <v>0</v>
      </c>
      <c r="S346" s="74">
        <f>min(S367,$E748*'Get Started'!$D$30-R769,R748*'Get Started'!$D$30)</f>
        <v>0</v>
      </c>
      <c r="T346" s="74">
        <f>min(T367,$E748*'Get Started'!$D$30-S769,S748*'Get Started'!$D$30)</f>
        <v>0</v>
      </c>
      <c r="U346" s="74">
        <f>min(U367,$E748*'Get Started'!$D$30-T769,T748*'Get Started'!$D$30)</f>
        <v>0</v>
      </c>
      <c r="V346" s="74">
        <f>min(V367,$E748*'Get Started'!$D$30-U769,U748*'Get Started'!$D$30)</f>
        <v>0</v>
      </c>
      <c r="W346" s="74">
        <f>min(W367,$E748*'Get Started'!$D$30-V769,V748*'Get Started'!$D$30)</f>
        <v>0</v>
      </c>
      <c r="X346" s="74">
        <f>min(X367,$E748*'Get Started'!$D$30-W769,W748*'Get Started'!$D$30)</f>
        <v>0</v>
      </c>
      <c r="Y346" s="74">
        <f>min(Y367,$E748*'Get Started'!$D$30-X769,X748*'Get Started'!$D$30)</f>
        <v>0</v>
      </c>
      <c r="Z346" s="74">
        <f>min(Z367,$E748*'Get Started'!$D$30-Y769,Y748*'Get Started'!$D$30)</f>
        <v>0</v>
      </c>
    </row>
    <row r="347" collapsed="1">
      <c r="B347" s="80" t="s">
        <v>140</v>
      </c>
      <c r="C347" s="16"/>
      <c r="D347" s="16" t="s">
        <v>161</v>
      </c>
      <c r="E347" s="74">
        <f t="shared" si="108"/>
        <v>372534800</v>
      </c>
      <c r="F347" s="78"/>
      <c r="G347" s="77">
        <f t="shared" ref="G347:Z347" si="186">sum(G348:G367)</f>
        <v>0</v>
      </c>
      <c r="H347" s="77">
        <f t="shared" si="186"/>
        <v>0</v>
      </c>
      <c r="I347" s="77">
        <f t="shared" si="186"/>
        <v>0</v>
      </c>
      <c r="J347" s="77">
        <f t="shared" si="186"/>
        <v>2328342.5</v>
      </c>
      <c r="K347" s="77">
        <f t="shared" si="186"/>
        <v>4656685</v>
      </c>
      <c r="L347" s="77">
        <f t="shared" si="186"/>
        <v>10865598.33</v>
      </c>
      <c r="M347" s="77">
        <f t="shared" si="186"/>
        <v>14746169.17</v>
      </c>
      <c r="N347" s="77">
        <f t="shared" si="186"/>
        <v>16298397.5</v>
      </c>
      <c r="O347" s="77">
        <f t="shared" si="186"/>
        <v>38805708.33</v>
      </c>
      <c r="P347" s="77">
        <f t="shared" si="186"/>
        <v>57432448.33</v>
      </c>
      <c r="Q347" s="77">
        <f t="shared" si="186"/>
        <v>78387530.83</v>
      </c>
      <c r="R347" s="77">
        <f t="shared" si="186"/>
        <v>74506960</v>
      </c>
      <c r="S347" s="77">
        <f t="shared" si="186"/>
        <v>49671306.67</v>
      </c>
      <c r="T347" s="77">
        <f t="shared" si="186"/>
        <v>24835653.33</v>
      </c>
      <c r="U347" s="77">
        <f t="shared" si="186"/>
        <v>0</v>
      </c>
      <c r="V347" s="77">
        <f t="shared" si="186"/>
        <v>0</v>
      </c>
      <c r="W347" s="77">
        <f t="shared" si="186"/>
        <v>0</v>
      </c>
      <c r="X347" s="77">
        <f t="shared" si="186"/>
        <v>0</v>
      </c>
      <c r="Y347" s="77">
        <f t="shared" si="186"/>
        <v>0</v>
      </c>
      <c r="Z347" s="77">
        <f t="shared" si="186"/>
        <v>0</v>
      </c>
    </row>
    <row r="348" hidden="1" outlineLevel="1">
      <c r="B348" s="93">
        <f>G$4</f>
        <v>1</v>
      </c>
      <c r="C348" s="77">
        <f>E243*'Get Started'!F$47</f>
        <v>124178266.7</v>
      </c>
      <c r="D348" s="16" t="s">
        <v>161</v>
      </c>
      <c r="E348" s="74">
        <f t="shared" si="108"/>
        <v>124178266.7</v>
      </c>
      <c r="F348" s="74"/>
      <c r="G348" s="74">
        <f>iferror(if(G$4&lt;'Get Started'!$G$43,0,offset(G222,0,-1*'Get Started'!$G$43)/$E222*'Get Started'!$H$43*$C348),0)+iferror(if(G$4&lt;'Get Started'!$G$44,0,offset(G222,0,-1*'Get Started'!$G$44)/$E222*'Get Started'!$H$44*$C348),0)+iferror(if(G$4&lt;'Get Started'!$G$45,0,offset(G222,0,-1*'Get Started'!$G$45)/$E222*'Get Started'!$H$45*$C348),0)+iferror(IF(G$4&lt;'Get Started'!$G$46,0,offset(G222,0,-1*'Get Started'!$G$46)/$E222*'Get Started'!$H$46*$C348),0)</f>
        <v>0</v>
      </c>
      <c r="H348" s="74">
        <f>iferror(if(H$4&lt;'Get Started'!$G$43,0,offset(H222,0,-1*'Get Started'!$G$43)/$E222*'Get Started'!$H$43*$C348),0)+iferror(if(H$4&lt;'Get Started'!$G$44,0,offset(H222,0,-1*'Get Started'!$G$44)/$E222*'Get Started'!$H$44*$C348),0)+iferror(if(H$4&lt;'Get Started'!$G$45,0,offset(H222,0,-1*'Get Started'!$G$45)/$E222*'Get Started'!$H$45*$C348),0)+iferror(IF(H$4&lt;'Get Started'!$G$46,0,offset(H222,0,-1*'Get Started'!$G$46)/$E222*'Get Started'!$H$46*$C348),0)</f>
        <v>0</v>
      </c>
      <c r="I348" s="74">
        <f>iferror(if(I$4&lt;'Get Started'!$G$43,0,offset(I222,0,-1*'Get Started'!$G$43)/$E222*'Get Started'!$H$43*$C348),0)+iferror(if(I$4&lt;'Get Started'!$G$44,0,offset(I222,0,-1*'Get Started'!$G$44)/$E222*'Get Started'!$H$44*$C348),0)+iferror(if(I$4&lt;'Get Started'!$G$45,0,offset(I222,0,-1*'Get Started'!$G$45)/$E222*'Get Started'!$H$45*$C348),0)+iferror(IF(I$4&lt;'Get Started'!$G$46,0,offset(I222,0,-1*'Get Started'!$G$46)/$E222*'Get Started'!$H$46*$C348),0)</f>
        <v>0</v>
      </c>
      <c r="J348" s="74">
        <f>iferror(if(J$4&lt;'Get Started'!$G$43,0,offset(J222,0,-1*'Get Started'!$G$43)/$E222*'Get Started'!$H$43*$C348),0)+iferror(if(J$4&lt;'Get Started'!$G$44,0,offset(J222,0,-1*'Get Started'!$G$44)/$E222*'Get Started'!$H$44*$C348),0)+iferror(if(J$4&lt;'Get Started'!$G$45,0,offset(J222,0,-1*'Get Started'!$G$45)/$E222*'Get Started'!$H$45*$C348),0)+iferror(IF(J$4&lt;'Get Started'!$G$46,0,offset(J222,0,-1*'Get Started'!$G$46)/$E222*'Get Started'!$H$46*$C348),0)</f>
        <v>2328342.5</v>
      </c>
      <c r="K348" s="74">
        <f>iferror(if(K$4&lt;'Get Started'!$G$43,0,offset(K222,0,-1*'Get Started'!$G$43)/$E222*'Get Started'!$H$43*$C348),0)+iferror(if(K$4&lt;'Get Started'!$G$44,0,offset(K222,0,-1*'Get Started'!$G$44)/$E222*'Get Started'!$H$44*$C348),0)+iferror(if(K$4&lt;'Get Started'!$G$45,0,offset(K222,0,-1*'Get Started'!$G$45)/$E222*'Get Started'!$H$45*$C348),0)+iferror(IF(K$4&lt;'Get Started'!$G$46,0,offset(K222,0,-1*'Get Started'!$G$46)/$E222*'Get Started'!$H$46*$C348),0)</f>
        <v>2328342.5</v>
      </c>
      <c r="L348" s="74">
        <f>iferror(if(L$4&lt;'Get Started'!$G$43,0,offset(L222,0,-1*'Get Started'!$G$43)/$E222*'Get Started'!$H$43*$C348),0)+iferror(if(L$4&lt;'Get Started'!$G$44,0,offset(L222,0,-1*'Get Started'!$G$44)/$E222*'Get Started'!$H$44*$C348),0)+iferror(if(L$4&lt;'Get Started'!$G$45,0,offset(L222,0,-1*'Get Started'!$G$45)/$E222*'Get Started'!$H$45*$C348),0)+iferror(IF(L$4&lt;'Get Started'!$G$46,0,offset(L222,0,-1*'Get Started'!$G$46)/$E222*'Get Started'!$H$46*$C348),0)</f>
        <v>6208913.333</v>
      </c>
      <c r="M348" s="74">
        <f>iferror(if(M$4&lt;'Get Started'!$G$43,0,offset(M222,0,-1*'Get Started'!$G$43)/$E222*'Get Started'!$H$43*$C348),0)+iferror(if(M$4&lt;'Get Started'!$G$44,0,offset(M222,0,-1*'Get Started'!$G$44)/$E222*'Get Started'!$H$44*$C348),0)+iferror(if(M$4&lt;'Get Started'!$G$45,0,offset(M222,0,-1*'Get Started'!$G$45)/$E222*'Get Started'!$H$45*$C348),0)+iferror(IF(M$4&lt;'Get Started'!$G$46,0,offset(M222,0,-1*'Get Started'!$G$46)/$E222*'Get Started'!$H$46*$C348),0)</f>
        <v>6208913.333</v>
      </c>
      <c r="N348" s="74">
        <f>iferror(if(N$4&lt;'Get Started'!$G$43,0,offset(N222,0,-1*'Get Started'!$G$43)/$E222*'Get Started'!$H$43*$C348),0)+iferror(if(N$4&lt;'Get Started'!$G$44,0,offset(N222,0,-1*'Get Started'!$G$44)/$E222*'Get Started'!$H$44*$C348),0)+iferror(if(N$4&lt;'Get Started'!$G$45,0,offset(N222,0,-1*'Get Started'!$G$45)/$E222*'Get Started'!$H$45*$C348),0)+iferror(IF(N$4&lt;'Get Started'!$G$46,0,offset(N222,0,-1*'Get Started'!$G$46)/$E222*'Get Started'!$H$46*$C348),0)</f>
        <v>3880570.833</v>
      </c>
      <c r="O348" s="74">
        <f>iferror(if(O$4&lt;'Get Started'!$G$43,0,offset(O222,0,-1*'Get Started'!$G$43)/$E222*'Get Started'!$H$43*$C348),0)+iferror(if(O$4&lt;'Get Started'!$G$44,0,offset(O222,0,-1*'Get Started'!$G$44)/$E222*'Get Started'!$H$44*$C348),0)+iferror(if(O$4&lt;'Get Started'!$G$45,0,offset(O222,0,-1*'Get Started'!$G$45)/$E222*'Get Started'!$H$45*$C348),0)+iferror(IF(O$4&lt;'Get Started'!$G$46,0,offset(O222,0,-1*'Get Started'!$G$46)/$E222*'Get Started'!$H$46*$C348),0)</f>
        <v>28716224.17</v>
      </c>
      <c r="P348" s="74">
        <f>iferror(if(P$4&lt;'Get Started'!$G$43,0,offset(P222,0,-1*'Get Started'!$G$43)/$E222*'Get Started'!$H$43*$C348),0)+iferror(if(P$4&lt;'Get Started'!$G$44,0,offset(P222,0,-1*'Get Started'!$G$44)/$E222*'Get Started'!$H$44*$C348),0)+iferror(if(P$4&lt;'Get Started'!$G$45,0,offset(P222,0,-1*'Get Started'!$G$45)/$E222*'Get Started'!$H$45*$C348),0)+iferror(IF(P$4&lt;'Get Started'!$G$46,0,offset(P222,0,-1*'Get Started'!$G$46)/$E222*'Get Started'!$H$46*$C348),0)</f>
        <v>24835653.33</v>
      </c>
      <c r="Q348" s="74">
        <f>iferror(if(Q$4&lt;'Get Started'!$G$43,0,offset(Q222,0,-1*'Get Started'!$G$43)/$E222*'Get Started'!$H$43*$C348),0)+iferror(if(Q$4&lt;'Get Started'!$G$44,0,offset(Q222,0,-1*'Get Started'!$G$44)/$E222*'Get Started'!$H$44*$C348),0)+iferror(if(Q$4&lt;'Get Started'!$G$45,0,offset(Q222,0,-1*'Get Started'!$G$45)/$E222*'Get Started'!$H$45*$C348),0)+iferror(IF(Q$4&lt;'Get Started'!$G$46,0,offset(Q222,0,-1*'Get Started'!$G$46)/$E222*'Get Started'!$H$46*$C348),0)</f>
        <v>24835653.33</v>
      </c>
      <c r="R348" s="74">
        <f>iferror(if(R$4&lt;'Get Started'!$G$43,0,offset(R222,0,-1*'Get Started'!$G$43)/$E222*'Get Started'!$H$43*$C348),0)+iferror(if(R$4&lt;'Get Started'!$G$44,0,offset(R222,0,-1*'Get Started'!$G$44)/$E222*'Get Started'!$H$44*$C348),0)+iferror(if(R$4&lt;'Get Started'!$G$45,0,offset(R222,0,-1*'Get Started'!$G$45)/$E222*'Get Started'!$H$45*$C348),0)+iferror(IF(R$4&lt;'Get Started'!$G$46,0,offset(R222,0,-1*'Get Started'!$G$46)/$E222*'Get Started'!$H$46*$C348),0)</f>
        <v>24835653.33</v>
      </c>
      <c r="S348" s="74">
        <f>iferror(if(S$4&lt;'Get Started'!$G$43,0,offset(S222,0,-1*'Get Started'!$G$43)/$E222*'Get Started'!$H$43*$C348),0)+iferror(if(S$4&lt;'Get Started'!$G$44,0,offset(S222,0,-1*'Get Started'!$G$44)/$E222*'Get Started'!$H$44*$C348),0)+iferror(if(S$4&lt;'Get Started'!$G$45,0,offset(S222,0,-1*'Get Started'!$G$45)/$E222*'Get Started'!$H$45*$C348),0)+iferror(IF(S$4&lt;'Get Started'!$G$46,0,offset(S222,0,-1*'Get Started'!$G$46)/$E222*'Get Started'!$H$46*$C348),0)</f>
        <v>0</v>
      </c>
      <c r="T348" s="74">
        <f>iferror(if(T$4&lt;'Get Started'!$G$43,0,offset(T222,0,-1*'Get Started'!$G$43)/$E222*'Get Started'!$H$43*$C348),0)+iferror(if(T$4&lt;'Get Started'!$G$44,0,offset(T222,0,-1*'Get Started'!$G$44)/$E222*'Get Started'!$H$44*$C348),0)+iferror(if(T$4&lt;'Get Started'!$G$45,0,offset(T222,0,-1*'Get Started'!$G$45)/$E222*'Get Started'!$H$45*$C348),0)+iferror(IF(T$4&lt;'Get Started'!$G$46,0,offset(T222,0,-1*'Get Started'!$G$46)/$E222*'Get Started'!$H$46*$C348),0)</f>
        <v>0</v>
      </c>
      <c r="U348" s="74">
        <f>iferror(if(U$4&lt;'Get Started'!$G$43,0,offset(U222,0,-1*'Get Started'!$G$43)/$E222*'Get Started'!$H$43*$C348),0)+iferror(if(U$4&lt;'Get Started'!$G$44,0,offset(U222,0,-1*'Get Started'!$G$44)/$E222*'Get Started'!$H$44*$C348),0)+iferror(if(U$4&lt;'Get Started'!$G$45,0,offset(U222,0,-1*'Get Started'!$G$45)/$E222*'Get Started'!$H$45*$C348),0)+iferror(IF(U$4&lt;'Get Started'!$G$46,0,offset(U222,0,-1*'Get Started'!$G$46)/$E222*'Get Started'!$H$46*$C348),0)</f>
        <v>0</v>
      </c>
      <c r="V348" s="74">
        <f>iferror(if(V$4&lt;'Get Started'!$G$43,0,offset(V222,0,-1*'Get Started'!$G$43)/$E222*'Get Started'!$H$43*$C348),0)+iferror(if(V$4&lt;'Get Started'!$G$44,0,offset(V222,0,-1*'Get Started'!$G$44)/$E222*'Get Started'!$H$44*$C348),0)+iferror(if(V$4&lt;'Get Started'!$G$45,0,offset(V222,0,-1*'Get Started'!$G$45)/$E222*'Get Started'!$H$45*$C348),0)+iferror(IF(V$4&lt;'Get Started'!$G$46,0,offset(V222,0,-1*'Get Started'!$G$46)/$E222*'Get Started'!$H$46*$C348),0)</f>
        <v>0</v>
      </c>
      <c r="W348" s="74">
        <f>iferror(if(W$4&lt;'Get Started'!$G$43,0,offset(W222,0,-1*'Get Started'!$G$43)/$E222*'Get Started'!$H$43*$C348),0)+iferror(if(W$4&lt;'Get Started'!$G$44,0,offset(W222,0,-1*'Get Started'!$G$44)/$E222*'Get Started'!$H$44*$C348),0)+iferror(if(W$4&lt;'Get Started'!$G$45,0,offset(W222,0,-1*'Get Started'!$G$45)/$E222*'Get Started'!$H$45*$C348),0)+iferror(IF(W$4&lt;'Get Started'!$G$46,0,offset(W222,0,-1*'Get Started'!$G$46)/$E222*'Get Started'!$H$46*$C348),0)</f>
        <v>0</v>
      </c>
      <c r="X348" s="74">
        <f>iferror(if(X$4&lt;'Get Started'!$G$43,0,offset(X222,0,-1*'Get Started'!$G$43)/$E222*'Get Started'!$H$43*$C348),0)+iferror(if(X$4&lt;'Get Started'!$G$44,0,offset(X222,0,-1*'Get Started'!$G$44)/$E222*'Get Started'!$H$44*$C348),0)+iferror(if(X$4&lt;'Get Started'!$G$45,0,offset(X222,0,-1*'Get Started'!$G$45)/$E222*'Get Started'!$H$45*$C348),0)+iferror(IF(X$4&lt;'Get Started'!$G$46,0,offset(X222,0,-1*'Get Started'!$G$46)/$E222*'Get Started'!$H$46*$C348),0)</f>
        <v>0</v>
      </c>
      <c r="Y348" s="74">
        <f>iferror(if(Y$4&lt;'Get Started'!$G$43,0,offset(Y222,0,-1*'Get Started'!$G$43)/$E222*'Get Started'!$H$43*$C348),0)+iferror(if(Y$4&lt;'Get Started'!$G$44,0,offset(Y222,0,-1*'Get Started'!$G$44)/$E222*'Get Started'!$H$44*$C348),0)+iferror(if(Y$4&lt;'Get Started'!$G$45,0,offset(Y222,0,-1*'Get Started'!$G$45)/$E222*'Get Started'!$H$45*$C348),0)+iferror(IF(Y$4&lt;'Get Started'!$G$46,0,offset(Y222,0,-1*'Get Started'!$G$46)/$E222*'Get Started'!$H$46*$C348),0)</f>
        <v>0</v>
      </c>
      <c r="Z348" s="74">
        <f>iferror(if(Z$4&lt;'Get Started'!$G$43,0,offset(Z222,0,-1*'Get Started'!$G$43)/$E222*'Get Started'!$H$43*$C348),0)+iferror(if(Z$4&lt;'Get Started'!$G$44,0,offset(Z222,0,-1*'Get Started'!$G$44)/$E222*'Get Started'!$H$44*$C348),0)+iferror(if(Z$4&lt;'Get Started'!$G$45,0,offset(Z222,0,-1*'Get Started'!$G$45)/$E222*'Get Started'!$H$45*$C348),0)+iferror(IF(Z$4&lt;'Get Started'!$G$46,0,offset(Z222,0,-1*'Get Started'!$G$46)/$E222*'Get Started'!$H$46*$C348),0)</f>
        <v>0</v>
      </c>
    </row>
    <row r="349" hidden="1" outlineLevel="1">
      <c r="B349" s="93">
        <f t="shared" ref="B349:B367" si="187">B348+1</f>
        <v>2</v>
      </c>
      <c r="C349" s="77">
        <f>E244*'Get Started'!F$47</f>
        <v>124178266.7</v>
      </c>
      <c r="D349" s="16" t="s">
        <v>161</v>
      </c>
      <c r="E349" s="74">
        <f t="shared" si="108"/>
        <v>124178266.7</v>
      </c>
      <c r="F349" s="74"/>
      <c r="G349" s="74">
        <f>iferror(if(G$4&lt;'Get Started'!$G$43,0,offset(G223,0,-1*'Get Started'!$G$43)/$E223*'Get Started'!$H$43*$C349),0)+iferror(if(G$4&lt;'Get Started'!$G$44,0,offset(G223,0,-1*'Get Started'!$G$44)/$E223*'Get Started'!$H$44*$C349),0)+iferror(if(G$4&lt;'Get Started'!$G$45,0,offset(G223,0,-1*'Get Started'!$G$45)/$E223*'Get Started'!$H$45*$C349),0)+iferror(IF(G$4&lt;'Get Started'!$G$46,0,offset(G223,0,-1*'Get Started'!$G$46)/$E223*'Get Started'!$H$46*$C349),0)</f>
        <v>0</v>
      </c>
      <c r="H349" s="74">
        <f>iferror(if(H$4&lt;'Get Started'!$G$43,0,offset(H223,0,-1*'Get Started'!$G$43)/$E223*'Get Started'!$H$43*$C349),0)+iferror(if(H$4&lt;'Get Started'!$G$44,0,offset(H223,0,-1*'Get Started'!$G$44)/$E223*'Get Started'!$H$44*$C349),0)+iferror(if(H$4&lt;'Get Started'!$G$45,0,offset(H223,0,-1*'Get Started'!$G$45)/$E223*'Get Started'!$H$45*$C349),0)+iferror(IF(H$4&lt;'Get Started'!$G$46,0,offset(H223,0,-1*'Get Started'!$G$46)/$E223*'Get Started'!$H$46*$C349),0)</f>
        <v>0</v>
      </c>
      <c r="I349" s="74">
        <f>iferror(if(I$4&lt;'Get Started'!$G$43,0,offset(I223,0,-1*'Get Started'!$G$43)/$E223*'Get Started'!$H$43*$C349),0)+iferror(if(I$4&lt;'Get Started'!$G$44,0,offset(I223,0,-1*'Get Started'!$G$44)/$E223*'Get Started'!$H$44*$C349),0)+iferror(if(I$4&lt;'Get Started'!$G$45,0,offset(I223,0,-1*'Get Started'!$G$45)/$E223*'Get Started'!$H$45*$C349),0)+iferror(IF(I$4&lt;'Get Started'!$G$46,0,offset(I223,0,-1*'Get Started'!$G$46)/$E223*'Get Started'!$H$46*$C349),0)</f>
        <v>0</v>
      </c>
      <c r="J349" s="74">
        <f>iferror(if(J$4&lt;'Get Started'!$G$43,0,offset(J223,0,-1*'Get Started'!$G$43)/$E223*'Get Started'!$H$43*$C349),0)+iferror(if(J$4&lt;'Get Started'!$G$44,0,offset(J223,0,-1*'Get Started'!$G$44)/$E223*'Get Started'!$H$44*$C349),0)+iferror(if(J$4&lt;'Get Started'!$G$45,0,offset(J223,0,-1*'Get Started'!$G$45)/$E223*'Get Started'!$H$45*$C349),0)+iferror(IF(J$4&lt;'Get Started'!$G$46,0,offset(J223,0,-1*'Get Started'!$G$46)/$E223*'Get Started'!$H$46*$C349),0)</f>
        <v>0</v>
      </c>
      <c r="K349" s="74">
        <f>iferror(if(K$4&lt;'Get Started'!$G$43,0,offset(K223,0,-1*'Get Started'!$G$43)/$E223*'Get Started'!$H$43*$C349),0)+iferror(if(K$4&lt;'Get Started'!$G$44,0,offset(K223,0,-1*'Get Started'!$G$44)/$E223*'Get Started'!$H$44*$C349),0)+iferror(if(K$4&lt;'Get Started'!$G$45,0,offset(K223,0,-1*'Get Started'!$G$45)/$E223*'Get Started'!$H$45*$C349),0)+iferror(IF(K$4&lt;'Get Started'!$G$46,0,offset(K223,0,-1*'Get Started'!$G$46)/$E223*'Get Started'!$H$46*$C349),0)</f>
        <v>2328342.5</v>
      </c>
      <c r="L349" s="74">
        <f>iferror(if(L$4&lt;'Get Started'!$G$43,0,offset(L223,0,-1*'Get Started'!$G$43)/$E223*'Get Started'!$H$43*$C349),0)+iferror(if(L$4&lt;'Get Started'!$G$44,0,offset(L223,0,-1*'Get Started'!$G$44)/$E223*'Get Started'!$H$44*$C349),0)+iferror(if(L$4&lt;'Get Started'!$G$45,0,offset(L223,0,-1*'Get Started'!$G$45)/$E223*'Get Started'!$H$45*$C349),0)+iferror(IF(L$4&lt;'Get Started'!$G$46,0,offset(L223,0,-1*'Get Started'!$G$46)/$E223*'Get Started'!$H$46*$C349),0)</f>
        <v>2328342.5</v>
      </c>
      <c r="M349" s="74">
        <f>iferror(if(M$4&lt;'Get Started'!$G$43,0,offset(M223,0,-1*'Get Started'!$G$43)/$E223*'Get Started'!$H$43*$C349),0)+iferror(if(M$4&lt;'Get Started'!$G$44,0,offset(M223,0,-1*'Get Started'!$G$44)/$E223*'Get Started'!$H$44*$C349),0)+iferror(if(M$4&lt;'Get Started'!$G$45,0,offset(M223,0,-1*'Get Started'!$G$45)/$E223*'Get Started'!$H$45*$C349),0)+iferror(IF(M$4&lt;'Get Started'!$G$46,0,offset(M223,0,-1*'Get Started'!$G$46)/$E223*'Get Started'!$H$46*$C349),0)</f>
        <v>6208913.333</v>
      </c>
      <c r="N349" s="74">
        <f>iferror(if(N$4&lt;'Get Started'!$G$43,0,offset(N223,0,-1*'Get Started'!$G$43)/$E223*'Get Started'!$H$43*$C349),0)+iferror(if(N$4&lt;'Get Started'!$G$44,0,offset(N223,0,-1*'Get Started'!$G$44)/$E223*'Get Started'!$H$44*$C349),0)+iferror(if(N$4&lt;'Get Started'!$G$45,0,offset(N223,0,-1*'Get Started'!$G$45)/$E223*'Get Started'!$H$45*$C349),0)+iferror(IF(N$4&lt;'Get Started'!$G$46,0,offset(N223,0,-1*'Get Started'!$G$46)/$E223*'Get Started'!$H$46*$C349),0)</f>
        <v>6208913.333</v>
      </c>
      <c r="O349" s="74">
        <f>iferror(if(O$4&lt;'Get Started'!$G$43,0,offset(O223,0,-1*'Get Started'!$G$43)/$E223*'Get Started'!$H$43*$C349),0)+iferror(if(O$4&lt;'Get Started'!$G$44,0,offset(O223,0,-1*'Get Started'!$G$44)/$E223*'Get Started'!$H$44*$C349),0)+iferror(if(O$4&lt;'Get Started'!$G$45,0,offset(O223,0,-1*'Get Started'!$G$45)/$E223*'Get Started'!$H$45*$C349),0)+iferror(IF(O$4&lt;'Get Started'!$G$46,0,offset(O223,0,-1*'Get Started'!$G$46)/$E223*'Get Started'!$H$46*$C349),0)</f>
        <v>3880570.833</v>
      </c>
      <c r="P349" s="74">
        <f>iferror(if(P$4&lt;'Get Started'!$G$43,0,offset(P223,0,-1*'Get Started'!$G$43)/$E223*'Get Started'!$H$43*$C349),0)+iferror(if(P$4&lt;'Get Started'!$G$44,0,offset(P223,0,-1*'Get Started'!$G$44)/$E223*'Get Started'!$H$44*$C349),0)+iferror(if(P$4&lt;'Get Started'!$G$45,0,offset(P223,0,-1*'Get Started'!$G$45)/$E223*'Get Started'!$H$45*$C349),0)+iferror(IF(P$4&lt;'Get Started'!$G$46,0,offset(P223,0,-1*'Get Started'!$G$46)/$E223*'Get Started'!$H$46*$C349),0)</f>
        <v>28716224.17</v>
      </c>
      <c r="Q349" s="74">
        <f>iferror(if(Q$4&lt;'Get Started'!$G$43,0,offset(Q223,0,-1*'Get Started'!$G$43)/$E223*'Get Started'!$H$43*$C349),0)+iferror(if(Q$4&lt;'Get Started'!$G$44,0,offset(Q223,0,-1*'Get Started'!$G$44)/$E223*'Get Started'!$H$44*$C349),0)+iferror(if(Q$4&lt;'Get Started'!$G$45,0,offset(Q223,0,-1*'Get Started'!$G$45)/$E223*'Get Started'!$H$45*$C349),0)+iferror(IF(Q$4&lt;'Get Started'!$G$46,0,offset(Q223,0,-1*'Get Started'!$G$46)/$E223*'Get Started'!$H$46*$C349),0)</f>
        <v>24835653.33</v>
      </c>
      <c r="R349" s="74">
        <f>iferror(if(R$4&lt;'Get Started'!$G$43,0,offset(R223,0,-1*'Get Started'!$G$43)/$E223*'Get Started'!$H$43*$C349),0)+iferror(if(R$4&lt;'Get Started'!$G$44,0,offset(R223,0,-1*'Get Started'!$G$44)/$E223*'Get Started'!$H$44*$C349),0)+iferror(if(R$4&lt;'Get Started'!$G$45,0,offset(R223,0,-1*'Get Started'!$G$45)/$E223*'Get Started'!$H$45*$C349),0)+iferror(IF(R$4&lt;'Get Started'!$G$46,0,offset(R223,0,-1*'Get Started'!$G$46)/$E223*'Get Started'!$H$46*$C349),0)</f>
        <v>24835653.33</v>
      </c>
      <c r="S349" s="74">
        <f>iferror(if(S$4&lt;'Get Started'!$G$43,0,offset(S223,0,-1*'Get Started'!$G$43)/$E223*'Get Started'!$H$43*$C349),0)+iferror(if(S$4&lt;'Get Started'!$G$44,0,offset(S223,0,-1*'Get Started'!$G$44)/$E223*'Get Started'!$H$44*$C349),0)+iferror(if(S$4&lt;'Get Started'!$G$45,0,offset(S223,0,-1*'Get Started'!$G$45)/$E223*'Get Started'!$H$45*$C349),0)+iferror(IF(S$4&lt;'Get Started'!$G$46,0,offset(S223,0,-1*'Get Started'!$G$46)/$E223*'Get Started'!$H$46*$C349),0)</f>
        <v>24835653.33</v>
      </c>
      <c r="T349" s="74">
        <f>iferror(if(T$4&lt;'Get Started'!$G$43,0,offset(T223,0,-1*'Get Started'!$G$43)/$E223*'Get Started'!$H$43*$C349),0)+iferror(if(T$4&lt;'Get Started'!$G$44,0,offset(T223,0,-1*'Get Started'!$G$44)/$E223*'Get Started'!$H$44*$C349),0)+iferror(if(T$4&lt;'Get Started'!$G$45,0,offset(T223,0,-1*'Get Started'!$G$45)/$E223*'Get Started'!$H$45*$C349),0)+iferror(IF(T$4&lt;'Get Started'!$G$46,0,offset(T223,0,-1*'Get Started'!$G$46)/$E223*'Get Started'!$H$46*$C349),0)</f>
        <v>0</v>
      </c>
      <c r="U349" s="74">
        <f>iferror(if(U$4&lt;'Get Started'!$G$43,0,offset(U223,0,-1*'Get Started'!$G$43)/$E223*'Get Started'!$H$43*$C349),0)+iferror(if(U$4&lt;'Get Started'!$G$44,0,offset(U223,0,-1*'Get Started'!$G$44)/$E223*'Get Started'!$H$44*$C349),0)+iferror(if(U$4&lt;'Get Started'!$G$45,0,offset(U223,0,-1*'Get Started'!$G$45)/$E223*'Get Started'!$H$45*$C349),0)+iferror(IF(U$4&lt;'Get Started'!$G$46,0,offset(U223,0,-1*'Get Started'!$G$46)/$E223*'Get Started'!$H$46*$C349),0)</f>
        <v>0</v>
      </c>
      <c r="V349" s="74">
        <f>iferror(if(V$4&lt;'Get Started'!$G$43,0,offset(V223,0,-1*'Get Started'!$G$43)/$E223*'Get Started'!$H$43*$C349),0)+iferror(if(V$4&lt;'Get Started'!$G$44,0,offset(V223,0,-1*'Get Started'!$G$44)/$E223*'Get Started'!$H$44*$C349),0)+iferror(if(V$4&lt;'Get Started'!$G$45,0,offset(V223,0,-1*'Get Started'!$G$45)/$E223*'Get Started'!$H$45*$C349),0)+iferror(IF(V$4&lt;'Get Started'!$G$46,0,offset(V223,0,-1*'Get Started'!$G$46)/$E223*'Get Started'!$H$46*$C349),0)</f>
        <v>0</v>
      </c>
      <c r="W349" s="74">
        <f>iferror(if(W$4&lt;'Get Started'!$G$43,0,offset(W223,0,-1*'Get Started'!$G$43)/$E223*'Get Started'!$H$43*$C349),0)+iferror(if(W$4&lt;'Get Started'!$G$44,0,offset(W223,0,-1*'Get Started'!$G$44)/$E223*'Get Started'!$H$44*$C349),0)+iferror(if(W$4&lt;'Get Started'!$G$45,0,offset(W223,0,-1*'Get Started'!$G$45)/$E223*'Get Started'!$H$45*$C349),0)+iferror(IF(W$4&lt;'Get Started'!$G$46,0,offset(W223,0,-1*'Get Started'!$G$46)/$E223*'Get Started'!$H$46*$C349),0)</f>
        <v>0</v>
      </c>
      <c r="X349" s="74">
        <f>iferror(if(X$4&lt;'Get Started'!$G$43,0,offset(X223,0,-1*'Get Started'!$G$43)/$E223*'Get Started'!$H$43*$C349),0)+iferror(if(X$4&lt;'Get Started'!$G$44,0,offset(X223,0,-1*'Get Started'!$G$44)/$E223*'Get Started'!$H$44*$C349),0)+iferror(if(X$4&lt;'Get Started'!$G$45,0,offset(X223,0,-1*'Get Started'!$G$45)/$E223*'Get Started'!$H$45*$C349),0)+iferror(IF(X$4&lt;'Get Started'!$G$46,0,offset(X223,0,-1*'Get Started'!$G$46)/$E223*'Get Started'!$H$46*$C349),0)</f>
        <v>0</v>
      </c>
      <c r="Y349" s="74">
        <f>iferror(if(Y$4&lt;'Get Started'!$G$43,0,offset(Y223,0,-1*'Get Started'!$G$43)/$E223*'Get Started'!$H$43*$C349),0)+iferror(if(Y$4&lt;'Get Started'!$G$44,0,offset(Y223,0,-1*'Get Started'!$G$44)/$E223*'Get Started'!$H$44*$C349),0)+iferror(if(Y$4&lt;'Get Started'!$G$45,0,offset(Y223,0,-1*'Get Started'!$G$45)/$E223*'Get Started'!$H$45*$C349),0)+iferror(IF(Y$4&lt;'Get Started'!$G$46,0,offset(Y223,0,-1*'Get Started'!$G$46)/$E223*'Get Started'!$H$46*$C349),0)</f>
        <v>0</v>
      </c>
      <c r="Z349" s="74">
        <f>iferror(if(Z$4&lt;'Get Started'!$G$43,0,offset(Z223,0,-1*'Get Started'!$G$43)/$E223*'Get Started'!$H$43*$C349),0)+iferror(if(Z$4&lt;'Get Started'!$G$44,0,offset(Z223,0,-1*'Get Started'!$G$44)/$E223*'Get Started'!$H$44*$C349),0)+iferror(if(Z$4&lt;'Get Started'!$G$45,0,offset(Z223,0,-1*'Get Started'!$G$45)/$E223*'Get Started'!$H$45*$C349),0)+iferror(IF(Z$4&lt;'Get Started'!$G$46,0,offset(Z223,0,-1*'Get Started'!$G$46)/$E223*'Get Started'!$H$46*$C349),0)</f>
        <v>0</v>
      </c>
    </row>
    <row r="350" hidden="1" outlineLevel="1">
      <c r="B350" s="93">
        <f t="shared" si="187"/>
        <v>3</v>
      </c>
      <c r="C350" s="77">
        <f>E245*'Get Started'!F$47</f>
        <v>124178266.7</v>
      </c>
      <c r="D350" s="16" t="s">
        <v>161</v>
      </c>
      <c r="E350" s="74">
        <f t="shared" si="108"/>
        <v>124178266.7</v>
      </c>
      <c r="F350" s="74"/>
      <c r="G350" s="74">
        <f>iferror(if(G$4&lt;'Get Started'!$G$43,0,offset(G224,0,-1*'Get Started'!$G$43)/$E224*'Get Started'!$H$43*$C350),0)+iferror(if(G$4&lt;'Get Started'!$G$44,0,offset(G224,0,-1*'Get Started'!$G$44)/$E224*'Get Started'!$H$44*$C350),0)+iferror(if(G$4&lt;'Get Started'!$G$45,0,offset(G224,0,-1*'Get Started'!$G$45)/$E224*'Get Started'!$H$45*$C350),0)+iferror(IF(G$4&lt;'Get Started'!$G$46,0,offset(G224,0,-1*'Get Started'!$G$46)/$E224*'Get Started'!$H$46*$C350),0)</f>
        <v>0</v>
      </c>
      <c r="H350" s="74">
        <f>iferror(if(H$4&lt;'Get Started'!$G$43,0,offset(H224,0,-1*'Get Started'!$G$43)/$E224*'Get Started'!$H$43*$C350),0)+iferror(if(H$4&lt;'Get Started'!$G$44,0,offset(H224,0,-1*'Get Started'!$G$44)/$E224*'Get Started'!$H$44*$C350),0)+iferror(if(H$4&lt;'Get Started'!$G$45,0,offset(H224,0,-1*'Get Started'!$G$45)/$E224*'Get Started'!$H$45*$C350),0)+iferror(IF(H$4&lt;'Get Started'!$G$46,0,offset(H224,0,-1*'Get Started'!$G$46)/$E224*'Get Started'!$H$46*$C350),0)</f>
        <v>0</v>
      </c>
      <c r="I350" s="74">
        <f>iferror(if(I$4&lt;'Get Started'!$G$43,0,offset(I224,0,-1*'Get Started'!$G$43)/$E224*'Get Started'!$H$43*$C350),0)+iferror(if(I$4&lt;'Get Started'!$G$44,0,offset(I224,0,-1*'Get Started'!$G$44)/$E224*'Get Started'!$H$44*$C350),0)+iferror(if(I$4&lt;'Get Started'!$G$45,0,offset(I224,0,-1*'Get Started'!$G$45)/$E224*'Get Started'!$H$45*$C350),0)+iferror(IF(I$4&lt;'Get Started'!$G$46,0,offset(I224,0,-1*'Get Started'!$G$46)/$E224*'Get Started'!$H$46*$C350),0)</f>
        <v>0</v>
      </c>
      <c r="J350" s="74">
        <f>iferror(if(J$4&lt;'Get Started'!$G$43,0,offset(J224,0,-1*'Get Started'!$G$43)/$E224*'Get Started'!$H$43*$C350),0)+iferror(if(J$4&lt;'Get Started'!$G$44,0,offset(J224,0,-1*'Get Started'!$G$44)/$E224*'Get Started'!$H$44*$C350),0)+iferror(if(J$4&lt;'Get Started'!$G$45,0,offset(J224,0,-1*'Get Started'!$G$45)/$E224*'Get Started'!$H$45*$C350),0)+iferror(IF(J$4&lt;'Get Started'!$G$46,0,offset(J224,0,-1*'Get Started'!$G$46)/$E224*'Get Started'!$H$46*$C350),0)</f>
        <v>0</v>
      </c>
      <c r="K350" s="74">
        <f>iferror(if(K$4&lt;'Get Started'!$G$43,0,offset(K224,0,-1*'Get Started'!$G$43)/$E224*'Get Started'!$H$43*$C350),0)+iferror(if(K$4&lt;'Get Started'!$G$44,0,offset(K224,0,-1*'Get Started'!$G$44)/$E224*'Get Started'!$H$44*$C350),0)+iferror(if(K$4&lt;'Get Started'!$G$45,0,offset(K224,0,-1*'Get Started'!$G$45)/$E224*'Get Started'!$H$45*$C350),0)+iferror(IF(K$4&lt;'Get Started'!$G$46,0,offset(K224,0,-1*'Get Started'!$G$46)/$E224*'Get Started'!$H$46*$C350),0)</f>
        <v>0</v>
      </c>
      <c r="L350" s="74">
        <f>iferror(if(L$4&lt;'Get Started'!$G$43,0,offset(L224,0,-1*'Get Started'!$G$43)/$E224*'Get Started'!$H$43*$C350),0)+iferror(if(L$4&lt;'Get Started'!$G$44,0,offset(L224,0,-1*'Get Started'!$G$44)/$E224*'Get Started'!$H$44*$C350),0)+iferror(if(L$4&lt;'Get Started'!$G$45,0,offset(L224,0,-1*'Get Started'!$G$45)/$E224*'Get Started'!$H$45*$C350),0)+iferror(IF(L$4&lt;'Get Started'!$G$46,0,offset(L224,0,-1*'Get Started'!$G$46)/$E224*'Get Started'!$H$46*$C350),0)</f>
        <v>2328342.5</v>
      </c>
      <c r="M350" s="74">
        <f>iferror(if(M$4&lt;'Get Started'!$G$43,0,offset(M224,0,-1*'Get Started'!$G$43)/$E224*'Get Started'!$H$43*$C350),0)+iferror(if(M$4&lt;'Get Started'!$G$44,0,offset(M224,0,-1*'Get Started'!$G$44)/$E224*'Get Started'!$H$44*$C350),0)+iferror(if(M$4&lt;'Get Started'!$G$45,0,offset(M224,0,-1*'Get Started'!$G$45)/$E224*'Get Started'!$H$45*$C350),0)+iferror(IF(M$4&lt;'Get Started'!$G$46,0,offset(M224,0,-1*'Get Started'!$G$46)/$E224*'Get Started'!$H$46*$C350),0)</f>
        <v>2328342.5</v>
      </c>
      <c r="N350" s="74">
        <f>iferror(if(N$4&lt;'Get Started'!$G$43,0,offset(N224,0,-1*'Get Started'!$G$43)/$E224*'Get Started'!$H$43*$C350),0)+iferror(if(N$4&lt;'Get Started'!$G$44,0,offset(N224,0,-1*'Get Started'!$G$44)/$E224*'Get Started'!$H$44*$C350),0)+iferror(if(N$4&lt;'Get Started'!$G$45,0,offset(N224,0,-1*'Get Started'!$G$45)/$E224*'Get Started'!$H$45*$C350),0)+iferror(IF(N$4&lt;'Get Started'!$G$46,0,offset(N224,0,-1*'Get Started'!$G$46)/$E224*'Get Started'!$H$46*$C350),0)</f>
        <v>6208913.333</v>
      </c>
      <c r="O350" s="74">
        <f>iferror(if(O$4&lt;'Get Started'!$G$43,0,offset(O224,0,-1*'Get Started'!$G$43)/$E224*'Get Started'!$H$43*$C350),0)+iferror(if(O$4&lt;'Get Started'!$G$44,0,offset(O224,0,-1*'Get Started'!$G$44)/$E224*'Get Started'!$H$44*$C350),0)+iferror(if(O$4&lt;'Get Started'!$G$45,0,offset(O224,0,-1*'Get Started'!$G$45)/$E224*'Get Started'!$H$45*$C350),0)+iferror(IF(O$4&lt;'Get Started'!$G$46,0,offset(O224,0,-1*'Get Started'!$G$46)/$E224*'Get Started'!$H$46*$C350),0)</f>
        <v>6208913.333</v>
      </c>
      <c r="P350" s="74">
        <f>iferror(if(P$4&lt;'Get Started'!$G$43,0,offset(P224,0,-1*'Get Started'!$G$43)/$E224*'Get Started'!$H$43*$C350),0)+iferror(if(P$4&lt;'Get Started'!$G$44,0,offset(P224,0,-1*'Get Started'!$G$44)/$E224*'Get Started'!$H$44*$C350),0)+iferror(if(P$4&lt;'Get Started'!$G$45,0,offset(P224,0,-1*'Get Started'!$G$45)/$E224*'Get Started'!$H$45*$C350),0)+iferror(IF(P$4&lt;'Get Started'!$G$46,0,offset(P224,0,-1*'Get Started'!$G$46)/$E224*'Get Started'!$H$46*$C350),0)</f>
        <v>3880570.833</v>
      </c>
      <c r="Q350" s="74">
        <f>iferror(if(Q$4&lt;'Get Started'!$G$43,0,offset(Q224,0,-1*'Get Started'!$G$43)/$E224*'Get Started'!$H$43*$C350),0)+iferror(if(Q$4&lt;'Get Started'!$G$44,0,offset(Q224,0,-1*'Get Started'!$G$44)/$E224*'Get Started'!$H$44*$C350),0)+iferror(if(Q$4&lt;'Get Started'!$G$45,0,offset(Q224,0,-1*'Get Started'!$G$45)/$E224*'Get Started'!$H$45*$C350),0)+iferror(IF(Q$4&lt;'Get Started'!$G$46,0,offset(Q224,0,-1*'Get Started'!$G$46)/$E224*'Get Started'!$H$46*$C350),0)</f>
        <v>28716224.17</v>
      </c>
      <c r="R350" s="74">
        <f>iferror(if(R$4&lt;'Get Started'!$G$43,0,offset(R224,0,-1*'Get Started'!$G$43)/$E224*'Get Started'!$H$43*$C350),0)+iferror(if(R$4&lt;'Get Started'!$G$44,0,offset(R224,0,-1*'Get Started'!$G$44)/$E224*'Get Started'!$H$44*$C350),0)+iferror(if(R$4&lt;'Get Started'!$G$45,0,offset(R224,0,-1*'Get Started'!$G$45)/$E224*'Get Started'!$H$45*$C350),0)+iferror(IF(R$4&lt;'Get Started'!$G$46,0,offset(R224,0,-1*'Get Started'!$G$46)/$E224*'Get Started'!$H$46*$C350),0)</f>
        <v>24835653.33</v>
      </c>
      <c r="S350" s="74">
        <f>iferror(if(S$4&lt;'Get Started'!$G$43,0,offset(S224,0,-1*'Get Started'!$G$43)/$E224*'Get Started'!$H$43*$C350),0)+iferror(if(S$4&lt;'Get Started'!$G$44,0,offset(S224,0,-1*'Get Started'!$G$44)/$E224*'Get Started'!$H$44*$C350),0)+iferror(if(S$4&lt;'Get Started'!$G$45,0,offset(S224,0,-1*'Get Started'!$G$45)/$E224*'Get Started'!$H$45*$C350),0)+iferror(IF(S$4&lt;'Get Started'!$G$46,0,offset(S224,0,-1*'Get Started'!$G$46)/$E224*'Get Started'!$H$46*$C350),0)</f>
        <v>24835653.33</v>
      </c>
      <c r="T350" s="74">
        <f>iferror(if(T$4&lt;'Get Started'!$G$43,0,offset(T224,0,-1*'Get Started'!$G$43)/$E224*'Get Started'!$H$43*$C350),0)+iferror(if(T$4&lt;'Get Started'!$G$44,0,offset(T224,0,-1*'Get Started'!$G$44)/$E224*'Get Started'!$H$44*$C350),0)+iferror(if(T$4&lt;'Get Started'!$G$45,0,offset(T224,0,-1*'Get Started'!$G$45)/$E224*'Get Started'!$H$45*$C350),0)+iferror(IF(T$4&lt;'Get Started'!$G$46,0,offset(T224,0,-1*'Get Started'!$G$46)/$E224*'Get Started'!$H$46*$C350),0)</f>
        <v>24835653.33</v>
      </c>
      <c r="U350" s="74">
        <f>iferror(if(U$4&lt;'Get Started'!$G$43,0,offset(U224,0,-1*'Get Started'!$G$43)/$E224*'Get Started'!$H$43*$C350),0)+iferror(if(U$4&lt;'Get Started'!$G$44,0,offset(U224,0,-1*'Get Started'!$G$44)/$E224*'Get Started'!$H$44*$C350),0)+iferror(if(U$4&lt;'Get Started'!$G$45,0,offset(U224,0,-1*'Get Started'!$G$45)/$E224*'Get Started'!$H$45*$C350),0)+iferror(IF(U$4&lt;'Get Started'!$G$46,0,offset(U224,0,-1*'Get Started'!$G$46)/$E224*'Get Started'!$H$46*$C350),0)</f>
        <v>0</v>
      </c>
      <c r="V350" s="74">
        <f>iferror(if(V$4&lt;'Get Started'!$G$43,0,offset(V224,0,-1*'Get Started'!$G$43)/$E224*'Get Started'!$H$43*$C350),0)+iferror(if(V$4&lt;'Get Started'!$G$44,0,offset(V224,0,-1*'Get Started'!$G$44)/$E224*'Get Started'!$H$44*$C350),0)+iferror(if(V$4&lt;'Get Started'!$G$45,0,offset(V224,0,-1*'Get Started'!$G$45)/$E224*'Get Started'!$H$45*$C350),0)+iferror(IF(V$4&lt;'Get Started'!$G$46,0,offset(V224,0,-1*'Get Started'!$G$46)/$E224*'Get Started'!$H$46*$C350),0)</f>
        <v>0</v>
      </c>
      <c r="W350" s="74">
        <f>iferror(if(W$4&lt;'Get Started'!$G$43,0,offset(W224,0,-1*'Get Started'!$G$43)/$E224*'Get Started'!$H$43*$C350),0)+iferror(if(W$4&lt;'Get Started'!$G$44,0,offset(W224,0,-1*'Get Started'!$G$44)/$E224*'Get Started'!$H$44*$C350),0)+iferror(if(W$4&lt;'Get Started'!$G$45,0,offset(W224,0,-1*'Get Started'!$G$45)/$E224*'Get Started'!$H$45*$C350),0)+iferror(IF(W$4&lt;'Get Started'!$G$46,0,offset(W224,0,-1*'Get Started'!$G$46)/$E224*'Get Started'!$H$46*$C350),0)</f>
        <v>0</v>
      </c>
      <c r="X350" s="74">
        <f>iferror(if(X$4&lt;'Get Started'!$G$43,0,offset(X224,0,-1*'Get Started'!$G$43)/$E224*'Get Started'!$H$43*$C350),0)+iferror(if(X$4&lt;'Get Started'!$G$44,0,offset(X224,0,-1*'Get Started'!$G$44)/$E224*'Get Started'!$H$44*$C350),0)+iferror(if(X$4&lt;'Get Started'!$G$45,0,offset(X224,0,-1*'Get Started'!$G$45)/$E224*'Get Started'!$H$45*$C350),0)+iferror(IF(X$4&lt;'Get Started'!$G$46,0,offset(X224,0,-1*'Get Started'!$G$46)/$E224*'Get Started'!$H$46*$C350),0)</f>
        <v>0</v>
      </c>
      <c r="Y350" s="74">
        <f>iferror(if(Y$4&lt;'Get Started'!$G$43,0,offset(Y224,0,-1*'Get Started'!$G$43)/$E224*'Get Started'!$H$43*$C350),0)+iferror(if(Y$4&lt;'Get Started'!$G$44,0,offset(Y224,0,-1*'Get Started'!$G$44)/$E224*'Get Started'!$H$44*$C350),0)+iferror(if(Y$4&lt;'Get Started'!$G$45,0,offset(Y224,0,-1*'Get Started'!$G$45)/$E224*'Get Started'!$H$45*$C350),0)+iferror(IF(Y$4&lt;'Get Started'!$G$46,0,offset(Y224,0,-1*'Get Started'!$G$46)/$E224*'Get Started'!$H$46*$C350),0)</f>
        <v>0</v>
      </c>
      <c r="Z350" s="74">
        <f>iferror(if(Z$4&lt;'Get Started'!$G$43,0,offset(Z224,0,-1*'Get Started'!$G$43)/$E224*'Get Started'!$H$43*$C350),0)+iferror(if(Z$4&lt;'Get Started'!$G$44,0,offset(Z224,0,-1*'Get Started'!$G$44)/$E224*'Get Started'!$H$44*$C350),0)+iferror(if(Z$4&lt;'Get Started'!$G$45,0,offset(Z224,0,-1*'Get Started'!$G$45)/$E224*'Get Started'!$H$45*$C350),0)+iferror(IF(Z$4&lt;'Get Started'!$G$46,0,offset(Z224,0,-1*'Get Started'!$G$46)/$E224*'Get Started'!$H$46*$C350),0)</f>
        <v>0</v>
      </c>
    </row>
    <row r="351" hidden="1" outlineLevel="1">
      <c r="B351" s="93">
        <f t="shared" si="187"/>
        <v>4</v>
      </c>
      <c r="C351" s="77">
        <f>E246*'Get Started'!F$47</f>
        <v>0</v>
      </c>
      <c r="D351" s="16" t="s">
        <v>161</v>
      </c>
      <c r="E351" s="74">
        <f t="shared" si="108"/>
        <v>0</v>
      </c>
      <c r="F351" s="74"/>
      <c r="G351" s="74">
        <f>iferror(if(G$4&lt;'Get Started'!$G$43,0,offset(G225,0,-1*'Get Started'!$G$43)/$E225*'Get Started'!$H$43*$C351),0)+iferror(if(G$4&lt;'Get Started'!$G$44,0,offset(G225,0,-1*'Get Started'!$G$44)/$E225*'Get Started'!$H$44*$C351),0)+iferror(if(G$4&lt;'Get Started'!$G$45,0,offset(G225,0,-1*'Get Started'!$G$45)/$E225*'Get Started'!$H$45*$C351),0)+iferror(IF(G$4&lt;'Get Started'!$G$46,0,offset(G225,0,-1*'Get Started'!$G$46)/$E225*'Get Started'!$H$46*$C351),0)</f>
        <v>0</v>
      </c>
      <c r="H351" s="74">
        <f>iferror(if(H$4&lt;'Get Started'!$G$43,0,offset(H225,0,-1*'Get Started'!$G$43)/$E225*'Get Started'!$H$43*$C351),0)+iferror(if(H$4&lt;'Get Started'!$G$44,0,offset(H225,0,-1*'Get Started'!$G$44)/$E225*'Get Started'!$H$44*$C351),0)+iferror(if(H$4&lt;'Get Started'!$G$45,0,offset(H225,0,-1*'Get Started'!$G$45)/$E225*'Get Started'!$H$45*$C351),0)+iferror(IF(H$4&lt;'Get Started'!$G$46,0,offset(H225,0,-1*'Get Started'!$G$46)/$E225*'Get Started'!$H$46*$C351),0)</f>
        <v>0</v>
      </c>
      <c r="I351" s="74">
        <f>iferror(if(I$4&lt;'Get Started'!$G$43,0,offset(I225,0,-1*'Get Started'!$G$43)/$E225*'Get Started'!$H$43*$C351),0)+iferror(if(I$4&lt;'Get Started'!$G$44,0,offset(I225,0,-1*'Get Started'!$G$44)/$E225*'Get Started'!$H$44*$C351),0)+iferror(if(I$4&lt;'Get Started'!$G$45,0,offset(I225,0,-1*'Get Started'!$G$45)/$E225*'Get Started'!$H$45*$C351),0)+iferror(IF(I$4&lt;'Get Started'!$G$46,0,offset(I225,0,-1*'Get Started'!$G$46)/$E225*'Get Started'!$H$46*$C351),0)</f>
        <v>0</v>
      </c>
      <c r="J351" s="74">
        <f>iferror(if(J$4&lt;'Get Started'!$G$43,0,offset(J225,0,-1*'Get Started'!$G$43)/$E225*'Get Started'!$H$43*$C351),0)+iferror(if(J$4&lt;'Get Started'!$G$44,0,offset(J225,0,-1*'Get Started'!$G$44)/$E225*'Get Started'!$H$44*$C351),0)+iferror(if(J$4&lt;'Get Started'!$G$45,0,offset(J225,0,-1*'Get Started'!$G$45)/$E225*'Get Started'!$H$45*$C351),0)+iferror(IF(J$4&lt;'Get Started'!$G$46,0,offset(J225,0,-1*'Get Started'!$G$46)/$E225*'Get Started'!$H$46*$C351),0)</f>
        <v>0</v>
      </c>
      <c r="K351" s="74">
        <f>iferror(if(K$4&lt;'Get Started'!$G$43,0,offset(K225,0,-1*'Get Started'!$G$43)/$E225*'Get Started'!$H$43*$C351),0)+iferror(if(K$4&lt;'Get Started'!$G$44,0,offset(K225,0,-1*'Get Started'!$G$44)/$E225*'Get Started'!$H$44*$C351),0)+iferror(if(K$4&lt;'Get Started'!$G$45,0,offset(K225,0,-1*'Get Started'!$G$45)/$E225*'Get Started'!$H$45*$C351),0)+iferror(IF(K$4&lt;'Get Started'!$G$46,0,offset(K225,0,-1*'Get Started'!$G$46)/$E225*'Get Started'!$H$46*$C351),0)</f>
        <v>0</v>
      </c>
      <c r="L351" s="74">
        <f>iferror(if(L$4&lt;'Get Started'!$G$43,0,offset(L225,0,-1*'Get Started'!$G$43)/$E225*'Get Started'!$H$43*$C351),0)+iferror(if(L$4&lt;'Get Started'!$G$44,0,offset(L225,0,-1*'Get Started'!$G$44)/$E225*'Get Started'!$H$44*$C351),0)+iferror(if(L$4&lt;'Get Started'!$G$45,0,offset(L225,0,-1*'Get Started'!$G$45)/$E225*'Get Started'!$H$45*$C351),0)+iferror(IF(L$4&lt;'Get Started'!$G$46,0,offset(L225,0,-1*'Get Started'!$G$46)/$E225*'Get Started'!$H$46*$C351),0)</f>
        <v>0</v>
      </c>
      <c r="M351" s="74">
        <f>iferror(if(M$4&lt;'Get Started'!$G$43,0,offset(M225,0,-1*'Get Started'!$G$43)/$E225*'Get Started'!$H$43*$C351),0)+iferror(if(M$4&lt;'Get Started'!$G$44,0,offset(M225,0,-1*'Get Started'!$G$44)/$E225*'Get Started'!$H$44*$C351),0)+iferror(if(M$4&lt;'Get Started'!$G$45,0,offset(M225,0,-1*'Get Started'!$G$45)/$E225*'Get Started'!$H$45*$C351),0)+iferror(IF(M$4&lt;'Get Started'!$G$46,0,offset(M225,0,-1*'Get Started'!$G$46)/$E225*'Get Started'!$H$46*$C351),0)</f>
        <v>0</v>
      </c>
      <c r="N351" s="74">
        <f>iferror(if(N$4&lt;'Get Started'!$G$43,0,offset(N225,0,-1*'Get Started'!$G$43)/$E225*'Get Started'!$H$43*$C351),0)+iferror(if(N$4&lt;'Get Started'!$G$44,0,offset(N225,0,-1*'Get Started'!$G$44)/$E225*'Get Started'!$H$44*$C351),0)+iferror(if(N$4&lt;'Get Started'!$G$45,0,offset(N225,0,-1*'Get Started'!$G$45)/$E225*'Get Started'!$H$45*$C351),0)+iferror(IF(N$4&lt;'Get Started'!$G$46,0,offset(N225,0,-1*'Get Started'!$G$46)/$E225*'Get Started'!$H$46*$C351),0)</f>
        <v>0</v>
      </c>
      <c r="O351" s="74">
        <f>iferror(if(O$4&lt;'Get Started'!$G$43,0,offset(O225,0,-1*'Get Started'!$G$43)/$E225*'Get Started'!$H$43*$C351),0)+iferror(if(O$4&lt;'Get Started'!$G$44,0,offset(O225,0,-1*'Get Started'!$G$44)/$E225*'Get Started'!$H$44*$C351),0)+iferror(if(O$4&lt;'Get Started'!$G$45,0,offset(O225,0,-1*'Get Started'!$G$45)/$E225*'Get Started'!$H$45*$C351),0)+iferror(IF(O$4&lt;'Get Started'!$G$46,0,offset(O225,0,-1*'Get Started'!$G$46)/$E225*'Get Started'!$H$46*$C351),0)</f>
        <v>0</v>
      </c>
      <c r="P351" s="74">
        <f>iferror(if(P$4&lt;'Get Started'!$G$43,0,offset(P225,0,-1*'Get Started'!$G$43)/$E225*'Get Started'!$H$43*$C351),0)+iferror(if(P$4&lt;'Get Started'!$G$44,0,offset(P225,0,-1*'Get Started'!$G$44)/$E225*'Get Started'!$H$44*$C351),0)+iferror(if(P$4&lt;'Get Started'!$G$45,0,offset(P225,0,-1*'Get Started'!$G$45)/$E225*'Get Started'!$H$45*$C351),0)+iferror(IF(P$4&lt;'Get Started'!$G$46,0,offset(P225,0,-1*'Get Started'!$G$46)/$E225*'Get Started'!$H$46*$C351),0)</f>
        <v>0</v>
      </c>
      <c r="Q351" s="74">
        <f>iferror(if(Q$4&lt;'Get Started'!$G$43,0,offset(Q225,0,-1*'Get Started'!$G$43)/$E225*'Get Started'!$H$43*$C351),0)+iferror(if(Q$4&lt;'Get Started'!$G$44,0,offset(Q225,0,-1*'Get Started'!$G$44)/$E225*'Get Started'!$H$44*$C351),0)+iferror(if(Q$4&lt;'Get Started'!$G$45,0,offset(Q225,0,-1*'Get Started'!$G$45)/$E225*'Get Started'!$H$45*$C351),0)+iferror(IF(Q$4&lt;'Get Started'!$G$46,0,offset(Q225,0,-1*'Get Started'!$G$46)/$E225*'Get Started'!$H$46*$C351),0)</f>
        <v>0</v>
      </c>
      <c r="R351" s="74">
        <f>iferror(if(R$4&lt;'Get Started'!$G$43,0,offset(R225,0,-1*'Get Started'!$G$43)/$E225*'Get Started'!$H$43*$C351),0)+iferror(if(R$4&lt;'Get Started'!$G$44,0,offset(R225,0,-1*'Get Started'!$G$44)/$E225*'Get Started'!$H$44*$C351),0)+iferror(if(R$4&lt;'Get Started'!$G$45,0,offset(R225,0,-1*'Get Started'!$G$45)/$E225*'Get Started'!$H$45*$C351),0)+iferror(IF(R$4&lt;'Get Started'!$G$46,0,offset(R225,0,-1*'Get Started'!$G$46)/$E225*'Get Started'!$H$46*$C351),0)</f>
        <v>0</v>
      </c>
      <c r="S351" s="74">
        <f>iferror(if(S$4&lt;'Get Started'!$G$43,0,offset(S225,0,-1*'Get Started'!$G$43)/$E225*'Get Started'!$H$43*$C351),0)+iferror(if(S$4&lt;'Get Started'!$G$44,0,offset(S225,0,-1*'Get Started'!$G$44)/$E225*'Get Started'!$H$44*$C351),0)+iferror(if(S$4&lt;'Get Started'!$G$45,0,offset(S225,0,-1*'Get Started'!$G$45)/$E225*'Get Started'!$H$45*$C351),0)+iferror(IF(S$4&lt;'Get Started'!$G$46,0,offset(S225,0,-1*'Get Started'!$G$46)/$E225*'Get Started'!$H$46*$C351),0)</f>
        <v>0</v>
      </c>
      <c r="T351" s="74">
        <f>iferror(if(T$4&lt;'Get Started'!$G$43,0,offset(T225,0,-1*'Get Started'!$G$43)/$E225*'Get Started'!$H$43*$C351),0)+iferror(if(T$4&lt;'Get Started'!$G$44,0,offset(T225,0,-1*'Get Started'!$G$44)/$E225*'Get Started'!$H$44*$C351),0)+iferror(if(T$4&lt;'Get Started'!$G$45,0,offset(T225,0,-1*'Get Started'!$G$45)/$E225*'Get Started'!$H$45*$C351),0)+iferror(IF(T$4&lt;'Get Started'!$G$46,0,offset(T225,0,-1*'Get Started'!$G$46)/$E225*'Get Started'!$H$46*$C351),0)</f>
        <v>0</v>
      </c>
      <c r="U351" s="74">
        <f>iferror(if(U$4&lt;'Get Started'!$G$43,0,offset(U225,0,-1*'Get Started'!$G$43)/$E225*'Get Started'!$H$43*$C351),0)+iferror(if(U$4&lt;'Get Started'!$G$44,0,offset(U225,0,-1*'Get Started'!$G$44)/$E225*'Get Started'!$H$44*$C351),0)+iferror(if(U$4&lt;'Get Started'!$G$45,0,offset(U225,0,-1*'Get Started'!$G$45)/$E225*'Get Started'!$H$45*$C351),0)+iferror(IF(U$4&lt;'Get Started'!$G$46,0,offset(U225,0,-1*'Get Started'!$G$46)/$E225*'Get Started'!$H$46*$C351),0)</f>
        <v>0</v>
      </c>
      <c r="V351" s="74">
        <f>iferror(if(V$4&lt;'Get Started'!$G$43,0,offset(V225,0,-1*'Get Started'!$G$43)/$E225*'Get Started'!$H$43*$C351),0)+iferror(if(V$4&lt;'Get Started'!$G$44,0,offset(V225,0,-1*'Get Started'!$G$44)/$E225*'Get Started'!$H$44*$C351),0)+iferror(if(V$4&lt;'Get Started'!$G$45,0,offset(V225,0,-1*'Get Started'!$G$45)/$E225*'Get Started'!$H$45*$C351),0)+iferror(IF(V$4&lt;'Get Started'!$G$46,0,offset(V225,0,-1*'Get Started'!$G$46)/$E225*'Get Started'!$H$46*$C351),0)</f>
        <v>0</v>
      </c>
      <c r="W351" s="74">
        <f>iferror(if(W$4&lt;'Get Started'!$G$43,0,offset(W225,0,-1*'Get Started'!$G$43)/$E225*'Get Started'!$H$43*$C351),0)+iferror(if(W$4&lt;'Get Started'!$G$44,0,offset(W225,0,-1*'Get Started'!$G$44)/$E225*'Get Started'!$H$44*$C351),0)+iferror(if(W$4&lt;'Get Started'!$G$45,0,offset(W225,0,-1*'Get Started'!$G$45)/$E225*'Get Started'!$H$45*$C351),0)+iferror(IF(W$4&lt;'Get Started'!$G$46,0,offset(W225,0,-1*'Get Started'!$G$46)/$E225*'Get Started'!$H$46*$C351),0)</f>
        <v>0</v>
      </c>
      <c r="X351" s="74">
        <f>iferror(if(X$4&lt;'Get Started'!$G$43,0,offset(X225,0,-1*'Get Started'!$G$43)/$E225*'Get Started'!$H$43*$C351),0)+iferror(if(X$4&lt;'Get Started'!$G$44,0,offset(X225,0,-1*'Get Started'!$G$44)/$E225*'Get Started'!$H$44*$C351),0)+iferror(if(X$4&lt;'Get Started'!$G$45,0,offset(X225,0,-1*'Get Started'!$G$45)/$E225*'Get Started'!$H$45*$C351),0)+iferror(IF(X$4&lt;'Get Started'!$G$46,0,offset(X225,0,-1*'Get Started'!$G$46)/$E225*'Get Started'!$H$46*$C351),0)</f>
        <v>0</v>
      </c>
      <c r="Y351" s="74">
        <f>iferror(if(Y$4&lt;'Get Started'!$G$43,0,offset(Y225,0,-1*'Get Started'!$G$43)/$E225*'Get Started'!$H$43*$C351),0)+iferror(if(Y$4&lt;'Get Started'!$G$44,0,offset(Y225,0,-1*'Get Started'!$G$44)/$E225*'Get Started'!$H$44*$C351),0)+iferror(if(Y$4&lt;'Get Started'!$G$45,0,offset(Y225,0,-1*'Get Started'!$G$45)/$E225*'Get Started'!$H$45*$C351),0)+iferror(IF(Y$4&lt;'Get Started'!$G$46,0,offset(Y225,0,-1*'Get Started'!$G$46)/$E225*'Get Started'!$H$46*$C351),0)</f>
        <v>0</v>
      </c>
      <c r="Z351" s="74">
        <f>iferror(if(Z$4&lt;'Get Started'!$G$43,0,offset(Z225,0,-1*'Get Started'!$G$43)/$E225*'Get Started'!$H$43*$C351),0)+iferror(if(Z$4&lt;'Get Started'!$G$44,0,offset(Z225,0,-1*'Get Started'!$G$44)/$E225*'Get Started'!$H$44*$C351),0)+iferror(if(Z$4&lt;'Get Started'!$G$45,0,offset(Z225,0,-1*'Get Started'!$G$45)/$E225*'Get Started'!$H$45*$C351),0)+iferror(IF(Z$4&lt;'Get Started'!$G$46,0,offset(Z225,0,-1*'Get Started'!$G$46)/$E225*'Get Started'!$H$46*$C351),0)</f>
        <v>0</v>
      </c>
    </row>
    <row r="352" hidden="1" outlineLevel="1">
      <c r="B352" s="93">
        <f t="shared" si="187"/>
        <v>5</v>
      </c>
      <c r="C352" s="77">
        <f>E247*'Get Started'!F$47</f>
        <v>0</v>
      </c>
      <c r="D352" s="16" t="s">
        <v>161</v>
      </c>
      <c r="E352" s="74">
        <f t="shared" si="108"/>
        <v>0</v>
      </c>
      <c r="F352" s="74"/>
      <c r="G352" s="74">
        <f>iferror(if(G$4&lt;'Get Started'!$G$43,0,offset(G226,0,-1*'Get Started'!$G$43)/$E226*'Get Started'!$H$43*$C352),0)+iferror(if(G$4&lt;'Get Started'!$G$44,0,offset(G226,0,-1*'Get Started'!$G$44)/$E226*'Get Started'!$H$44*$C352),0)+iferror(if(G$4&lt;'Get Started'!$G$45,0,offset(G226,0,-1*'Get Started'!$G$45)/$E226*'Get Started'!$H$45*$C352),0)+iferror(IF(G$4&lt;'Get Started'!$G$46,0,offset(G226,0,-1*'Get Started'!$G$46)/$E226*'Get Started'!$H$46*$C352),0)</f>
        <v>0</v>
      </c>
      <c r="H352" s="74">
        <f>iferror(if(H$4&lt;'Get Started'!$G$43,0,offset(H226,0,-1*'Get Started'!$G$43)/$E226*'Get Started'!$H$43*$C352),0)+iferror(if(H$4&lt;'Get Started'!$G$44,0,offset(H226,0,-1*'Get Started'!$G$44)/$E226*'Get Started'!$H$44*$C352),0)+iferror(if(H$4&lt;'Get Started'!$G$45,0,offset(H226,0,-1*'Get Started'!$G$45)/$E226*'Get Started'!$H$45*$C352),0)+iferror(IF(H$4&lt;'Get Started'!$G$46,0,offset(H226,0,-1*'Get Started'!$G$46)/$E226*'Get Started'!$H$46*$C352),0)</f>
        <v>0</v>
      </c>
      <c r="I352" s="74">
        <f>iferror(if(I$4&lt;'Get Started'!$G$43,0,offset(I226,0,-1*'Get Started'!$G$43)/$E226*'Get Started'!$H$43*$C352),0)+iferror(if(I$4&lt;'Get Started'!$G$44,0,offset(I226,0,-1*'Get Started'!$G$44)/$E226*'Get Started'!$H$44*$C352),0)+iferror(if(I$4&lt;'Get Started'!$G$45,0,offset(I226,0,-1*'Get Started'!$G$45)/$E226*'Get Started'!$H$45*$C352),0)+iferror(IF(I$4&lt;'Get Started'!$G$46,0,offset(I226,0,-1*'Get Started'!$G$46)/$E226*'Get Started'!$H$46*$C352),0)</f>
        <v>0</v>
      </c>
      <c r="J352" s="74">
        <f>iferror(if(J$4&lt;'Get Started'!$G$43,0,offset(J226,0,-1*'Get Started'!$G$43)/$E226*'Get Started'!$H$43*$C352),0)+iferror(if(J$4&lt;'Get Started'!$G$44,0,offset(J226,0,-1*'Get Started'!$G$44)/$E226*'Get Started'!$H$44*$C352),0)+iferror(if(J$4&lt;'Get Started'!$G$45,0,offset(J226,0,-1*'Get Started'!$G$45)/$E226*'Get Started'!$H$45*$C352),0)+iferror(IF(J$4&lt;'Get Started'!$G$46,0,offset(J226,0,-1*'Get Started'!$G$46)/$E226*'Get Started'!$H$46*$C352),0)</f>
        <v>0</v>
      </c>
      <c r="K352" s="74">
        <f>iferror(if(K$4&lt;'Get Started'!$G$43,0,offset(K226,0,-1*'Get Started'!$G$43)/$E226*'Get Started'!$H$43*$C352),0)+iferror(if(K$4&lt;'Get Started'!$G$44,0,offset(K226,0,-1*'Get Started'!$G$44)/$E226*'Get Started'!$H$44*$C352),0)+iferror(if(K$4&lt;'Get Started'!$G$45,0,offset(K226,0,-1*'Get Started'!$G$45)/$E226*'Get Started'!$H$45*$C352),0)+iferror(IF(K$4&lt;'Get Started'!$G$46,0,offset(K226,0,-1*'Get Started'!$G$46)/$E226*'Get Started'!$H$46*$C352),0)</f>
        <v>0</v>
      </c>
      <c r="L352" s="74">
        <f>iferror(if(L$4&lt;'Get Started'!$G$43,0,offset(L226,0,-1*'Get Started'!$G$43)/$E226*'Get Started'!$H$43*$C352),0)+iferror(if(L$4&lt;'Get Started'!$G$44,0,offset(L226,0,-1*'Get Started'!$G$44)/$E226*'Get Started'!$H$44*$C352),0)+iferror(if(L$4&lt;'Get Started'!$G$45,0,offset(L226,0,-1*'Get Started'!$G$45)/$E226*'Get Started'!$H$45*$C352),0)+iferror(IF(L$4&lt;'Get Started'!$G$46,0,offset(L226,0,-1*'Get Started'!$G$46)/$E226*'Get Started'!$H$46*$C352),0)</f>
        <v>0</v>
      </c>
      <c r="M352" s="74">
        <f>iferror(if(M$4&lt;'Get Started'!$G$43,0,offset(M226,0,-1*'Get Started'!$G$43)/$E226*'Get Started'!$H$43*$C352),0)+iferror(if(M$4&lt;'Get Started'!$G$44,0,offset(M226,0,-1*'Get Started'!$G$44)/$E226*'Get Started'!$H$44*$C352),0)+iferror(if(M$4&lt;'Get Started'!$G$45,0,offset(M226,0,-1*'Get Started'!$G$45)/$E226*'Get Started'!$H$45*$C352),0)+iferror(IF(M$4&lt;'Get Started'!$G$46,0,offset(M226,0,-1*'Get Started'!$G$46)/$E226*'Get Started'!$H$46*$C352),0)</f>
        <v>0</v>
      </c>
      <c r="N352" s="74">
        <f>iferror(if(N$4&lt;'Get Started'!$G$43,0,offset(N226,0,-1*'Get Started'!$G$43)/$E226*'Get Started'!$H$43*$C352),0)+iferror(if(N$4&lt;'Get Started'!$G$44,0,offset(N226,0,-1*'Get Started'!$G$44)/$E226*'Get Started'!$H$44*$C352),0)+iferror(if(N$4&lt;'Get Started'!$G$45,0,offset(N226,0,-1*'Get Started'!$G$45)/$E226*'Get Started'!$H$45*$C352),0)+iferror(IF(N$4&lt;'Get Started'!$G$46,0,offset(N226,0,-1*'Get Started'!$G$46)/$E226*'Get Started'!$H$46*$C352),0)</f>
        <v>0</v>
      </c>
      <c r="O352" s="74">
        <f>iferror(if(O$4&lt;'Get Started'!$G$43,0,offset(O226,0,-1*'Get Started'!$G$43)/$E226*'Get Started'!$H$43*$C352),0)+iferror(if(O$4&lt;'Get Started'!$G$44,0,offset(O226,0,-1*'Get Started'!$G$44)/$E226*'Get Started'!$H$44*$C352),0)+iferror(if(O$4&lt;'Get Started'!$G$45,0,offset(O226,0,-1*'Get Started'!$G$45)/$E226*'Get Started'!$H$45*$C352),0)+iferror(IF(O$4&lt;'Get Started'!$G$46,0,offset(O226,0,-1*'Get Started'!$G$46)/$E226*'Get Started'!$H$46*$C352),0)</f>
        <v>0</v>
      </c>
      <c r="P352" s="74">
        <f>iferror(if(P$4&lt;'Get Started'!$G$43,0,offset(P226,0,-1*'Get Started'!$G$43)/$E226*'Get Started'!$H$43*$C352),0)+iferror(if(P$4&lt;'Get Started'!$G$44,0,offset(P226,0,-1*'Get Started'!$G$44)/$E226*'Get Started'!$H$44*$C352),0)+iferror(if(P$4&lt;'Get Started'!$G$45,0,offset(P226,0,-1*'Get Started'!$G$45)/$E226*'Get Started'!$H$45*$C352),0)+iferror(IF(P$4&lt;'Get Started'!$G$46,0,offset(P226,0,-1*'Get Started'!$G$46)/$E226*'Get Started'!$H$46*$C352),0)</f>
        <v>0</v>
      </c>
      <c r="Q352" s="74">
        <f>iferror(if(Q$4&lt;'Get Started'!$G$43,0,offset(Q226,0,-1*'Get Started'!$G$43)/$E226*'Get Started'!$H$43*$C352),0)+iferror(if(Q$4&lt;'Get Started'!$G$44,0,offset(Q226,0,-1*'Get Started'!$G$44)/$E226*'Get Started'!$H$44*$C352),0)+iferror(if(Q$4&lt;'Get Started'!$G$45,0,offset(Q226,0,-1*'Get Started'!$G$45)/$E226*'Get Started'!$H$45*$C352),0)+iferror(IF(Q$4&lt;'Get Started'!$G$46,0,offset(Q226,0,-1*'Get Started'!$G$46)/$E226*'Get Started'!$H$46*$C352),0)</f>
        <v>0</v>
      </c>
      <c r="R352" s="74">
        <f>iferror(if(R$4&lt;'Get Started'!$G$43,0,offset(R226,0,-1*'Get Started'!$G$43)/$E226*'Get Started'!$H$43*$C352),0)+iferror(if(R$4&lt;'Get Started'!$G$44,0,offset(R226,0,-1*'Get Started'!$G$44)/$E226*'Get Started'!$H$44*$C352),0)+iferror(if(R$4&lt;'Get Started'!$G$45,0,offset(R226,0,-1*'Get Started'!$G$45)/$E226*'Get Started'!$H$45*$C352),0)+iferror(IF(R$4&lt;'Get Started'!$G$46,0,offset(R226,0,-1*'Get Started'!$G$46)/$E226*'Get Started'!$H$46*$C352),0)</f>
        <v>0</v>
      </c>
      <c r="S352" s="74">
        <f>iferror(if(S$4&lt;'Get Started'!$G$43,0,offset(S226,0,-1*'Get Started'!$G$43)/$E226*'Get Started'!$H$43*$C352),0)+iferror(if(S$4&lt;'Get Started'!$G$44,0,offset(S226,0,-1*'Get Started'!$G$44)/$E226*'Get Started'!$H$44*$C352),0)+iferror(if(S$4&lt;'Get Started'!$G$45,0,offset(S226,0,-1*'Get Started'!$G$45)/$E226*'Get Started'!$H$45*$C352),0)+iferror(IF(S$4&lt;'Get Started'!$G$46,0,offset(S226,0,-1*'Get Started'!$G$46)/$E226*'Get Started'!$H$46*$C352),0)</f>
        <v>0</v>
      </c>
      <c r="T352" s="74">
        <f>iferror(if(T$4&lt;'Get Started'!$G$43,0,offset(T226,0,-1*'Get Started'!$G$43)/$E226*'Get Started'!$H$43*$C352),0)+iferror(if(T$4&lt;'Get Started'!$G$44,0,offset(T226,0,-1*'Get Started'!$G$44)/$E226*'Get Started'!$H$44*$C352),0)+iferror(if(T$4&lt;'Get Started'!$G$45,0,offset(T226,0,-1*'Get Started'!$G$45)/$E226*'Get Started'!$H$45*$C352),0)+iferror(IF(T$4&lt;'Get Started'!$G$46,0,offset(T226,0,-1*'Get Started'!$G$46)/$E226*'Get Started'!$H$46*$C352),0)</f>
        <v>0</v>
      </c>
      <c r="U352" s="74">
        <f>iferror(if(U$4&lt;'Get Started'!$G$43,0,offset(U226,0,-1*'Get Started'!$G$43)/$E226*'Get Started'!$H$43*$C352),0)+iferror(if(U$4&lt;'Get Started'!$G$44,0,offset(U226,0,-1*'Get Started'!$G$44)/$E226*'Get Started'!$H$44*$C352),0)+iferror(if(U$4&lt;'Get Started'!$G$45,0,offset(U226,0,-1*'Get Started'!$G$45)/$E226*'Get Started'!$H$45*$C352),0)+iferror(IF(U$4&lt;'Get Started'!$G$46,0,offset(U226,0,-1*'Get Started'!$G$46)/$E226*'Get Started'!$H$46*$C352),0)</f>
        <v>0</v>
      </c>
      <c r="V352" s="74">
        <f>iferror(if(V$4&lt;'Get Started'!$G$43,0,offset(V226,0,-1*'Get Started'!$G$43)/$E226*'Get Started'!$H$43*$C352),0)+iferror(if(V$4&lt;'Get Started'!$G$44,0,offset(V226,0,-1*'Get Started'!$G$44)/$E226*'Get Started'!$H$44*$C352),0)+iferror(if(V$4&lt;'Get Started'!$G$45,0,offset(V226,0,-1*'Get Started'!$G$45)/$E226*'Get Started'!$H$45*$C352),0)+iferror(IF(V$4&lt;'Get Started'!$G$46,0,offset(V226,0,-1*'Get Started'!$G$46)/$E226*'Get Started'!$H$46*$C352),0)</f>
        <v>0</v>
      </c>
      <c r="W352" s="74">
        <f>iferror(if(W$4&lt;'Get Started'!$G$43,0,offset(W226,0,-1*'Get Started'!$G$43)/$E226*'Get Started'!$H$43*$C352),0)+iferror(if(W$4&lt;'Get Started'!$G$44,0,offset(W226,0,-1*'Get Started'!$G$44)/$E226*'Get Started'!$H$44*$C352),0)+iferror(if(W$4&lt;'Get Started'!$G$45,0,offset(W226,0,-1*'Get Started'!$G$45)/$E226*'Get Started'!$H$45*$C352),0)+iferror(IF(W$4&lt;'Get Started'!$G$46,0,offset(W226,0,-1*'Get Started'!$G$46)/$E226*'Get Started'!$H$46*$C352),0)</f>
        <v>0</v>
      </c>
      <c r="X352" s="74">
        <f>iferror(if(X$4&lt;'Get Started'!$G$43,0,offset(X226,0,-1*'Get Started'!$G$43)/$E226*'Get Started'!$H$43*$C352),0)+iferror(if(X$4&lt;'Get Started'!$G$44,0,offset(X226,0,-1*'Get Started'!$G$44)/$E226*'Get Started'!$H$44*$C352),0)+iferror(if(X$4&lt;'Get Started'!$G$45,0,offset(X226,0,-1*'Get Started'!$G$45)/$E226*'Get Started'!$H$45*$C352),0)+iferror(IF(X$4&lt;'Get Started'!$G$46,0,offset(X226,0,-1*'Get Started'!$G$46)/$E226*'Get Started'!$H$46*$C352),0)</f>
        <v>0</v>
      </c>
      <c r="Y352" s="74">
        <f>iferror(if(Y$4&lt;'Get Started'!$G$43,0,offset(Y226,0,-1*'Get Started'!$G$43)/$E226*'Get Started'!$H$43*$C352),0)+iferror(if(Y$4&lt;'Get Started'!$G$44,0,offset(Y226,0,-1*'Get Started'!$G$44)/$E226*'Get Started'!$H$44*$C352),0)+iferror(if(Y$4&lt;'Get Started'!$G$45,0,offset(Y226,0,-1*'Get Started'!$G$45)/$E226*'Get Started'!$H$45*$C352),0)+iferror(IF(Y$4&lt;'Get Started'!$G$46,0,offset(Y226,0,-1*'Get Started'!$G$46)/$E226*'Get Started'!$H$46*$C352),0)</f>
        <v>0</v>
      </c>
      <c r="Z352" s="74">
        <f>iferror(if(Z$4&lt;'Get Started'!$G$43,0,offset(Z226,0,-1*'Get Started'!$G$43)/$E226*'Get Started'!$H$43*$C352),0)+iferror(if(Z$4&lt;'Get Started'!$G$44,0,offset(Z226,0,-1*'Get Started'!$G$44)/$E226*'Get Started'!$H$44*$C352),0)+iferror(if(Z$4&lt;'Get Started'!$G$45,0,offset(Z226,0,-1*'Get Started'!$G$45)/$E226*'Get Started'!$H$45*$C352),0)+iferror(IF(Z$4&lt;'Get Started'!$G$46,0,offset(Z226,0,-1*'Get Started'!$G$46)/$E226*'Get Started'!$H$46*$C352),0)</f>
        <v>0</v>
      </c>
    </row>
    <row r="353" hidden="1" outlineLevel="1">
      <c r="B353" s="93">
        <f t="shared" si="187"/>
        <v>6</v>
      </c>
      <c r="C353" s="77">
        <f>E248*'Get Started'!F$47</f>
        <v>0</v>
      </c>
      <c r="D353" s="16" t="s">
        <v>161</v>
      </c>
      <c r="E353" s="74">
        <f t="shared" si="108"/>
        <v>0</v>
      </c>
      <c r="F353" s="74"/>
      <c r="G353" s="74">
        <f>iferror(if(G$4&lt;'Get Started'!$G$43,0,offset(G227,0,-1*'Get Started'!$G$43)/$E227*'Get Started'!$H$43*$C353),0)+iferror(if(G$4&lt;'Get Started'!$G$44,0,offset(G227,0,-1*'Get Started'!$G$44)/$E227*'Get Started'!$H$44*$C353),0)+iferror(if(G$4&lt;'Get Started'!$G$45,0,offset(G227,0,-1*'Get Started'!$G$45)/$E227*'Get Started'!$H$45*$C353),0)+iferror(IF(G$4&lt;'Get Started'!$G$46,0,offset(G227,0,-1*'Get Started'!$G$46)/$E227*'Get Started'!$H$46*$C353),0)</f>
        <v>0</v>
      </c>
      <c r="H353" s="74">
        <f>iferror(if(H$4&lt;'Get Started'!$G$43,0,offset(H227,0,-1*'Get Started'!$G$43)/$E227*'Get Started'!$H$43*$C353),0)+iferror(if(H$4&lt;'Get Started'!$G$44,0,offset(H227,0,-1*'Get Started'!$G$44)/$E227*'Get Started'!$H$44*$C353),0)+iferror(if(H$4&lt;'Get Started'!$G$45,0,offset(H227,0,-1*'Get Started'!$G$45)/$E227*'Get Started'!$H$45*$C353),0)+iferror(IF(H$4&lt;'Get Started'!$G$46,0,offset(H227,0,-1*'Get Started'!$G$46)/$E227*'Get Started'!$H$46*$C353),0)</f>
        <v>0</v>
      </c>
      <c r="I353" s="74">
        <f>iferror(if(I$4&lt;'Get Started'!$G$43,0,offset(I227,0,-1*'Get Started'!$G$43)/$E227*'Get Started'!$H$43*$C353),0)+iferror(if(I$4&lt;'Get Started'!$G$44,0,offset(I227,0,-1*'Get Started'!$G$44)/$E227*'Get Started'!$H$44*$C353),0)+iferror(if(I$4&lt;'Get Started'!$G$45,0,offset(I227,0,-1*'Get Started'!$G$45)/$E227*'Get Started'!$H$45*$C353),0)+iferror(IF(I$4&lt;'Get Started'!$G$46,0,offset(I227,0,-1*'Get Started'!$G$46)/$E227*'Get Started'!$H$46*$C353),0)</f>
        <v>0</v>
      </c>
      <c r="J353" s="74">
        <f>iferror(if(J$4&lt;'Get Started'!$G$43,0,offset(J227,0,-1*'Get Started'!$G$43)/$E227*'Get Started'!$H$43*$C353),0)+iferror(if(J$4&lt;'Get Started'!$G$44,0,offset(J227,0,-1*'Get Started'!$G$44)/$E227*'Get Started'!$H$44*$C353),0)+iferror(if(J$4&lt;'Get Started'!$G$45,0,offset(J227,0,-1*'Get Started'!$G$45)/$E227*'Get Started'!$H$45*$C353),0)+iferror(IF(J$4&lt;'Get Started'!$G$46,0,offset(J227,0,-1*'Get Started'!$G$46)/$E227*'Get Started'!$H$46*$C353),0)</f>
        <v>0</v>
      </c>
      <c r="K353" s="74">
        <f>iferror(if(K$4&lt;'Get Started'!$G$43,0,offset(K227,0,-1*'Get Started'!$G$43)/$E227*'Get Started'!$H$43*$C353),0)+iferror(if(K$4&lt;'Get Started'!$G$44,0,offset(K227,0,-1*'Get Started'!$G$44)/$E227*'Get Started'!$H$44*$C353),0)+iferror(if(K$4&lt;'Get Started'!$G$45,0,offset(K227,0,-1*'Get Started'!$G$45)/$E227*'Get Started'!$H$45*$C353),0)+iferror(IF(K$4&lt;'Get Started'!$G$46,0,offset(K227,0,-1*'Get Started'!$G$46)/$E227*'Get Started'!$H$46*$C353),0)</f>
        <v>0</v>
      </c>
      <c r="L353" s="74">
        <f>iferror(if(L$4&lt;'Get Started'!$G$43,0,offset(L227,0,-1*'Get Started'!$G$43)/$E227*'Get Started'!$H$43*$C353),0)+iferror(if(L$4&lt;'Get Started'!$G$44,0,offset(L227,0,-1*'Get Started'!$G$44)/$E227*'Get Started'!$H$44*$C353),0)+iferror(if(L$4&lt;'Get Started'!$G$45,0,offset(L227,0,-1*'Get Started'!$G$45)/$E227*'Get Started'!$H$45*$C353),0)+iferror(IF(L$4&lt;'Get Started'!$G$46,0,offset(L227,0,-1*'Get Started'!$G$46)/$E227*'Get Started'!$H$46*$C353),0)</f>
        <v>0</v>
      </c>
      <c r="M353" s="74">
        <f>iferror(if(M$4&lt;'Get Started'!$G$43,0,offset(M227,0,-1*'Get Started'!$G$43)/$E227*'Get Started'!$H$43*$C353),0)+iferror(if(M$4&lt;'Get Started'!$G$44,0,offset(M227,0,-1*'Get Started'!$G$44)/$E227*'Get Started'!$H$44*$C353),0)+iferror(if(M$4&lt;'Get Started'!$G$45,0,offset(M227,0,-1*'Get Started'!$G$45)/$E227*'Get Started'!$H$45*$C353),0)+iferror(IF(M$4&lt;'Get Started'!$G$46,0,offset(M227,0,-1*'Get Started'!$G$46)/$E227*'Get Started'!$H$46*$C353),0)</f>
        <v>0</v>
      </c>
      <c r="N353" s="74">
        <f>iferror(if(N$4&lt;'Get Started'!$G$43,0,offset(N227,0,-1*'Get Started'!$G$43)/$E227*'Get Started'!$H$43*$C353),0)+iferror(if(N$4&lt;'Get Started'!$G$44,0,offset(N227,0,-1*'Get Started'!$G$44)/$E227*'Get Started'!$H$44*$C353),0)+iferror(if(N$4&lt;'Get Started'!$G$45,0,offset(N227,0,-1*'Get Started'!$G$45)/$E227*'Get Started'!$H$45*$C353),0)+iferror(IF(N$4&lt;'Get Started'!$G$46,0,offset(N227,0,-1*'Get Started'!$G$46)/$E227*'Get Started'!$H$46*$C353),0)</f>
        <v>0</v>
      </c>
      <c r="O353" s="74">
        <f>iferror(if(O$4&lt;'Get Started'!$G$43,0,offset(O227,0,-1*'Get Started'!$G$43)/$E227*'Get Started'!$H$43*$C353),0)+iferror(if(O$4&lt;'Get Started'!$G$44,0,offset(O227,0,-1*'Get Started'!$G$44)/$E227*'Get Started'!$H$44*$C353),0)+iferror(if(O$4&lt;'Get Started'!$G$45,0,offset(O227,0,-1*'Get Started'!$G$45)/$E227*'Get Started'!$H$45*$C353),0)+iferror(IF(O$4&lt;'Get Started'!$G$46,0,offset(O227,0,-1*'Get Started'!$G$46)/$E227*'Get Started'!$H$46*$C353),0)</f>
        <v>0</v>
      </c>
      <c r="P353" s="74">
        <f>iferror(if(P$4&lt;'Get Started'!$G$43,0,offset(P227,0,-1*'Get Started'!$G$43)/$E227*'Get Started'!$H$43*$C353),0)+iferror(if(P$4&lt;'Get Started'!$G$44,0,offset(P227,0,-1*'Get Started'!$G$44)/$E227*'Get Started'!$H$44*$C353),0)+iferror(if(P$4&lt;'Get Started'!$G$45,0,offset(P227,0,-1*'Get Started'!$G$45)/$E227*'Get Started'!$H$45*$C353),0)+iferror(IF(P$4&lt;'Get Started'!$G$46,0,offset(P227,0,-1*'Get Started'!$G$46)/$E227*'Get Started'!$H$46*$C353),0)</f>
        <v>0</v>
      </c>
      <c r="Q353" s="74">
        <f>iferror(if(Q$4&lt;'Get Started'!$G$43,0,offset(Q227,0,-1*'Get Started'!$G$43)/$E227*'Get Started'!$H$43*$C353),0)+iferror(if(Q$4&lt;'Get Started'!$G$44,0,offset(Q227,0,-1*'Get Started'!$G$44)/$E227*'Get Started'!$H$44*$C353),0)+iferror(if(Q$4&lt;'Get Started'!$G$45,0,offset(Q227,0,-1*'Get Started'!$G$45)/$E227*'Get Started'!$H$45*$C353),0)+iferror(IF(Q$4&lt;'Get Started'!$G$46,0,offset(Q227,0,-1*'Get Started'!$G$46)/$E227*'Get Started'!$H$46*$C353),0)</f>
        <v>0</v>
      </c>
      <c r="R353" s="74">
        <f>iferror(if(R$4&lt;'Get Started'!$G$43,0,offset(R227,0,-1*'Get Started'!$G$43)/$E227*'Get Started'!$H$43*$C353),0)+iferror(if(R$4&lt;'Get Started'!$G$44,0,offset(R227,0,-1*'Get Started'!$G$44)/$E227*'Get Started'!$H$44*$C353),0)+iferror(if(R$4&lt;'Get Started'!$G$45,0,offset(R227,0,-1*'Get Started'!$G$45)/$E227*'Get Started'!$H$45*$C353),0)+iferror(IF(R$4&lt;'Get Started'!$G$46,0,offset(R227,0,-1*'Get Started'!$G$46)/$E227*'Get Started'!$H$46*$C353),0)</f>
        <v>0</v>
      </c>
      <c r="S353" s="74">
        <f>iferror(if(S$4&lt;'Get Started'!$G$43,0,offset(S227,0,-1*'Get Started'!$G$43)/$E227*'Get Started'!$H$43*$C353),0)+iferror(if(S$4&lt;'Get Started'!$G$44,0,offset(S227,0,-1*'Get Started'!$G$44)/$E227*'Get Started'!$H$44*$C353),0)+iferror(if(S$4&lt;'Get Started'!$G$45,0,offset(S227,0,-1*'Get Started'!$G$45)/$E227*'Get Started'!$H$45*$C353),0)+iferror(IF(S$4&lt;'Get Started'!$G$46,0,offset(S227,0,-1*'Get Started'!$G$46)/$E227*'Get Started'!$H$46*$C353),0)</f>
        <v>0</v>
      </c>
      <c r="T353" s="74">
        <f>iferror(if(T$4&lt;'Get Started'!$G$43,0,offset(T227,0,-1*'Get Started'!$G$43)/$E227*'Get Started'!$H$43*$C353),0)+iferror(if(T$4&lt;'Get Started'!$G$44,0,offset(T227,0,-1*'Get Started'!$G$44)/$E227*'Get Started'!$H$44*$C353),0)+iferror(if(T$4&lt;'Get Started'!$G$45,0,offset(T227,0,-1*'Get Started'!$G$45)/$E227*'Get Started'!$H$45*$C353),0)+iferror(IF(T$4&lt;'Get Started'!$G$46,0,offset(T227,0,-1*'Get Started'!$G$46)/$E227*'Get Started'!$H$46*$C353),0)</f>
        <v>0</v>
      </c>
      <c r="U353" s="74">
        <f>iferror(if(U$4&lt;'Get Started'!$G$43,0,offset(U227,0,-1*'Get Started'!$G$43)/$E227*'Get Started'!$H$43*$C353),0)+iferror(if(U$4&lt;'Get Started'!$G$44,0,offset(U227,0,-1*'Get Started'!$G$44)/$E227*'Get Started'!$H$44*$C353),0)+iferror(if(U$4&lt;'Get Started'!$G$45,0,offset(U227,0,-1*'Get Started'!$G$45)/$E227*'Get Started'!$H$45*$C353),0)+iferror(IF(U$4&lt;'Get Started'!$G$46,0,offset(U227,0,-1*'Get Started'!$G$46)/$E227*'Get Started'!$H$46*$C353),0)</f>
        <v>0</v>
      </c>
      <c r="V353" s="74">
        <f>iferror(if(V$4&lt;'Get Started'!$G$43,0,offset(V227,0,-1*'Get Started'!$G$43)/$E227*'Get Started'!$H$43*$C353),0)+iferror(if(V$4&lt;'Get Started'!$G$44,0,offset(V227,0,-1*'Get Started'!$G$44)/$E227*'Get Started'!$H$44*$C353),0)+iferror(if(V$4&lt;'Get Started'!$G$45,0,offset(V227,0,-1*'Get Started'!$G$45)/$E227*'Get Started'!$H$45*$C353),0)+iferror(IF(V$4&lt;'Get Started'!$G$46,0,offset(V227,0,-1*'Get Started'!$G$46)/$E227*'Get Started'!$H$46*$C353),0)</f>
        <v>0</v>
      </c>
      <c r="W353" s="74">
        <f>iferror(if(W$4&lt;'Get Started'!$G$43,0,offset(W227,0,-1*'Get Started'!$G$43)/$E227*'Get Started'!$H$43*$C353),0)+iferror(if(W$4&lt;'Get Started'!$G$44,0,offset(W227,0,-1*'Get Started'!$G$44)/$E227*'Get Started'!$H$44*$C353),0)+iferror(if(W$4&lt;'Get Started'!$G$45,0,offset(W227,0,-1*'Get Started'!$G$45)/$E227*'Get Started'!$H$45*$C353),0)+iferror(IF(W$4&lt;'Get Started'!$G$46,0,offset(W227,0,-1*'Get Started'!$G$46)/$E227*'Get Started'!$H$46*$C353),0)</f>
        <v>0</v>
      </c>
      <c r="X353" s="74">
        <f>iferror(if(X$4&lt;'Get Started'!$G$43,0,offset(X227,0,-1*'Get Started'!$G$43)/$E227*'Get Started'!$H$43*$C353),0)+iferror(if(X$4&lt;'Get Started'!$G$44,0,offset(X227,0,-1*'Get Started'!$G$44)/$E227*'Get Started'!$H$44*$C353),0)+iferror(if(X$4&lt;'Get Started'!$G$45,0,offset(X227,0,-1*'Get Started'!$G$45)/$E227*'Get Started'!$H$45*$C353),0)+iferror(IF(X$4&lt;'Get Started'!$G$46,0,offset(X227,0,-1*'Get Started'!$G$46)/$E227*'Get Started'!$H$46*$C353),0)</f>
        <v>0</v>
      </c>
      <c r="Y353" s="74">
        <f>iferror(if(Y$4&lt;'Get Started'!$G$43,0,offset(Y227,0,-1*'Get Started'!$G$43)/$E227*'Get Started'!$H$43*$C353),0)+iferror(if(Y$4&lt;'Get Started'!$G$44,0,offset(Y227,0,-1*'Get Started'!$G$44)/$E227*'Get Started'!$H$44*$C353),0)+iferror(if(Y$4&lt;'Get Started'!$G$45,0,offset(Y227,0,-1*'Get Started'!$G$45)/$E227*'Get Started'!$H$45*$C353),0)+iferror(IF(Y$4&lt;'Get Started'!$G$46,0,offset(Y227,0,-1*'Get Started'!$G$46)/$E227*'Get Started'!$H$46*$C353),0)</f>
        <v>0</v>
      </c>
      <c r="Z353" s="74">
        <f>iferror(if(Z$4&lt;'Get Started'!$G$43,0,offset(Z227,0,-1*'Get Started'!$G$43)/$E227*'Get Started'!$H$43*$C353),0)+iferror(if(Z$4&lt;'Get Started'!$G$44,0,offset(Z227,0,-1*'Get Started'!$G$44)/$E227*'Get Started'!$H$44*$C353),0)+iferror(if(Z$4&lt;'Get Started'!$G$45,0,offset(Z227,0,-1*'Get Started'!$G$45)/$E227*'Get Started'!$H$45*$C353),0)+iferror(IF(Z$4&lt;'Get Started'!$G$46,0,offset(Z227,0,-1*'Get Started'!$G$46)/$E227*'Get Started'!$H$46*$C353),0)</f>
        <v>0</v>
      </c>
    </row>
    <row r="354" hidden="1" outlineLevel="1">
      <c r="B354" s="93">
        <f t="shared" si="187"/>
        <v>7</v>
      </c>
      <c r="C354" s="77">
        <f>E249*'Get Started'!F$47</f>
        <v>0</v>
      </c>
      <c r="D354" s="16" t="s">
        <v>161</v>
      </c>
      <c r="E354" s="74">
        <f t="shared" si="108"/>
        <v>0</v>
      </c>
      <c r="F354" s="74"/>
      <c r="G354" s="74">
        <f>iferror(if(G$4&lt;'Get Started'!$G$43,0,offset(G228,0,-1*'Get Started'!$G$43)/$E228*'Get Started'!$H$43*$C354),0)+iferror(if(G$4&lt;'Get Started'!$G$44,0,offset(G228,0,-1*'Get Started'!$G$44)/$E228*'Get Started'!$H$44*$C354),0)+iferror(if(G$4&lt;'Get Started'!$G$45,0,offset(G228,0,-1*'Get Started'!$G$45)/$E228*'Get Started'!$H$45*$C354),0)+iferror(IF(G$4&lt;'Get Started'!$G$46,0,offset(G228,0,-1*'Get Started'!$G$46)/$E228*'Get Started'!$H$46*$C354),0)</f>
        <v>0</v>
      </c>
      <c r="H354" s="74">
        <f>iferror(if(H$4&lt;'Get Started'!$G$43,0,offset(H228,0,-1*'Get Started'!$G$43)/$E228*'Get Started'!$H$43*$C354),0)+iferror(if(H$4&lt;'Get Started'!$G$44,0,offset(H228,0,-1*'Get Started'!$G$44)/$E228*'Get Started'!$H$44*$C354),0)+iferror(if(H$4&lt;'Get Started'!$G$45,0,offset(H228,0,-1*'Get Started'!$G$45)/$E228*'Get Started'!$H$45*$C354),0)+iferror(IF(H$4&lt;'Get Started'!$G$46,0,offset(H228,0,-1*'Get Started'!$G$46)/$E228*'Get Started'!$H$46*$C354),0)</f>
        <v>0</v>
      </c>
      <c r="I354" s="74">
        <f>iferror(if(I$4&lt;'Get Started'!$G$43,0,offset(I228,0,-1*'Get Started'!$G$43)/$E228*'Get Started'!$H$43*$C354),0)+iferror(if(I$4&lt;'Get Started'!$G$44,0,offset(I228,0,-1*'Get Started'!$G$44)/$E228*'Get Started'!$H$44*$C354),0)+iferror(if(I$4&lt;'Get Started'!$G$45,0,offset(I228,0,-1*'Get Started'!$G$45)/$E228*'Get Started'!$H$45*$C354),0)+iferror(IF(I$4&lt;'Get Started'!$G$46,0,offset(I228,0,-1*'Get Started'!$G$46)/$E228*'Get Started'!$H$46*$C354),0)</f>
        <v>0</v>
      </c>
      <c r="J354" s="74">
        <f>iferror(if(J$4&lt;'Get Started'!$G$43,0,offset(J228,0,-1*'Get Started'!$G$43)/$E228*'Get Started'!$H$43*$C354),0)+iferror(if(J$4&lt;'Get Started'!$G$44,0,offset(J228,0,-1*'Get Started'!$G$44)/$E228*'Get Started'!$H$44*$C354),0)+iferror(if(J$4&lt;'Get Started'!$G$45,0,offset(J228,0,-1*'Get Started'!$G$45)/$E228*'Get Started'!$H$45*$C354),0)+iferror(IF(J$4&lt;'Get Started'!$G$46,0,offset(J228,0,-1*'Get Started'!$G$46)/$E228*'Get Started'!$H$46*$C354),0)</f>
        <v>0</v>
      </c>
      <c r="K354" s="74">
        <f>iferror(if(K$4&lt;'Get Started'!$G$43,0,offset(K228,0,-1*'Get Started'!$G$43)/$E228*'Get Started'!$H$43*$C354),0)+iferror(if(K$4&lt;'Get Started'!$G$44,0,offset(K228,0,-1*'Get Started'!$G$44)/$E228*'Get Started'!$H$44*$C354),0)+iferror(if(K$4&lt;'Get Started'!$G$45,0,offset(K228,0,-1*'Get Started'!$G$45)/$E228*'Get Started'!$H$45*$C354),0)+iferror(IF(K$4&lt;'Get Started'!$G$46,0,offset(K228,0,-1*'Get Started'!$G$46)/$E228*'Get Started'!$H$46*$C354),0)</f>
        <v>0</v>
      </c>
      <c r="L354" s="74">
        <f>iferror(if(L$4&lt;'Get Started'!$G$43,0,offset(L228,0,-1*'Get Started'!$G$43)/$E228*'Get Started'!$H$43*$C354),0)+iferror(if(L$4&lt;'Get Started'!$G$44,0,offset(L228,0,-1*'Get Started'!$G$44)/$E228*'Get Started'!$H$44*$C354),0)+iferror(if(L$4&lt;'Get Started'!$G$45,0,offset(L228,0,-1*'Get Started'!$G$45)/$E228*'Get Started'!$H$45*$C354),0)+iferror(IF(L$4&lt;'Get Started'!$G$46,0,offset(L228,0,-1*'Get Started'!$G$46)/$E228*'Get Started'!$H$46*$C354),0)</f>
        <v>0</v>
      </c>
      <c r="M354" s="74">
        <f>iferror(if(M$4&lt;'Get Started'!$G$43,0,offset(M228,0,-1*'Get Started'!$G$43)/$E228*'Get Started'!$H$43*$C354),0)+iferror(if(M$4&lt;'Get Started'!$G$44,0,offset(M228,0,-1*'Get Started'!$G$44)/$E228*'Get Started'!$H$44*$C354),0)+iferror(if(M$4&lt;'Get Started'!$G$45,0,offset(M228,0,-1*'Get Started'!$G$45)/$E228*'Get Started'!$H$45*$C354),0)+iferror(IF(M$4&lt;'Get Started'!$G$46,0,offset(M228,0,-1*'Get Started'!$G$46)/$E228*'Get Started'!$H$46*$C354),0)</f>
        <v>0</v>
      </c>
      <c r="N354" s="74">
        <f>iferror(if(N$4&lt;'Get Started'!$G$43,0,offset(N228,0,-1*'Get Started'!$G$43)/$E228*'Get Started'!$H$43*$C354),0)+iferror(if(N$4&lt;'Get Started'!$G$44,0,offset(N228,0,-1*'Get Started'!$G$44)/$E228*'Get Started'!$H$44*$C354),0)+iferror(if(N$4&lt;'Get Started'!$G$45,0,offset(N228,0,-1*'Get Started'!$G$45)/$E228*'Get Started'!$H$45*$C354),0)+iferror(IF(N$4&lt;'Get Started'!$G$46,0,offset(N228,0,-1*'Get Started'!$G$46)/$E228*'Get Started'!$H$46*$C354),0)</f>
        <v>0</v>
      </c>
      <c r="O354" s="74">
        <f>iferror(if(O$4&lt;'Get Started'!$G$43,0,offset(O228,0,-1*'Get Started'!$G$43)/$E228*'Get Started'!$H$43*$C354),0)+iferror(if(O$4&lt;'Get Started'!$G$44,0,offset(O228,0,-1*'Get Started'!$G$44)/$E228*'Get Started'!$H$44*$C354),0)+iferror(if(O$4&lt;'Get Started'!$G$45,0,offset(O228,0,-1*'Get Started'!$G$45)/$E228*'Get Started'!$H$45*$C354),0)+iferror(IF(O$4&lt;'Get Started'!$G$46,0,offset(O228,0,-1*'Get Started'!$G$46)/$E228*'Get Started'!$H$46*$C354),0)</f>
        <v>0</v>
      </c>
      <c r="P354" s="74">
        <f>iferror(if(P$4&lt;'Get Started'!$G$43,0,offset(P228,0,-1*'Get Started'!$G$43)/$E228*'Get Started'!$H$43*$C354),0)+iferror(if(P$4&lt;'Get Started'!$G$44,0,offset(P228,0,-1*'Get Started'!$G$44)/$E228*'Get Started'!$H$44*$C354),0)+iferror(if(P$4&lt;'Get Started'!$G$45,0,offset(P228,0,-1*'Get Started'!$G$45)/$E228*'Get Started'!$H$45*$C354),0)+iferror(IF(P$4&lt;'Get Started'!$G$46,0,offset(P228,0,-1*'Get Started'!$G$46)/$E228*'Get Started'!$H$46*$C354),0)</f>
        <v>0</v>
      </c>
      <c r="Q354" s="74">
        <f>iferror(if(Q$4&lt;'Get Started'!$G$43,0,offset(Q228,0,-1*'Get Started'!$G$43)/$E228*'Get Started'!$H$43*$C354),0)+iferror(if(Q$4&lt;'Get Started'!$G$44,0,offset(Q228,0,-1*'Get Started'!$G$44)/$E228*'Get Started'!$H$44*$C354),0)+iferror(if(Q$4&lt;'Get Started'!$G$45,0,offset(Q228,0,-1*'Get Started'!$G$45)/$E228*'Get Started'!$H$45*$C354),0)+iferror(IF(Q$4&lt;'Get Started'!$G$46,0,offset(Q228,0,-1*'Get Started'!$G$46)/$E228*'Get Started'!$H$46*$C354),0)</f>
        <v>0</v>
      </c>
      <c r="R354" s="74">
        <f>iferror(if(R$4&lt;'Get Started'!$G$43,0,offset(R228,0,-1*'Get Started'!$G$43)/$E228*'Get Started'!$H$43*$C354),0)+iferror(if(R$4&lt;'Get Started'!$G$44,0,offset(R228,0,-1*'Get Started'!$G$44)/$E228*'Get Started'!$H$44*$C354),0)+iferror(if(R$4&lt;'Get Started'!$G$45,0,offset(R228,0,-1*'Get Started'!$G$45)/$E228*'Get Started'!$H$45*$C354),0)+iferror(IF(R$4&lt;'Get Started'!$G$46,0,offset(R228,0,-1*'Get Started'!$G$46)/$E228*'Get Started'!$H$46*$C354),0)</f>
        <v>0</v>
      </c>
      <c r="S354" s="74">
        <f>iferror(if(S$4&lt;'Get Started'!$G$43,0,offset(S228,0,-1*'Get Started'!$G$43)/$E228*'Get Started'!$H$43*$C354),0)+iferror(if(S$4&lt;'Get Started'!$G$44,0,offset(S228,0,-1*'Get Started'!$G$44)/$E228*'Get Started'!$H$44*$C354),0)+iferror(if(S$4&lt;'Get Started'!$G$45,0,offset(S228,0,-1*'Get Started'!$G$45)/$E228*'Get Started'!$H$45*$C354),0)+iferror(IF(S$4&lt;'Get Started'!$G$46,0,offset(S228,0,-1*'Get Started'!$G$46)/$E228*'Get Started'!$H$46*$C354),0)</f>
        <v>0</v>
      </c>
      <c r="T354" s="74">
        <f>iferror(if(T$4&lt;'Get Started'!$G$43,0,offset(T228,0,-1*'Get Started'!$G$43)/$E228*'Get Started'!$H$43*$C354),0)+iferror(if(T$4&lt;'Get Started'!$G$44,0,offset(T228,0,-1*'Get Started'!$G$44)/$E228*'Get Started'!$H$44*$C354),0)+iferror(if(T$4&lt;'Get Started'!$G$45,0,offset(T228,0,-1*'Get Started'!$G$45)/$E228*'Get Started'!$H$45*$C354),0)+iferror(IF(T$4&lt;'Get Started'!$G$46,0,offset(T228,0,-1*'Get Started'!$G$46)/$E228*'Get Started'!$H$46*$C354),0)</f>
        <v>0</v>
      </c>
      <c r="U354" s="74">
        <f>iferror(if(U$4&lt;'Get Started'!$G$43,0,offset(U228,0,-1*'Get Started'!$G$43)/$E228*'Get Started'!$H$43*$C354),0)+iferror(if(U$4&lt;'Get Started'!$G$44,0,offset(U228,0,-1*'Get Started'!$G$44)/$E228*'Get Started'!$H$44*$C354),0)+iferror(if(U$4&lt;'Get Started'!$G$45,0,offset(U228,0,-1*'Get Started'!$G$45)/$E228*'Get Started'!$H$45*$C354),0)+iferror(IF(U$4&lt;'Get Started'!$G$46,0,offset(U228,0,-1*'Get Started'!$G$46)/$E228*'Get Started'!$H$46*$C354),0)</f>
        <v>0</v>
      </c>
      <c r="V354" s="74">
        <f>iferror(if(V$4&lt;'Get Started'!$G$43,0,offset(V228,0,-1*'Get Started'!$G$43)/$E228*'Get Started'!$H$43*$C354),0)+iferror(if(V$4&lt;'Get Started'!$G$44,0,offset(V228,0,-1*'Get Started'!$G$44)/$E228*'Get Started'!$H$44*$C354),0)+iferror(if(V$4&lt;'Get Started'!$G$45,0,offset(V228,0,-1*'Get Started'!$G$45)/$E228*'Get Started'!$H$45*$C354),0)+iferror(IF(V$4&lt;'Get Started'!$G$46,0,offset(V228,0,-1*'Get Started'!$G$46)/$E228*'Get Started'!$H$46*$C354),0)</f>
        <v>0</v>
      </c>
      <c r="W354" s="74">
        <f>iferror(if(W$4&lt;'Get Started'!$G$43,0,offset(W228,0,-1*'Get Started'!$G$43)/$E228*'Get Started'!$H$43*$C354),0)+iferror(if(W$4&lt;'Get Started'!$G$44,0,offset(W228,0,-1*'Get Started'!$G$44)/$E228*'Get Started'!$H$44*$C354),0)+iferror(if(W$4&lt;'Get Started'!$G$45,0,offset(W228,0,-1*'Get Started'!$G$45)/$E228*'Get Started'!$H$45*$C354),0)+iferror(IF(W$4&lt;'Get Started'!$G$46,0,offset(W228,0,-1*'Get Started'!$G$46)/$E228*'Get Started'!$H$46*$C354),0)</f>
        <v>0</v>
      </c>
      <c r="X354" s="74">
        <f>iferror(if(X$4&lt;'Get Started'!$G$43,0,offset(X228,0,-1*'Get Started'!$G$43)/$E228*'Get Started'!$H$43*$C354),0)+iferror(if(X$4&lt;'Get Started'!$G$44,0,offset(X228,0,-1*'Get Started'!$G$44)/$E228*'Get Started'!$H$44*$C354),0)+iferror(if(X$4&lt;'Get Started'!$G$45,0,offset(X228,0,-1*'Get Started'!$G$45)/$E228*'Get Started'!$H$45*$C354),0)+iferror(IF(X$4&lt;'Get Started'!$G$46,0,offset(X228,0,-1*'Get Started'!$G$46)/$E228*'Get Started'!$H$46*$C354),0)</f>
        <v>0</v>
      </c>
      <c r="Y354" s="74">
        <f>iferror(if(Y$4&lt;'Get Started'!$G$43,0,offset(Y228,0,-1*'Get Started'!$G$43)/$E228*'Get Started'!$H$43*$C354),0)+iferror(if(Y$4&lt;'Get Started'!$G$44,0,offset(Y228,0,-1*'Get Started'!$G$44)/$E228*'Get Started'!$H$44*$C354),0)+iferror(if(Y$4&lt;'Get Started'!$G$45,0,offset(Y228,0,-1*'Get Started'!$G$45)/$E228*'Get Started'!$H$45*$C354),0)+iferror(IF(Y$4&lt;'Get Started'!$G$46,0,offset(Y228,0,-1*'Get Started'!$G$46)/$E228*'Get Started'!$H$46*$C354),0)</f>
        <v>0</v>
      </c>
      <c r="Z354" s="74">
        <f>iferror(if(Z$4&lt;'Get Started'!$G$43,0,offset(Z228,0,-1*'Get Started'!$G$43)/$E228*'Get Started'!$H$43*$C354),0)+iferror(if(Z$4&lt;'Get Started'!$G$44,0,offset(Z228,0,-1*'Get Started'!$G$44)/$E228*'Get Started'!$H$44*$C354),0)+iferror(if(Z$4&lt;'Get Started'!$G$45,0,offset(Z228,0,-1*'Get Started'!$G$45)/$E228*'Get Started'!$H$45*$C354),0)+iferror(IF(Z$4&lt;'Get Started'!$G$46,0,offset(Z228,0,-1*'Get Started'!$G$46)/$E228*'Get Started'!$H$46*$C354),0)</f>
        <v>0</v>
      </c>
    </row>
    <row r="355" hidden="1" outlineLevel="1">
      <c r="B355" s="93">
        <f t="shared" si="187"/>
        <v>8</v>
      </c>
      <c r="C355" s="77">
        <f>E250*'Get Started'!F$47</f>
        <v>0</v>
      </c>
      <c r="D355" s="16" t="s">
        <v>161</v>
      </c>
      <c r="E355" s="74">
        <f t="shared" si="108"/>
        <v>0</v>
      </c>
      <c r="F355" s="74"/>
      <c r="G355" s="74">
        <f>iferror(if(G$4&lt;'Get Started'!$G$43,0,offset(G229,0,-1*'Get Started'!$G$43)/$E229*'Get Started'!$H$43*$C355),0)+iferror(if(G$4&lt;'Get Started'!$G$44,0,offset(G229,0,-1*'Get Started'!$G$44)/$E229*'Get Started'!$H$44*$C355),0)+iferror(if(G$4&lt;'Get Started'!$G$45,0,offset(G229,0,-1*'Get Started'!$G$45)/$E229*'Get Started'!$H$45*$C355),0)+iferror(IF(G$4&lt;'Get Started'!$G$46,0,offset(G229,0,-1*'Get Started'!$G$46)/$E229*'Get Started'!$H$46*$C355),0)</f>
        <v>0</v>
      </c>
      <c r="H355" s="74">
        <f>iferror(if(H$4&lt;'Get Started'!$G$43,0,offset(H229,0,-1*'Get Started'!$G$43)/$E229*'Get Started'!$H$43*$C355),0)+iferror(if(H$4&lt;'Get Started'!$G$44,0,offset(H229,0,-1*'Get Started'!$G$44)/$E229*'Get Started'!$H$44*$C355),0)+iferror(if(H$4&lt;'Get Started'!$G$45,0,offset(H229,0,-1*'Get Started'!$G$45)/$E229*'Get Started'!$H$45*$C355),0)+iferror(IF(H$4&lt;'Get Started'!$G$46,0,offset(H229,0,-1*'Get Started'!$G$46)/$E229*'Get Started'!$H$46*$C355),0)</f>
        <v>0</v>
      </c>
      <c r="I355" s="74">
        <f>iferror(if(I$4&lt;'Get Started'!$G$43,0,offset(I229,0,-1*'Get Started'!$G$43)/$E229*'Get Started'!$H$43*$C355),0)+iferror(if(I$4&lt;'Get Started'!$G$44,0,offset(I229,0,-1*'Get Started'!$G$44)/$E229*'Get Started'!$H$44*$C355),0)+iferror(if(I$4&lt;'Get Started'!$G$45,0,offset(I229,0,-1*'Get Started'!$G$45)/$E229*'Get Started'!$H$45*$C355),0)+iferror(IF(I$4&lt;'Get Started'!$G$46,0,offset(I229,0,-1*'Get Started'!$G$46)/$E229*'Get Started'!$H$46*$C355),0)</f>
        <v>0</v>
      </c>
      <c r="J355" s="74">
        <f>iferror(if(J$4&lt;'Get Started'!$G$43,0,offset(J229,0,-1*'Get Started'!$G$43)/$E229*'Get Started'!$H$43*$C355),0)+iferror(if(J$4&lt;'Get Started'!$G$44,0,offset(J229,0,-1*'Get Started'!$G$44)/$E229*'Get Started'!$H$44*$C355),0)+iferror(if(J$4&lt;'Get Started'!$G$45,0,offset(J229,0,-1*'Get Started'!$G$45)/$E229*'Get Started'!$H$45*$C355),0)+iferror(IF(J$4&lt;'Get Started'!$G$46,0,offset(J229,0,-1*'Get Started'!$G$46)/$E229*'Get Started'!$H$46*$C355),0)</f>
        <v>0</v>
      </c>
      <c r="K355" s="74">
        <f>iferror(if(K$4&lt;'Get Started'!$G$43,0,offset(K229,0,-1*'Get Started'!$G$43)/$E229*'Get Started'!$H$43*$C355),0)+iferror(if(K$4&lt;'Get Started'!$G$44,0,offset(K229,0,-1*'Get Started'!$G$44)/$E229*'Get Started'!$H$44*$C355),0)+iferror(if(K$4&lt;'Get Started'!$G$45,0,offset(K229,0,-1*'Get Started'!$G$45)/$E229*'Get Started'!$H$45*$C355),0)+iferror(IF(K$4&lt;'Get Started'!$G$46,0,offset(K229,0,-1*'Get Started'!$G$46)/$E229*'Get Started'!$H$46*$C355),0)</f>
        <v>0</v>
      </c>
      <c r="L355" s="74">
        <f>iferror(if(L$4&lt;'Get Started'!$G$43,0,offset(L229,0,-1*'Get Started'!$G$43)/$E229*'Get Started'!$H$43*$C355),0)+iferror(if(L$4&lt;'Get Started'!$G$44,0,offset(L229,0,-1*'Get Started'!$G$44)/$E229*'Get Started'!$H$44*$C355),0)+iferror(if(L$4&lt;'Get Started'!$G$45,0,offset(L229,0,-1*'Get Started'!$G$45)/$E229*'Get Started'!$H$45*$C355),0)+iferror(IF(L$4&lt;'Get Started'!$G$46,0,offset(L229,0,-1*'Get Started'!$G$46)/$E229*'Get Started'!$H$46*$C355),0)</f>
        <v>0</v>
      </c>
      <c r="M355" s="74">
        <f>iferror(if(M$4&lt;'Get Started'!$G$43,0,offset(M229,0,-1*'Get Started'!$G$43)/$E229*'Get Started'!$H$43*$C355),0)+iferror(if(M$4&lt;'Get Started'!$G$44,0,offset(M229,0,-1*'Get Started'!$G$44)/$E229*'Get Started'!$H$44*$C355),0)+iferror(if(M$4&lt;'Get Started'!$G$45,0,offset(M229,0,-1*'Get Started'!$G$45)/$E229*'Get Started'!$H$45*$C355),0)+iferror(IF(M$4&lt;'Get Started'!$G$46,0,offset(M229,0,-1*'Get Started'!$G$46)/$E229*'Get Started'!$H$46*$C355),0)</f>
        <v>0</v>
      </c>
      <c r="N355" s="74">
        <f>iferror(if(N$4&lt;'Get Started'!$G$43,0,offset(N229,0,-1*'Get Started'!$G$43)/$E229*'Get Started'!$H$43*$C355),0)+iferror(if(N$4&lt;'Get Started'!$G$44,0,offset(N229,0,-1*'Get Started'!$G$44)/$E229*'Get Started'!$H$44*$C355),0)+iferror(if(N$4&lt;'Get Started'!$G$45,0,offset(N229,0,-1*'Get Started'!$G$45)/$E229*'Get Started'!$H$45*$C355),0)+iferror(IF(N$4&lt;'Get Started'!$G$46,0,offset(N229,0,-1*'Get Started'!$G$46)/$E229*'Get Started'!$H$46*$C355),0)</f>
        <v>0</v>
      </c>
      <c r="O355" s="74">
        <f>iferror(if(O$4&lt;'Get Started'!$G$43,0,offset(O229,0,-1*'Get Started'!$G$43)/$E229*'Get Started'!$H$43*$C355),0)+iferror(if(O$4&lt;'Get Started'!$G$44,0,offset(O229,0,-1*'Get Started'!$G$44)/$E229*'Get Started'!$H$44*$C355),0)+iferror(if(O$4&lt;'Get Started'!$G$45,0,offset(O229,0,-1*'Get Started'!$G$45)/$E229*'Get Started'!$H$45*$C355),0)+iferror(IF(O$4&lt;'Get Started'!$G$46,0,offset(O229,0,-1*'Get Started'!$G$46)/$E229*'Get Started'!$H$46*$C355),0)</f>
        <v>0</v>
      </c>
      <c r="P355" s="74">
        <f>iferror(if(P$4&lt;'Get Started'!$G$43,0,offset(P229,0,-1*'Get Started'!$G$43)/$E229*'Get Started'!$H$43*$C355),0)+iferror(if(P$4&lt;'Get Started'!$G$44,0,offset(P229,0,-1*'Get Started'!$G$44)/$E229*'Get Started'!$H$44*$C355),0)+iferror(if(P$4&lt;'Get Started'!$G$45,0,offset(P229,0,-1*'Get Started'!$G$45)/$E229*'Get Started'!$H$45*$C355),0)+iferror(IF(P$4&lt;'Get Started'!$G$46,0,offset(P229,0,-1*'Get Started'!$G$46)/$E229*'Get Started'!$H$46*$C355),0)</f>
        <v>0</v>
      </c>
      <c r="Q355" s="74">
        <f>iferror(if(Q$4&lt;'Get Started'!$G$43,0,offset(Q229,0,-1*'Get Started'!$G$43)/$E229*'Get Started'!$H$43*$C355),0)+iferror(if(Q$4&lt;'Get Started'!$G$44,0,offset(Q229,0,-1*'Get Started'!$G$44)/$E229*'Get Started'!$H$44*$C355),0)+iferror(if(Q$4&lt;'Get Started'!$G$45,0,offset(Q229,0,-1*'Get Started'!$G$45)/$E229*'Get Started'!$H$45*$C355),0)+iferror(IF(Q$4&lt;'Get Started'!$G$46,0,offset(Q229,0,-1*'Get Started'!$G$46)/$E229*'Get Started'!$H$46*$C355),0)</f>
        <v>0</v>
      </c>
      <c r="R355" s="74">
        <f>iferror(if(R$4&lt;'Get Started'!$G$43,0,offset(R229,0,-1*'Get Started'!$G$43)/$E229*'Get Started'!$H$43*$C355),0)+iferror(if(R$4&lt;'Get Started'!$G$44,0,offset(R229,0,-1*'Get Started'!$G$44)/$E229*'Get Started'!$H$44*$C355),0)+iferror(if(R$4&lt;'Get Started'!$G$45,0,offset(R229,0,-1*'Get Started'!$G$45)/$E229*'Get Started'!$H$45*$C355),0)+iferror(IF(R$4&lt;'Get Started'!$G$46,0,offset(R229,0,-1*'Get Started'!$G$46)/$E229*'Get Started'!$H$46*$C355),0)</f>
        <v>0</v>
      </c>
      <c r="S355" s="74">
        <f>iferror(if(S$4&lt;'Get Started'!$G$43,0,offset(S229,0,-1*'Get Started'!$G$43)/$E229*'Get Started'!$H$43*$C355),0)+iferror(if(S$4&lt;'Get Started'!$G$44,0,offset(S229,0,-1*'Get Started'!$G$44)/$E229*'Get Started'!$H$44*$C355),0)+iferror(if(S$4&lt;'Get Started'!$G$45,0,offset(S229,0,-1*'Get Started'!$G$45)/$E229*'Get Started'!$H$45*$C355),0)+iferror(IF(S$4&lt;'Get Started'!$G$46,0,offset(S229,0,-1*'Get Started'!$G$46)/$E229*'Get Started'!$H$46*$C355),0)</f>
        <v>0</v>
      </c>
      <c r="T355" s="74">
        <f>iferror(if(T$4&lt;'Get Started'!$G$43,0,offset(T229,0,-1*'Get Started'!$G$43)/$E229*'Get Started'!$H$43*$C355),0)+iferror(if(T$4&lt;'Get Started'!$G$44,0,offset(T229,0,-1*'Get Started'!$G$44)/$E229*'Get Started'!$H$44*$C355),0)+iferror(if(T$4&lt;'Get Started'!$G$45,0,offset(T229,0,-1*'Get Started'!$G$45)/$E229*'Get Started'!$H$45*$C355),0)+iferror(IF(T$4&lt;'Get Started'!$G$46,0,offset(T229,0,-1*'Get Started'!$G$46)/$E229*'Get Started'!$H$46*$C355),0)</f>
        <v>0</v>
      </c>
      <c r="U355" s="74">
        <f>iferror(if(U$4&lt;'Get Started'!$G$43,0,offset(U229,0,-1*'Get Started'!$G$43)/$E229*'Get Started'!$H$43*$C355),0)+iferror(if(U$4&lt;'Get Started'!$G$44,0,offset(U229,0,-1*'Get Started'!$G$44)/$E229*'Get Started'!$H$44*$C355),0)+iferror(if(U$4&lt;'Get Started'!$G$45,0,offset(U229,0,-1*'Get Started'!$G$45)/$E229*'Get Started'!$H$45*$C355),0)+iferror(IF(U$4&lt;'Get Started'!$G$46,0,offset(U229,0,-1*'Get Started'!$G$46)/$E229*'Get Started'!$H$46*$C355),0)</f>
        <v>0</v>
      </c>
      <c r="V355" s="74">
        <f>iferror(if(V$4&lt;'Get Started'!$G$43,0,offset(V229,0,-1*'Get Started'!$G$43)/$E229*'Get Started'!$H$43*$C355),0)+iferror(if(V$4&lt;'Get Started'!$G$44,0,offset(V229,0,-1*'Get Started'!$G$44)/$E229*'Get Started'!$H$44*$C355),0)+iferror(if(V$4&lt;'Get Started'!$G$45,0,offset(V229,0,-1*'Get Started'!$G$45)/$E229*'Get Started'!$H$45*$C355),0)+iferror(IF(V$4&lt;'Get Started'!$G$46,0,offset(V229,0,-1*'Get Started'!$G$46)/$E229*'Get Started'!$H$46*$C355),0)</f>
        <v>0</v>
      </c>
      <c r="W355" s="74">
        <f>iferror(if(W$4&lt;'Get Started'!$G$43,0,offset(W229,0,-1*'Get Started'!$G$43)/$E229*'Get Started'!$H$43*$C355),0)+iferror(if(W$4&lt;'Get Started'!$G$44,0,offset(W229,0,-1*'Get Started'!$G$44)/$E229*'Get Started'!$H$44*$C355),0)+iferror(if(W$4&lt;'Get Started'!$G$45,0,offset(W229,0,-1*'Get Started'!$G$45)/$E229*'Get Started'!$H$45*$C355),0)+iferror(IF(W$4&lt;'Get Started'!$G$46,0,offset(W229,0,-1*'Get Started'!$G$46)/$E229*'Get Started'!$H$46*$C355),0)</f>
        <v>0</v>
      </c>
      <c r="X355" s="74">
        <f>iferror(if(X$4&lt;'Get Started'!$G$43,0,offset(X229,0,-1*'Get Started'!$G$43)/$E229*'Get Started'!$H$43*$C355),0)+iferror(if(X$4&lt;'Get Started'!$G$44,0,offset(X229,0,-1*'Get Started'!$G$44)/$E229*'Get Started'!$H$44*$C355),0)+iferror(if(X$4&lt;'Get Started'!$G$45,0,offset(X229,0,-1*'Get Started'!$G$45)/$E229*'Get Started'!$H$45*$C355),0)+iferror(IF(X$4&lt;'Get Started'!$G$46,0,offset(X229,0,-1*'Get Started'!$G$46)/$E229*'Get Started'!$H$46*$C355),0)</f>
        <v>0</v>
      </c>
      <c r="Y355" s="74">
        <f>iferror(if(Y$4&lt;'Get Started'!$G$43,0,offset(Y229,0,-1*'Get Started'!$G$43)/$E229*'Get Started'!$H$43*$C355),0)+iferror(if(Y$4&lt;'Get Started'!$G$44,0,offset(Y229,0,-1*'Get Started'!$G$44)/$E229*'Get Started'!$H$44*$C355),0)+iferror(if(Y$4&lt;'Get Started'!$G$45,0,offset(Y229,0,-1*'Get Started'!$G$45)/$E229*'Get Started'!$H$45*$C355),0)+iferror(IF(Y$4&lt;'Get Started'!$G$46,0,offset(Y229,0,-1*'Get Started'!$G$46)/$E229*'Get Started'!$H$46*$C355),0)</f>
        <v>0</v>
      </c>
      <c r="Z355" s="74">
        <f>iferror(if(Z$4&lt;'Get Started'!$G$43,0,offset(Z229,0,-1*'Get Started'!$G$43)/$E229*'Get Started'!$H$43*$C355),0)+iferror(if(Z$4&lt;'Get Started'!$G$44,0,offset(Z229,0,-1*'Get Started'!$G$44)/$E229*'Get Started'!$H$44*$C355),0)+iferror(if(Z$4&lt;'Get Started'!$G$45,0,offset(Z229,0,-1*'Get Started'!$G$45)/$E229*'Get Started'!$H$45*$C355),0)+iferror(IF(Z$4&lt;'Get Started'!$G$46,0,offset(Z229,0,-1*'Get Started'!$G$46)/$E229*'Get Started'!$H$46*$C355),0)</f>
        <v>0</v>
      </c>
    </row>
    <row r="356" hidden="1" outlineLevel="1">
      <c r="B356" s="93">
        <f t="shared" si="187"/>
        <v>9</v>
      </c>
      <c r="C356" s="77">
        <f>E251*'Get Started'!F$47</f>
        <v>0</v>
      </c>
      <c r="D356" s="16" t="s">
        <v>161</v>
      </c>
      <c r="E356" s="74">
        <f t="shared" si="108"/>
        <v>0</v>
      </c>
      <c r="F356" s="74"/>
      <c r="G356" s="74">
        <f>iferror(if(G$4&lt;'Get Started'!$G$43,0,offset(G230,0,-1*'Get Started'!$G$43)/$E230*'Get Started'!$H$43*$C356),0)+iferror(if(G$4&lt;'Get Started'!$G$44,0,offset(G230,0,-1*'Get Started'!$G$44)/$E230*'Get Started'!$H$44*$C356),0)+iferror(if(G$4&lt;'Get Started'!$G$45,0,offset(G230,0,-1*'Get Started'!$G$45)/$E230*'Get Started'!$H$45*$C356),0)+iferror(IF(G$4&lt;'Get Started'!$G$46,0,offset(G230,0,-1*'Get Started'!$G$46)/$E230*'Get Started'!$H$46*$C356),0)</f>
        <v>0</v>
      </c>
      <c r="H356" s="74">
        <f>iferror(if(H$4&lt;'Get Started'!$G$43,0,offset(H230,0,-1*'Get Started'!$G$43)/$E230*'Get Started'!$H$43*$C356),0)+iferror(if(H$4&lt;'Get Started'!$G$44,0,offset(H230,0,-1*'Get Started'!$G$44)/$E230*'Get Started'!$H$44*$C356),0)+iferror(if(H$4&lt;'Get Started'!$G$45,0,offset(H230,0,-1*'Get Started'!$G$45)/$E230*'Get Started'!$H$45*$C356),0)+iferror(IF(H$4&lt;'Get Started'!$G$46,0,offset(H230,0,-1*'Get Started'!$G$46)/$E230*'Get Started'!$H$46*$C356),0)</f>
        <v>0</v>
      </c>
      <c r="I356" s="74">
        <f>iferror(if(I$4&lt;'Get Started'!$G$43,0,offset(I230,0,-1*'Get Started'!$G$43)/$E230*'Get Started'!$H$43*$C356),0)+iferror(if(I$4&lt;'Get Started'!$G$44,0,offset(I230,0,-1*'Get Started'!$G$44)/$E230*'Get Started'!$H$44*$C356),0)+iferror(if(I$4&lt;'Get Started'!$G$45,0,offset(I230,0,-1*'Get Started'!$G$45)/$E230*'Get Started'!$H$45*$C356),0)+iferror(IF(I$4&lt;'Get Started'!$G$46,0,offset(I230,0,-1*'Get Started'!$G$46)/$E230*'Get Started'!$H$46*$C356),0)</f>
        <v>0</v>
      </c>
      <c r="J356" s="74">
        <f>iferror(if(J$4&lt;'Get Started'!$G$43,0,offset(J230,0,-1*'Get Started'!$G$43)/$E230*'Get Started'!$H$43*$C356),0)+iferror(if(J$4&lt;'Get Started'!$G$44,0,offset(J230,0,-1*'Get Started'!$G$44)/$E230*'Get Started'!$H$44*$C356),0)+iferror(if(J$4&lt;'Get Started'!$G$45,0,offset(J230,0,-1*'Get Started'!$G$45)/$E230*'Get Started'!$H$45*$C356),0)+iferror(IF(J$4&lt;'Get Started'!$G$46,0,offset(J230,0,-1*'Get Started'!$G$46)/$E230*'Get Started'!$H$46*$C356),0)</f>
        <v>0</v>
      </c>
      <c r="K356" s="74">
        <f>iferror(if(K$4&lt;'Get Started'!$G$43,0,offset(K230,0,-1*'Get Started'!$G$43)/$E230*'Get Started'!$H$43*$C356),0)+iferror(if(K$4&lt;'Get Started'!$G$44,0,offset(K230,0,-1*'Get Started'!$G$44)/$E230*'Get Started'!$H$44*$C356),0)+iferror(if(K$4&lt;'Get Started'!$G$45,0,offset(K230,0,-1*'Get Started'!$G$45)/$E230*'Get Started'!$H$45*$C356),0)+iferror(IF(K$4&lt;'Get Started'!$G$46,0,offset(K230,0,-1*'Get Started'!$G$46)/$E230*'Get Started'!$H$46*$C356),0)</f>
        <v>0</v>
      </c>
      <c r="L356" s="74">
        <f>iferror(if(L$4&lt;'Get Started'!$G$43,0,offset(L230,0,-1*'Get Started'!$G$43)/$E230*'Get Started'!$H$43*$C356),0)+iferror(if(L$4&lt;'Get Started'!$G$44,0,offset(L230,0,-1*'Get Started'!$G$44)/$E230*'Get Started'!$H$44*$C356),0)+iferror(if(L$4&lt;'Get Started'!$G$45,0,offset(L230,0,-1*'Get Started'!$G$45)/$E230*'Get Started'!$H$45*$C356),0)+iferror(IF(L$4&lt;'Get Started'!$G$46,0,offset(L230,0,-1*'Get Started'!$G$46)/$E230*'Get Started'!$H$46*$C356),0)</f>
        <v>0</v>
      </c>
      <c r="M356" s="74">
        <f>iferror(if(M$4&lt;'Get Started'!$G$43,0,offset(M230,0,-1*'Get Started'!$G$43)/$E230*'Get Started'!$H$43*$C356),0)+iferror(if(M$4&lt;'Get Started'!$G$44,0,offset(M230,0,-1*'Get Started'!$G$44)/$E230*'Get Started'!$H$44*$C356),0)+iferror(if(M$4&lt;'Get Started'!$G$45,0,offset(M230,0,-1*'Get Started'!$G$45)/$E230*'Get Started'!$H$45*$C356),0)+iferror(IF(M$4&lt;'Get Started'!$G$46,0,offset(M230,0,-1*'Get Started'!$G$46)/$E230*'Get Started'!$H$46*$C356),0)</f>
        <v>0</v>
      </c>
      <c r="N356" s="74">
        <f>iferror(if(N$4&lt;'Get Started'!$G$43,0,offset(N230,0,-1*'Get Started'!$G$43)/$E230*'Get Started'!$H$43*$C356),0)+iferror(if(N$4&lt;'Get Started'!$G$44,0,offset(N230,0,-1*'Get Started'!$G$44)/$E230*'Get Started'!$H$44*$C356),0)+iferror(if(N$4&lt;'Get Started'!$G$45,0,offset(N230,0,-1*'Get Started'!$G$45)/$E230*'Get Started'!$H$45*$C356),0)+iferror(IF(N$4&lt;'Get Started'!$G$46,0,offset(N230,0,-1*'Get Started'!$G$46)/$E230*'Get Started'!$H$46*$C356),0)</f>
        <v>0</v>
      </c>
      <c r="O356" s="74">
        <f>iferror(if(O$4&lt;'Get Started'!$G$43,0,offset(O230,0,-1*'Get Started'!$G$43)/$E230*'Get Started'!$H$43*$C356),0)+iferror(if(O$4&lt;'Get Started'!$G$44,0,offset(O230,0,-1*'Get Started'!$G$44)/$E230*'Get Started'!$H$44*$C356),0)+iferror(if(O$4&lt;'Get Started'!$G$45,0,offset(O230,0,-1*'Get Started'!$G$45)/$E230*'Get Started'!$H$45*$C356),0)+iferror(IF(O$4&lt;'Get Started'!$G$46,0,offset(O230,0,-1*'Get Started'!$G$46)/$E230*'Get Started'!$H$46*$C356),0)</f>
        <v>0</v>
      </c>
      <c r="P356" s="74">
        <f>iferror(if(P$4&lt;'Get Started'!$G$43,0,offset(P230,0,-1*'Get Started'!$G$43)/$E230*'Get Started'!$H$43*$C356),0)+iferror(if(P$4&lt;'Get Started'!$G$44,0,offset(P230,0,-1*'Get Started'!$G$44)/$E230*'Get Started'!$H$44*$C356),0)+iferror(if(P$4&lt;'Get Started'!$G$45,0,offset(P230,0,-1*'Get Started'!$G$45)/$E230*'Get Started'!$H$45*$C356),0)+iferror(IF(P$4&lt;'Get Started'!$G$46,0,offset(P230,0,-1*'Get Started'!$G$46)/$E230*'Get Started'!$H$46*$C356),0)</f>
        <v>0</v>
      </c>
      <c r="Q356" s="74">
        <f>iferror(if(Q$4&lt;'Get Started'!$G$43,0,offset(Q230,0,-1*'Get Started'!$G$43)/$E230*'Get Started'!$H$43*$C356),0)+iferror(if(Q$4&lt;'Get Started'!$G$44,0,offset(Q230,0,-1*'Get Started'!$G$44)/$E230*'Get Started'!$H$44*$C356),0)+iferror(if(Q$4&lt;'Get Started'!$G$45,0,offset(Q230,0,-1*'Get Started'!$G$45)/$E230*'Get Started'!$H$45*$C356),0)+iferror(IF(Q$4&lt;'Get Started'!$G$46,0,offset(Q230,0,-1*'Get Started'!$G$46)/$E230*'Get Started'!$H$46*$C356),0)</f>
        <v>0</v>
      </c>
      <c r="R356" s="74">
        <f>iferror(if(R$4&lt;'Get Started'!$G$43,0,offset(R230,0,-1*'Get Started'!$G$43)/$E230*'Get Started'!$H$43*$C356),0)+iferror(if(R$4&lt;'Get Started'!$G$44,0,offset(R230,0,-1*'Get Started'!$G$44)/$E230*'Get Started'!$H$44*$C356),0)+iferror(if(R$4&lt;'Get Started'!$G$45,0,offset(R230,0,-1*'Get Started'!$G$45)/$E230*'Get Started'!$H$45*$C356),0)+iferror(IF(R$4&lt;'Get Started'!$G$46,0,offset(R230,0,-1*'Get Started'!$G$46)/$E230*'Get Started'!$H$46*$C356),0)</f>
        <v>0</v>
      </c>
      <c r="S356" s="74">
        <f>iferror(if(S$4&lt;'Get Started'!$G$43,0,offset(S230,0,-1*'Get Started'!$G$43)/$E230*'Get Started'!$H$43*$C356),0)+iferror(if(S$4&lt;'Get Started'!$G$44,0,offset(S230,0,-1*'Get Started'!$G$44)/$E230*'Get Started'!$H$44*$C356),0)+iferror(if(S$4&lt;'Get Started'!$G$45,0,offset(S230,0,-1*'Get Started'!$G$45)/$E230*'Get Started'!$H$45*$C356),0)+iferror(IF(S$4&lt;'Get Started'!$G$46,0,offset(S230,0,-1*'Get Started'!$G$46)/$E230*'Get Started'!$H$46*$C356),0)</f>
        <v>0</v>
      </c>
      <c r="T356" s="74">
        <f>iferror(if(T$4&lt;'Get Started'!$G$43,0,offset(T230,0,-1*'Get Started'!$G$43)/$E230*'Get Started'!$H$43*$C356),0)+iferror(if(T$4&lt;'Get Started'!$G$44,0,offset(T230,0,-1*'Get Started'!$G$44)/$E230*'Get Started'!$H$44*$C356),0)+iferror(if(T$4&lt;'Get Started'!$G$45,0,offset(T230,0,-1*'Get Started'!$G$45)/$E230*'Get Started'!$H$45*$C356),0)+iferror(IF(T$4&lt;'Get Started'!$G$46,0,offset(T230,0,-1*'Get Started'!$G$46)/$E230*'Get Started'!$H$46*$C356),0)</f>
        <v>0</v>
      </c>
      <c r="U356" s="74">
        <f>iferror(if(U$4&lt;'Get Started'!$G$43,0,offset(U230,0,-1*'Get Started'!$G$43)/$E230*'Get Started'!$H$43*$C356),0)+iferror(if(U$4&lt;'Get Started'!$G$44,0,offset(U230,0,-1*'Get Started'!$G$44)/$E230*'Get Started'!$H$44*$C356),0)+iferror(if(U$4&lt;'Get Started'!$G$45,0,offset(U230,0,-1*'Get Started'!$G$45)/$E230*'Get Started'!$H$45*$C356),0)+iferror(IF(U$4&lt;'Get Started'!$G$46,0,offset(U230,0,-1*'Get Started'!$G$46)/$E230*'Get Started'!$H$46*$C356),0)</f>
        <v>0</v>
      </c>
      <c r="V356" s="74">
        <f>iferror(if(V$4&lt;'Get Started'!$G$43,0,offset(V230,0,-1*'Get Started'!$G$43)/$E230*'Get Started'!$H$43*$C356),0)+iferror(if(V$4&lt;'Get Started'!$G$44,0,offset(V230,0,-1*'Get Started'!$G$44)/$E230*'Get Started'!$H$44*$C356),0)+iferror(if(V$4&lt;'Get Started'!$G$45,0,offset(V230,0,-1*'Get Started'!$G$45)/$E230*'Get Started'!$H$45*$C356),0)+iferror(IF(V$4&lt;'Get Started'!$G$46,0,offset(V230,0,-1*'Get Started'!$G$46)/$E230*'Get Started'!$H$46*$C356),0)</f>
        <v>0</v>
      </c>
      <c r="W356" s="74">
        <f>iferror(if(W$4&lt;'Get Started'!$G$43,0,offset(W230,0,-1*'Get Started'!$G$43)/$E230*'Get Started'!$H$43*$C356),0)+iferror(if(W$4&lt;'Get Started'!$G$44,0,offset(W230,0,-1*'Get Started'!$G$44)/$E230*'Get Started'!$H$44*$C356),0)+iferror(if(W$4&lt;'Get Started'!$G$45,0,offset(W230,0,-1*'Get Started'!$G$45)/$E230*'Get Started'!$H$45*$C356),0)+iferror(IF(W$4&lt;'Get Started'!$G$46,0,offset(W230,0,-1*'Get Started'!$G$46)/$E230*'Get Started'!$H$46*$C356),0)</f>
        <v>0</v>
      </c>
      <c r="X356" s="74">
        <f>iferror(if(X$4&lt;'Get Started'!$G$43,0,offset(X230,0,-1*'Get Started'!$G$43)/$E230*'Get Started'!$H$43*$C356),0)+iferror(if(X$4&lt;'Get Started'!$G$44,0,offset(X230,0,-1*'Get Started'!$G$44)/$E230*'Get Started'!$H$44*$C356),0)+iferror(if(X$4&lt;'Get Started'!$G$45,0,offset(X230,0,-1*'Get Started'!$G$45)/$E230*'Get Started'!$H$45*$C356),0)+iferror(IF(X$4&lt;'Get Started'!$G$46,0,offset(X230,0,-1*'Get Started'!$G$46)/$E230*'Get Started'!$H$46*$C356),0)</f>
        <v>0</v>
      </c>
      <c r="Y356" s="74">
        <f>iferror(if(Y$4&lt;'Get Started'!$G$43,0,offset(Y230,0,-1*'Get Started'!$G$43)/$E230*'Get Started'!$H$43*$C356),0)+iferror(if(Y$4&lt;'Get Started'!$G$44,0,offset(Y230,0,-1*'Get Started'!$G$44)/$E230*'Get Started'!$H$44*$C356),0)+iferror(if(Y$4&lt;'Get Started'!$G$45,0,offset(Y230,0,-1*'Get Started'!$G$45)/$E230*'Get Started'!$H$45*$C356),0)+iferror(IF(Y$4&lt;'Get Started'!$G$46,0,offset(Y230,0,-1*'Get Started'!$G$46)/$E230*'Get Started'!$H$46*$C356),0)</f>
        <v>0</v>
      </c>
      <c r="Z356" s="74">
        <f>iferror(if(Z$4&lt;'Get Started'!$G$43,0,offset(Z230,0,-1*'Get Started'!$G$43)/$E230*'Get Started'!$H$43*$C356),0)+iferror(if(Z$4&lt;'Get Started'!$G$44,0,offset(Z230,0,-1*'Get Started'!$G$44)/$E230*'Get Started'!$H$44*$C356),0)+iferror(if(Z$4&lt;'Get Started'!$G$45,0,offset(Z230,0,-1*'Get Started'!$G$45)/$E230*'Get Started'!$H$45*$C356),0)+iferror(IF(Z$4&lt;'Get Started'!$G$46,0,offset(Z230,0,-1*'Get Started'!$G$46)/$E230*'Get Started'!$H$46*$C356),0)</f>
        <v>0</v>
      </c>
    </row>
    <row r="357" hidden="1" outlineLevel="1">
      <c r="B357" s="93">
        <f t="shared" si="187"/>
        <v>10</v>
      </c>
      <c r="C357" s="77">
        <f>E252*'Get Started'!F$47</f>
        <v>0</v>
      </c>
      <c r="D357" s="16" t="s">
        <v>161</v>
      </c>
      <c r="E357" s="74">
        <f t="shared" si="108"/>
        <v>0</v>
      </c>
      <c r="F357" s="74"/>
      <c r="G357" s="74">
        <f>iferror(if(G$4&lt;'Get Started'!$G$43,0,offset(G231,0,-1*'Get Started'!$G$43)/$E231*'Get Started'!$H$43*$C357),0)+iferror(if(G$4&lt;'Get Started'!$G$44,0,offset(G231,0,-1*'Get Started'!$G$44)/$E231*'Get Started'!$H$44*$C357),0)+iferror(if(G$4&lt;'Get Started'!$G$45,0,offset(G231,0,-1*'Get Started'!$G$45)/$E231*'Get Started'!$H$45*$C357),0)+iferror(IF(G$4&lt;'Get Started'!$G$46,0,offset(G231,0,-1*'Get Started'!$G$46)/$E231*'Get Started'!$H$46*$C357),0)</f>
        <v>0</v>
      </c>
      <c r="H357" s="74">
        <f>iferror(if(H$4&lt;'Get Started'!$G$43,0,offset(H231,0,-1*'Get Started'!$G$43)/$E231*'Get Started'!$H$43*$C357),0)+iferror(if(H$4&lt;'Get Started'!$G$44,0,offset(H231,0,-1*'Get Started'!$G$44)/$E231*'Get Started'!$H$44*$C357),0)+iferror(if(H$4&lt;'Get Started'!$G$45,0,offset(H231,0,-1*'Get Started'!$G$45)/$E231*'Get Started'!$H$45*$C357),0)+iferror(IF(H$4&lt;'Get Started'!$G$46,0,offset(H231,0,-1*'Get Started'!$G$46)/$E231*'Get Started'!$H$46*$C357),0)</f>
        <v>0</v>
      </c>
      <c r="I357" s="74">
        <f>iferror(if(I$4&lt;'Get Started'!$G$43,0,offset(I231,0,-1*'Get Started'!$G$43)/$E231*'Get Started'!$H$43*$C357),0)+iferror(if(I$4&lt;'Get Started'!$G$44,0,offset(I231,0,-1*'Get Started'!$G$44)/$E231*'Get Started'!$H$44*$C357),0)+iferror(if(I$4&lt;'Get Started'!$G$45,0,offset(I231,0,-1*'Get Started'!$G$45)/$E231*'Get Started'!$H$45*$C357),0)+iferror(IF(I$4&lt;'Get Started'!$G$46,0,offset(I231,0,-1*'Get Started'!$G$46)/$E231*'Get Started'!$H$46*$C357),0)</f>
        <v>0</v>
      </c>
      <c r="J357" s="74">
        <f>iferror(if(J$4&lt;'Get Started'!$G$43,0,offset(J231,0,-1*'Get Started'!$G$43)/$E231*'Get Started'!$H$43*$C357),0)+iferror(if(J$4&lt;'Get Started'!$G$44,0,offset(J231,0,-1*'Get Started'!$G$44)/$E231*'Get Started'!$H$44*$C357),0)+iferror(if(J$4&lt;'Get Started'!$G$45,0,offset(J231,0,-1*'Get Started'!$G$45)/$E231*'Get Started'!$H$45*$C357),0)+iferror(IF(J$4&lt;'Get Started'!$G$46,0,offset(J231,0,-1*'Get Started'!$G$46)/$E231*'Get Started'!$H$46*$C357),0)</f>
        <v>0</v>
      </c>
      <c r="K357" s="74">
        <f>iferror(if(K$4&lt;'Get Started'!$G$43,0,offset(K231,0,-1*'Get Started'!$G$43)/$E231*'Get Started'!$H$43*$C357),0)+iferror(if(K$4&lt;'Get Started'!$G$44,0,offset(K231,0,-1*'Get Started'!$G$44)/$E231*'Get Started'!$H$44*$C357),0)+iferror(if(K$4&lt;'Get Started'!$G$45,0,offset(K231,0,-1*'Get Started'!$G$45)/$E231*'Get Started'!$H$45*$C357),0)+iferror(IF(K$4&lt;'Get Started'!$G$46,0,offset(K231,0,-1*'Get Started'!$G$46)/$E231*'Get Started'!$H$46*$C357),0)</f>
        <v>0</v>
      </c>
      <c r="L357" s="74">
        <f>iferror(if(L$4&lt;'Get Started'!$G$43,0,offset(L231,0,-1*'Get Started'!$G$43)/$E231*'Get Started'!$H$43*$C357),0)+iferror(if(L$4&lt;'Get Started'!$G$44,0,offset(L231,0,-1*'Get Started'!$G$44)/$E231*'Get Started'!$H$44*$C357),0)+iferror(if(L$4&lt;'Get Started'!$G$45,0,offset(L231,0,-1*'Get Started'!$G$45)/$E231*'Get Started'!$H$45*$C357),0)+iferror(IF(L$4&lt;'Get Started'!$G$46,0,offset(L231,0,-1*'Get Started'!$G$46)/$E231*'Get Started'!$H$46*$C357),0)</f>
        <v>0</v>
      </c>
      <c r="M357" s="74">
        <f>iferror(if(M$4&lt;'Get Started'!$G$43,0,offset(M231,0,-1*'Get Started'!$G$43)/$E231*'Get Started'!$H$43*$C357),0)+iferror(if(M$4&lt;'Get Started'!$G$44,0,offset(M231,0,-1*'Get Started'!$G$44)/$E231*'Get Started'!$H$44*$C357),0)+iferror(if(M$4&lt;'Get Started'!$G$45,0,offset(M231,0,-1*'Get Started'!$G$45)/$E231*'Get Started'!$H$45*$C357),0)+iferror(IF(M$4&lt;'Get Started'!$G$46,0,offset(M231,0,-1*'Get Started'!$G$46)/$E231*'Get Started'!$H$46*$C357),0)</f>
        <v>0</v>
      </c>
      <c r="N357" s="74">
        <f>iferror(if(N$4&lt;'Get Started'!$G$43,0,offset(N231,0,-1*'Get Started'!$G$43)/$E231*'Get Started'!$H$43*$C357),0)+iferror(if(N$4&lt;'Get Started'!$G$44,0,offset(N231,0,-1*'Get Started'!$G$44)/$E231*'Get Started'!$H$44*$C357),0)+iferror(if(N$4&lt;'Get Started'!$G$45,0,offset(N231,0,-1*'Get Started'!$G$45)/$E231*'Get Started'!$H$45*$C357),0)+iferror(IF(N$4&lt;'Get Started'!$G$46,0,offset(N231,0,-1*'Get Started'!$G$46)/$E231*'Get Started'!$H$46*$C357),0)</f>
        <v>0</v>
      </c>
      <c r="O357" s="74">
        <f>iferror(if(O$4&lt;'Get Started'!$G$43,0,offset(O231,0,-1*'Get Started'!$G$43)/$E231*'Get Started'!$H$43*$C357),0)+iferror(if(O$4&lt;'Get Started'!$G$44,0,offset(O231,0,-1*'Get Started'!$G$44)/$E231*'Get Started'!$H$44*$C357),0)+iferror(if(O$4&lt;'Get Started'!$G$45,0,offset(O231,0,-1*'Get Started'!$G$45)/$E231*'Get Started'!$H$45*$C357),0)+iferror(IF(O$4&lt;'Get Started'!$G$46,0,offset(O231,0,-1*'Get Started'!$G$46)/$E231*'Get Started'!$H$46*$C357),0)</f>
        <v>0</v>
      </c>
      <c r="P357" s="74">
        <f>iferror(if(P$4&lt;'Get Started'!$G$43,0,offset(P231,0,-1*'Get Started'!$G$43)/$E231*'Get Started'!$H$43*$C357),0)+iferror(if(P$4&lt;'Get Started'!$G$44,0,offset(P231,0,-1*'Get Started'!$G$44)/$E231*'Get Started'!$H$44*$C357),0)+iferror(if(P$4&lt;'Get Started'!$G$45,0,offset(P231,0,-1*'Get Started'!$G$45)/$E231*'Get Started'!$H$45*$C357),0)+iferror(IF(P$4&lt;'Get Started'!$G$46,0,offset(P231,0,-1*'Get Started'!$G$46)/$E231*'Get Started'!$H$46*$C357),0)</f>
        <v>0</v>
      </c>
      <c r="Q357" s="74">
        <f>iferror(if(Q$4&lt;'Get Started'!$G$43,0,offset(Q231,0,-1*'Get Started'!$G$43)/$E231*'Get Started'!$H$43*$C357),0)+iferror(if(Q$4&lt;'Get Started'!$G$44,0,offset(Q231,0,-1*'Get Started'!$G$44)/$E231*'Get Started'!$H$44*$C357),0)+iferror(if(Q$4&lt;'Get Started'!$G$45,0,offset(Q231,0,-1*'Get Started'!$G$45)/$E231*'Get Started'!$H$45*$C357),0)+iferror(IF(Q$4&lt;'Get Started'!$G$46,0,offset(Q231,0,-1*'Get Started'!$G$46)/$E231*'Get Started'!$H$46*$C357),0)</f>
        <v>0</v>
      </c>
      <c r="R357" s="74">
        <f>iferror(if(R$4&lt;'Get Started'!$G$43,0,offset(R231,0,-1*'Get Started'!$G$43)/$E231*'Get Started'!$H$43*$C357),0)+iferror(if(R$4&lt;'Get Started'!$G$44,0,offset(R231,0,-1*'Get Started'!$G$44)/$E231*'Get Started'!$H$44*$C357),0)+iferror(if(R$4&lt;'Get Started'!$G$45,0,offset(R231,0,-1*'Get Started'!$G$45)/$E231*'Get Started'!$H$45*$C357),0)+iferror(IF(R$4&lt;'Get Started'!$G$46,0,offset(R231,0,-1*'Get Started'!$G$46)/$E231*'Get Started'!$H$46*$C357),0)</f>
        <v>0</v>
      </c>
      <c r="S357" s="74">
        <f>iferror(if(S$4&lt;'Get Started'!$G$43,0,offset(S231,0,-1*'Get Started'!$G$43)/$E231*'Get Started'!$H$43*$C357),0)+iferror(if(S$4&lt;'Get Started'!$G$44,0,offset(S231,0,-1*'Get Started'!$G$44)/$E231*'Get Started'!$H$44*$C357),0)+iferror(if(S$4&lt;'Get Started'!$G$45,0,offset(S231,0,-1*'Get Started'!$G$45)/$E231*'Get Started'!$H$45*$C357),0)+iferror(IF(S$4&lt;'Get Started'!$G$46,0,offset(S231,0,-1*'Get Started'!$G$46)/$E231*'Get Started'!$H$46*$C357),0)</f>
        <v>0</v>
      </c>
      <c r="T357" s="74">
        <f>iferror(if(T$4&lt;'Get Started'!$G$43,0,offset(T231,0,-1*'Get Started'!$G$43)/$E231*'Get Started'!$H$43*$C357),0)+iferror(if(T$4&lt;'Get Started'!$G$44,0,offset(T231,0,-1*'Get Started'!$G$44)/$E231*'Get Started'!$H$44*$C357),0)+iferror(if(T$4&lt;'Get Started'!$G$45,0,offset(T231,0,-1*'Get Started'!$G$45)/$E231*'Get Started'!$H$45*$C357),0)+iferror(IF(T$4&lt;'Get Started'!$G$46,0,offset(T231,0,-1*'Get Started'!$G$46)/$E231*'Get Started'!$H$46*$C357),0)</f>
        <v>0</v>
      </c>
      <c r="U357" s="74">
        <f>iferror(if(U$4&lt;'Get Started'!$G$43,0,offset(U231,0,-1*'Get Started'!$G$43)/$E231*'Get Started'!$H$43*$C357),0)+iferror(if(U$4&lt;'Get Started'!$G$44,0,offset(U231,0,-1*'Get Started'!$G$44)/$E231*'Get Started'!$H$44*$C357),0)+iferror(if(U$4&lt;'Get Started'!$G$45,0,offset(U231,0,-1*'Get Started'!$G$45)/$E231*'Get Started'!$H$45*$C357),0)+iferror(IF(U$4&lt;'Get Started'!$G$46,0,offset(U231,0,-1*'Get Started'!$G$46)/$E231*'Get Started'!$H$46*$C357),0)</f>
        <v>0</v>
      </c>
      <c r="V357" s="74">
        <f>iferror(if(V$4&lt;'Get Started'!$G$43,0,offset(V231,0,-1*'Get Started'!$G$43)/$E231*'Get Started'!$H$43*$C357),0)+iferror(if(V$4&lt;'Get Started'!$G$44,0,offset(V231,0,-1*'Get Started'!$G$44)/$E231*'Get Started'!$H$44*$C357),0)+iferror(if(V$4&lt;'Get Started'!$G$45,0,offset(V231,0,-1*'Get Started'!$G$45)/$E231*'Get Started'!$H$45*$C357),0)+iferror(IF(V$4&lt;'Get Started'!$G$46,0,offset(V231,0,-1*'Get Started'!$G$46)/$E231*'Get Started'!$H$46*$C357),0)</f>
        <v>0</v>
      </c>
      <c r="W357" s="74">
        <f>iferror(if(W$4&lt;'Get Started'!$G$43,0,offset(W231,0,-1*'Get Started'!$G$43)/$E231*'Get Started'!$H$43*$C357),0)+iferror(if(W$4&lt;'Get Started'!$G$44,0,offset(W231,0,-1*'Get Started'!$G$44)/$E231*'Get Started'!$H$44*$C357),0)+iferror(if(W$4&lt;'Get Started'!$G$45,0,offset(W231,0,-1*'Get Started'!$G$45)/$E231*'Get Started'!$H$45*$C357),0)+iferror(IF(W$4&lt;'Get Started'!$G$46,0,offset(W231,0,-1*'Get Started'!$G$46)/$E231*'Get Started'!$H$46*$C357),0)</f>
        <v>0</v>
      </c>
      <c r="X357" s="74">
        <f>iferror(if(X$4&lt;'Get Started'!$G$43,0,offset(X231,0,-1*'Get Started'!$G$43)/$E231*'Get Started'!$H$43*$C357),0)+iferror(if(X$4&lt;'Get Started'!$G$44,0,offset(X231,0,-1*'Get Started'!$G$44)/$E231*'Get Started'!$H$44*$C357),0)+iferror(if(X$4&lt;'Get Started'!$G$45,0,offset(X231,0,-1*'Get Started'!$G$45)/$E231*'Get Started'!$H$45*$C357),0)+iferror(IF(X$4&lt;'Get Started'!$G$46,0,offset(X231,0,-1*'Get Started'!$G$46)/$E231*'Get Started'!$H$46*$C357),0)</f>
        <v>0</v>
      </c>
      <c r="Y357" s="74">
        <f>iferror(if(Y$4&lt;'Get Started'!$G$43,0,offset(Y231,0,-1*'Get Started'!$G$43)/$E231*'Get Started'!$H$43*$C357),0)+iferror(if(Y$4&lt;'Get Started'!$G$44,0,offset(Y231,0,-1*'Get Started'!$G$44)/$E231*'Get Started'!$H$44*$C357),0)+iferror(if(Y$4&lt;'Get Started'!$G$45,0,offset(Y231,0,-1*'Get Started'!$G$45)/$E231*'Get Started'!$H$45*$C357),0)+iferror(IF(Y$4&lt;'Get Started'!$G$46,0,offset(Y231,0,-1*'Get Started'!$G$46)/$E231*'Get Started'!$H$46*$C357),0)</f>
        <v>0</v>
      </c>
      <c r="Z357" s="74">
        <f>iferror(if(Z$4&lt;'Get Started'!$G$43,0,offset(Z231,0,-1*'Get Started'!$G$43)/$E231*'Get Started'!$H$43*$C357),0)+iferror(if(Z$4&lt;'Get Started'!$G$44,0,offset(Z231,0,-1*'Get Started'!$G$44)/$E231*'Get Started'!$H$44*$C357),0)+iferror(if(Z$4&lt;'Get Started'!$G$45,0,offset(Z231,0,-1*'Get Started'!$G$45)/$E231*'Get Started'!$H$45*$C357),0)+iferror(IF(Z$4&lt;'Get Started'!$G$46,0,offset(Z231,0,-1*'Get Started'!$G$46)/$E231*'Get Started'!$H$46*$C357),0)</f>
        <v>0</v>
      </c>
    </row>
    <row r="358" hidden="1" outlineLevel="1">
      <c r="B358" s="93">
        <f t="shared" si="187"/>
        <v>11</v>
      </c>
      <c r="C358" s="77">
        <f>E253*'Get Started'!F$47</f>
        <v>0</v>
      </c>
      <c r="D358" s="16" t="s">
        <v>161</v>
      </c>
      <c r="E358" s="74">
        <f t="shared" si="108"/>
        <v>0</v>
      </c>
      <c r="F358" s="74"/>
      <c r="G358" s="74">
        <f>iferror(if(G$4&lt;'Get Started'!$G$43,0,offset(G232,0,-1*'Get Started'!$G$43)/$E232*'Get Started'!$H$43*$C358),0)+iferror(if(G$4&lt;'Get Started'!$G$44,0,offset(G232,0,-1*'Get Started'!$G$44)/$E232*'Get Started'!$H$44*$C358),0)+iferror(if(G$4&lt;'Get Started'!$G$45,0,offset(G232,0,-1*'Get Started'!$G$45)/$E232*'Get Started'!$H$45*$C358),0)+iferror(IF(G$4&lt;'Get Started'!$G$46,0,offset(G232,0,-1*'Get Started'!$G$46)/$E232*'Get Started'!$H$46*$C358),0)</f>
        <v>0</v>
      </c>
      <c r="H358" s="74">
        <f>iferror(if(H$4&lt;'Get Started'!$G$43,0,offset(H232,0,-1*'Get Started'!$G$43)/$E232*'Get Started'!$H$43*$C358),0)+iferror(if(H$4&lt;'Get Started'!$G$44,0,offset(H232,0,-1*'Get Started'!$G$44)/$E232*'Get Started'!$H$44*$C358),0)+iferror(if(H$4&lt;'Get Started'!$G$45,0,offset(H232,0,-1*'Get Started'!$G$45)/$E232*'Get Started'!$H$45*$C358),0)+iferror(IF(H$4&lt;'Get Started'!$G$46,0,offset(H232,0,-1*'Get Started'!$G$46)/$E232*'Get Started'!$H$46*$C358),0)</f>
        <v>0</v>
      </c>
      <c r="I358" s="74">
        <f>iferror(if(I$4&lt;'Get Started'!$G$43,0,offset(I232,0,-1*'Get Started'!$G$43)/$E232*'Get Started'!$H$43*$C358),0)+iferror(if(I$4&lt;'Get Started'!$G$44,0,offset(I232,0,-1*'Get Started'!$G$44)/$E232*'Get Started'!$H$44*$C358),0)+iferror(if(I$4&lt;'Get Started'!$G$45,0,offset(I232,0,-1*'Get Started'!$G$45)/$E232*'Get Started'!$H$45*$C358),0)+iferror(IF(I$4&lt;'Get Started'!$G$46,0,offset(I232,0,-1*'Get Started'!$G$46)/$E232*'Get Started'!$H$46*$C358),0)</f>
        <v>0</v>
      </c>
      <c r="J358" s="74">
        <f>iferror(if(J$4&lt;'Get Started'!$G$43,0,offset(J232,0,-1*'Get Started'!$G$43)/$E232*'Get Started'!$H$43*$C358),0)+iferror(if(J$4&lt;'Get Started'!$G$44,0,offset(J232,0,-1*'Get Started'!$G$44)/$E232*'Get Started'!$H$44*$C358),0)+iferror(if(J$4&lt;'Get Started'!$G$45,0,offset(J232,0,-1*'Get Started'!$G$45)/$E232*'Get Started'!$H$45*$C358),0)+iferror(IF(J$4&lt;'Get Started'!$G$46,0,offset(J232,0,-1*'Get Started'!$G$46)/$E232*'Get Started'!$H$46*$C358),0)</f>
        <v>0</v>
      </c>
      <c r="K358" s="74">
        <f>iferror(if(K$4&lt;'Get Started'!$G$43,0,offset(K232,0,-1*'Get Started'!$G$43)/$E232*'Get Started'!$H$43*$C358),0)+iferror(if(K$4&lt;'Get Started'!$G$44,0,offset(K232,0,-1*'Get Started'!$G$44)/$E232*'Get Started'!$H$44*$C358),0)+iferror(if(K$4&lt;'Get Started'!$G$45,0,offset(K232,0,-1*'Get Started'!$G$45)/$E232*'Get Started'!$H$45*$C358),0)+iferror(IF(K$4&lt;'Get Started'!$G$46,0,offset(K232,0,-1*'Get Started'!$G$46)/$E232*'Get Started'!$H$46*$C358),0)</f>
        <v>0</v>
      </c>
      <c r="L358" s="74">
        <f>iferror(if(L$4&lt;'Get Started'!$G$43,0,offset(L232,0,-1*'Get Started'!$G$43)/$E232*'Get Started'!$H$43*$C358),0)+iferror(if(L$4&lt;'Get Started'!$G$44,0,offset(L232,0,-1*'Get Started'!$G$44)/$E232*'Get Started'!$H$44*$C358),0)+iferror(if(L$4&lt;'Get Started'!$G$45,0,offset(L232,0,-1*'Get Started'!$G$45)/$E232*'Get Started'!$H$45*$C358),0)+iferror(IF(L$4&lt;'Get Started'!$G$46,0,offset(L232,0,-1*'Get Started'!$G$46)/$E232*'Get Started'!$H$46*$C358),0)</f>
        <v>0</v>
      </c>
      <c r="M358" s="74">
        <f>iferror(if(M$4&lt;'Get Started'!$G$43,0,offset(M232,0,-1*'Get Started'!$G$43)/$E232*'Get Started'!$H$43*$C358),0)+iferror(if(M$4&lt;'Get Started'!$G$44,0,offset(M232,0,-1*'Get Started'!$G$44)/$E232*'Get Started'!$H$44*$C358),0)+iferror(if(M$4&lt;'Get Started'!$G$45,0,offset(M232,0,-1*'Get Started'!$G$45)/$E232*'Get Started'!$H$45*$C358),0)+iferror(IF(M$4&lt;'Get Started'!$G$46,0,offset(M232,0,-1*'Get Started'!$G$46)/$E232*'Get Started'!$H$46*$C358),0)</f>
        <v>0</v>
      </c>
      <c r="N358" s="74">
        <f>iferror(if(N$4&lt;'Get Started'!$G$43,0,offset(N232,0,-1*'Get Started'!$G$43)/$E232*'Get Started'!$H$43*$C358),0)+iferror(if(N$4&lt;'Get Started'!$G$44,0,offset(N232,0,-1*'Get Started'!$G$44)/$E232*'Get Started'!$H$44*$C358),0)+iferror(if(N$4&lt;'Get Started'!$G$45,0,offset(N232,0,-1*'Get Started'!$G$45)/$E232*'Get Started'!$H$45*$C358),0)+iferror(IF(N$4&lt;'Get Started'!$G$46,0,offset(N232,0,-1*'Get Started'!$G$46)/$E232*'Get Started'!$H$46*$C358),0)</f>
        <v>0</v>
      </c>
      <c r="O358" s="74">
        <f>iferror(if(O$4&lt;'Get Started'!$G$43,0,offset(O232,0,-1*'Get Started'!$G$43)/$E232*'Get Started'!$H$43*$C358),0)+iferror(if(O$4&lt;'Get Started'!$G$44,0,offset(O232,0,-1*'Get Started'!$G$44)/$E232*'Get Started'!$H$44*$C358),0)+iferror(if(O$4&lt;'Get Started'!$G$45,0,offset(O232,0,-1*'Get Started'!$G$45)/$E232*'Get Started'!$H$45*$C358),0)+iferror(IF(O$4&lt;'Get Started'!$G$46,0,offset(O232,0,-1*'Get Started'!$G$46)/$E232*'Get Started'!$H$46*$C358),0)</f>
        <v>0</v>
      </c>
      <c r="P358" s="74">
        <f>iferror(if(P$4&lt;'Get Started'!$G$43,0,offset(P232,0,-1*'Get Started'!$G$43)/$E232*'Get Started'!$H$43*$C358),0)+iferror(if(P$4&lt;'Get Started'!$G$44,0,offset(P232,0,-1*'Get Started'!$G$44)/$E232*'Get Started'!$H$44*$C358),0)+iferror(if(P$4&lt;'Get Started'!$G$45,0,offset(P232,0,-1*'Get Started'!$G$45)/$E232*'Get Started'!$H$45*$C358),0)+iferror(IF(P$4&lt;'Get Started'!$G$46,0,offset(P232,0,-1*'Get Started'!$G$46)/$E232*'Get Started'!$H$46*$C358),0)</f>
        <v>0</v>
      </c>
      <c r="Q358" s="74">
        <f>iferror(if(Q$4&lt;'Get Started'!$G$43,0,offset(Q232,0,-1*'Get Started'!$G$43)/$E232*'Get Started'!$H$43*$C358),0)+iferror(if(Q$4&lt;'Get Started'!$G$44,0,offset(Q232,0,-1*'Get Started'!$G$44)/$E232*'Get Started'!$H$44*$C358),0)+iferror(if(Q$4&lt;'Get Started'!$G$45,0,offset(Q232,0,-1*'Get Started'!$G$45)/$E232*'Get Started'!$H$45*$C358),0)+iferror(IF(Q$4&lt;'Get Started'!$G$46,0,offset(Q232,0,-1*'Get Started'!$G$46)/$E232*'Get Started'!$H$46*$C358),0)</f>
        <v>0</v>
      </c>
      <c r="R358" s="74">
        <f>iferror(if(R$4&lt;'Get Started'!$G$43,0,offset(R232,0,-1*'Get Started'!$G$43)/$E232*'Get Started'!$H$43*$C358),0)+iferror(if(R$4&lt;'Get Started'!$G$44,0,offset(R232,0,-1*'Get Started'!$G$44)/$E232*'Get Started'!$H$44*$C358),0)+iferror(if(R$4&lt;'Get Started'!$G$45,0,offset(R232,0,-1*'Get Started'!$G$45)/$E232*'Get Started'!$H$45*$C358),0)+iferror(IF(R$4&lt;'Get Started'!$G$46,0,offset(R232,0,-1*'Get Started'!$G$46)/$E232*'Get Started'!$H$46*$C358),0)</f>
        <v>0</v>
      </c>
      <c r="S358" s="74">
        <f>iferror(if(S$4&lt;'Get Started'!$G$43,0,offset(S232,0,-1*'Get Started'!$G$43)/$E232*'Get Started'!$H$43*$C358),0)+iferror(if(S$4&lt;'Get Started'!$G$44,0,offset(S232,0,-1*'Get Started'!$G$44)/$E232*'Get Started'!$H$44*$C358),0)+iferror(if(S$4&lt;'Get Started'!$G$45,0,offset(S232,0,-1*'Get Started'!$G$45)/$E232*'Get Started'!$H$45*$C358),0)+iferror(IF(S$4&lt;'Get Started'!$G$46,0,offset(S232,0,-1*'Get Started'!$G$46)/$E232*'Get Started'!$H$46*$C358),0)</f>
        <v>0</v>
      </c>
      <c r="T358" s="74">
        <f>iferror(if(T$4&lt;'Get Started'!$G$43,0,offset(T232,0,-1*'Get Started'!$G$43)/$E232*'Get Started'!$H$43*$C358),0)+iferror(if(T$4&lt;'Get Started'!$G$44,0,offset(T232,0,-1*'Get Started'!$G$44)/$E232*'Get Started'!$H$44*$C358),0)+iferror(if(T$4&lt;'Get Started'!$G$45,0,offset(T232,0,-1*'Get Started'!$G$45)/$E232*'Get Started'!$H$45*$C358),0)+iferror(IF(T$4&lt;'Get Started'!$G$46,0,offset(T232,0,-1*'Get Started'!$G$46)/$E232*'Get Started'!$H$46*$C358),0)</f>
        <v>0</v>
      </c>
      <c r="U358" s="74">
        <f>iferror(if(U$4&lt;'Get Started'!$G$43,0,offset(U232,0,-1*'Get Started'!$G$43)/$E232*'Get Started'!$H$43*$C358),0)+iferror(if(U$4&lt;'Get Started'!$G$44,0,offset(U232,0,-1*'Get Started'!$G$44)/$E232*'Get Started'!$H$44*$C358),0)+iferror(if(U$4&lt;'Get Started'!$G$45,0,offset(U232,0,-1*'Get Started'!$G$45)/$E232*'Get Started'!$H$45*$C358),0)+iferror(IF(U$4&lt;'Get Started'!$G$46,0,offset(U232,0,-1*'Get Started'!$G$46)/$E232*'Get Started'!$H$46*$C358),0)</f>
        <v>0</v>
      </c>
      <c r="V358" s="74">
        <f>iferror(if(V$4&lt;'Get Started'!$G$43,0,offset(V232,0,-1*'Get Started'!$G$43)/$E232*'Get Started'!$H$43*$C358),0)+iferror(if(V$4&lt;'Get Started'!$G$44,0,offset(V232,0,-1*'Get Started'!$G$44)/$E232*'Get Started'!$H$44*$C358),0)+iferror(if(V$4&lt;'Get Started'!$G$45,0,offset(V232,0,-1*'Get Started'!$G$45)/$E232*'Get Started'!$H$45*$C358),0)+iferror(IF(V$4&lt;'Get Started'!$G$46,0,offset(V232,0,-1*'Get Started'!$G$46)/$E232*'Get Started'!$H$46*$C358),0)</f>
        <v>0</v>
      </c>
      <c r="W358" s="74">
        <f>iferror(if(W$4&lt;'Get Started'!$G$43,0,offset(W232,0,-1*'Get Started'!$G$43)/$E232*'Get Started'!$H$43*$C358),0)+iferror(if(W$4&lt;'Get Started'!$G$44,0,offset(W232,0,-1*'Get Started'!$G$44)/$E232*'Get Started'!$H$44*$C358),0)+iferror(if(W$4&lt;'Get Started'!$G$45,0,offset(W232,0,-1*'Get Started'!$G$45)/$E232*'Get Started'!$H$45*$C358),0)+iferror(IF(W$4&lt;'Get Started'!$G$46,0,offset(W232,0,-1*'Get Started'!$G$46)/$E232*'Get Started'!$H$46*$C358),0)</f>
        <v>0</v>
      </c>
      <c r="X358" s="74">
        <f>iferror(if(X$4&lt;'Get Started'!$G$43,0,offset(X232,0,-1*'Get Started'!$G$43)/$E232*'Get Started'!$H$43*$C358),0)+iferror(if(X$4&lt;'Get Started'!$G$44,0,offset(X232,0,-1*'Get Started'!$G$44)/$E232*'Get Started'!$H$44*$C358),0)+iferror(if(X$4&lt;'Get Started'!$G$45,0,offset(X232,0,-1*'Get Started'!$G$45)/$E232*'Get Started'!$H$45*$C358),0)+iferror(IF(X$4&lt;'Get Started'!$G$46,0,offset(X232,0,-1*'Get Started'!$G$46)/$E232*'Get Started'!$H$46*$C358),0)</f>
        <v>0</v>
      </c>
      <c r="Y358" s="74">
        <f>iferror(if(Y$4&lt;'Get Started'!$G$43,0,offset(Y232,0,-1*'Get Started'!$G$43)/$E232*'Get Started'!$H$43*$C358),0)+iferror(if(Y$4&lt;'Get Started'!$G$44,0,offset(Y232,0,-1*'Get Started'!$G$44)/$E232*'Get Started'!$H$44*$C358),0)+iferror(if(Y$4&lt;'Get Started'!$G$45,0,offset(Y232,0,-1*'Get Started'!$G$45)/$E232*'Get Started'!$H$45*$C358),0)+iferror(IF(Y$4&lt;'Get Started'!$G$46,0,offset(Y232,0,-1*'Get Started'!$G$46)/$E232*'Get Started'!$H$46*$C358),0)</f>
        <v>0</v>
      </c>
      <c r="Z358" s="74">
        <f>iferror(if(Z$4&lt;'Get Started'!$G$43,0,offset(Z232,0,-1*'Get Started'!$G$43)/$E232*'Get Started'!$H$43*$C358),0)+iferror(if(Z$4&lt;'Get Started'!$G$44,0,offset(Z232,0,-1*'Get Started'!$G$44)/$E232*'Get Started'!$H$44*$C358),0)+iferror(if(Z$4&lt;'Get Started'!$G$45,0,offset(Z232,0,-1*'Get Started'!$G$45)/$E232*'Get Started'!$H$45*$C358),0)+iferror(IF(Z$4&lt;'Get Started'!$G$46,0,offset(Z232,0,-1*'Get Started'!$G$46)/$E232*'Get Started'!$H$46*$C358),0)</f>
        <v>0</v>
      </c>
    </row>
    <row r="359" hidden="1" outlineLevel="1">
      <c r="B359" s="93">
        <f t="shared" si="187"/>
        <v>12</v>
      </c>
      <c r="C359" s="77">
        <f>E254*'Get Started'!F$47</f>
        <v>0</v>
      </c>
      <c r="D359" s="16" t="s">
        <v>161</v>
      </c>
      <c r="E359" s="74">
        <f t="shared" si="108"/>
        <v>0</v>
      </c>
      <c r="F359" s="74"/>
      <c r="G359" s="74">
        <f>iferror(if(G$4&lt;'Get Started'!$G$43,0,offset(G233,0,-1*'Get Started'!$G$43)/$E233*'Get Started'!$H$43*$C359),0)+iferror(if(G$4&lt;'Get Started'!$G$44,0,offset(G233,0,-1*'Get Started'!$G$44)/$E233*'Get Started'!$H$44*$C359),0)+iferror(if(G$4&lt;'Get Started'!$G$45,0,offset(G233,0,-1*'Get Started'!$G$45)/$E233*'Get Started'!$H$45*$C359),0)+iferror(IF(G$4&lt;'Get Started'!$G$46,0,offset(G233,0,-1*'Get Started'!$G$46)/$E233*'Get Started'!$H$46*$C359),0)</f>
        <v>0</v>
      </c>
      <c r="H359" s="74">
        <f>iferror(if(H$4&lt;'Get Started'!$G$43,0,offset(H233,0,-1*'Get Started'!$G$43)/$E233*'Get Started'!$H$43*$C359),0)+iferror(if(H$4&lt;'Get Started'!$G$44,0,offset(H233,0,-1*'Get Started'!$G$44)/$E233*'Get Started'!$H$44*$C359),0)+iferror(if(H$4&lt;'Get Started'!$G$45,0,offset(H233,0,-1*'Get Started'!$G$45)/$E233*'Get Started'!$H$45*$C359),0)+iferror(IF(H$4&lt;'Get Started'!$G$46,0,offset(H233,0,-1*'Get Started'!$G$46)/$E233*'Get Started'!$H$46*$C359),0)</f>
        <v>0</v>
      </c>
      <c r="I359" s="74">
        <f>iferror(if(I$4&lt;'Get Started'!$G$43,0,offset(I233,0,-1*'Get Started'!$G$43)/$E233*'Get Started'!$H$43*$C359),0)+iferror(if(I$4&lt;'Get Started'!$G$44,0,offset(I233,0,-1*'Get Started'!$G$44)/$E233*'Get Started'!$H$44*$C359),0)+iferror(if(I$4&lt;'Get Started'!$G$45,0,offset(I233,0,-1*'Get Started'!$G$45)/$E233*'Get Started'!$H$45*$C359),0)+iferror(IF(I$4&lt;'Get Started'!$G$46,0,offset(I233,0,-1*'Get Started'!$G$46)/$E233*'Get Started'!$H$46*$C359),0)</f>
        <v>0</v>
      </c>
      <c r="J359" s="74">
        <f>iferror(if(J$4&lt;'Get Started'!$G$43,0,offset(J233,0,-1*'Get Started'!$G$43)/$E233*'Get Started'!$H$43*$C359),0)+iferror(if(J$4&lt;'Get Started'!$G$44,0,offset(J233,0,-1*'Get Started'!$G$44)/$E233*'Get Started'!$H$44*$C359),0)+iferror(if(J$4&lt;'Get Started'!$G$45,0,offset(J233,0,-1*'Get Started'!$G$45)/$E233*'Get Started'!$H$45*$C359),0)+iferror(IF(J$4&lt;'Get Started'!$G$46,0,offset(J233,0,-1*'Get Started'!$G$46)/$E233*'Get Started'!$H$46*$C359),0)</f>
        <v>0</v>
      </c>
      <c r="K359" s="74">
        <f>iferror(if(K$4&lt;'Get Started'!$G$43,0,offset(K233,0,-1*'Get Started'!$G$43)/$E233*'Get Started'!$H$43*$C359),0)+iferror(if(K$4&lt;'Get Started'!$G$44,0,offset(K233,0,-1*'Get Started'!$G$44)/$E233*'Get Started'!$H$44*$C359),0)+iferror(if(K$4&lt;'Get Started'!$G$45,0,offset(K233,0,-1*'Get Started'!$G$45)/$E233*'Get Started'!$H$45*$C359),0)+iferror(IF(K$4&lt;'Get Started'!$G$46,0,offset(K233,0,-1*'Get Started'!$G$46)/$E233*'Get Started'!$H$46*$C359),0)</f>
        <v>0</v>
      </c>
      <c r="L359" s="74">
        <f>iferror(if(L$4&lt;'Get Started'!$G$43,0,offset(L233,0,-1*'Get Started'!$G$43)/$E233*'Get Started'!$H$43*$C359),0)+iferror(if(L$4&lt;'Get Started'!$G$44,0,offset(L233,0,-1*'Get Started'!$G$44)/$E233*'Get Started'!$H$44*$C359),0)+iferror(if(L$4&lt;'Get Started'!$G$45,0,offset(L233,0,-1*'Get Started'!$G$45)/$E233*'Get Started'!$H$45*$C359),0)+iferror(IF(L$4&lt;'Get Started'!$G$46,0,offset(L233,0,-1*'Get Started'!$G$46)/$E233*'Get Started'!$H$46*$C359),0)</f>
        <v>0</v>
      </c>
      <c r="M359" s="74">
        <f>iferror(if(M$4&lt;'Get Started'!$G$43,0,offset(M233,0,-1*'Get Started'!$G$43)/$E233*'Get Started'!$H$43*$C359),0)+iferror(if(M$4&lt;'Get Started'!$G$44,0,offset(M233,0,-1*'Get Started'!$G$44)/$E233*'Get Started'!$H$44*$C359),0)+iferror(if(M$4&lt;'Get Started'!$G$45,0,offset(M233,0,-1*'Get Started'!$G$45)/$E233*'Get Started'!$H$45*$C359),0)+iferror(IF(M$4&lt;'Get Started'!$G$46,0,offset(M233,0,-1*'Get Started'!$G$46)/$E233*'Get Started'!$H$46*$C359),0)</f>
        <v>0</v>
      </c>
      <c r="N359" s="74">
        <f>iferror(if(N$4&lt;'Get Started'!$G$43,0,offset(N233,0,-1*'Get Started'!$G$43)/$E233*'Get Started'!$H$43*$C359),0)+iferror(if(N$4&lt;'Get Started'!$G$44,0,offset(N233,0,-1*'Get Started'!$G$44)/$E233*'Get Started'!$H$44*$C359),0)+iferror(if(N$4&lt;'Get Started'!$G$45,0,offset(N233,0,-1*'Get Started'!$G$45)/$E233*'Get Started'!$H$45*$C359),0)+iferror(IF(N$4&lt;'Get Started'!$G$46,0,offset(N233,0,-1*'Get Started'!$G$46)/$E233*'Get Started'!$H$46*$C359),0)</f>
        <v>0</v>
      </c>
      <c r="O359" s="74">
        <f>iferror(if(O$4&lt;'Get Started'!$G$43,0,offset(O233,0,-1*'Get Started'!$G$43)/$E233*'Get Started'!$H$43*$C359),0)+iferror(if(O$4&lt;'Get Started'!$G$44,0,offset(O233,0,-1*'Get Started'!$G$44)/$E233*'Get Started'!$H$44*$C359),0)+iferror(if(O$4&lt;'Get Started'!$G$45,0,offset(O233,0,-1*'Get Started'!$G$45)/$E233*'Get Started'!$H$45*$C359),0)+iferror(IF(O$4&lt;'Get Started'!$G$46,0,offset(O233,0,-1*'Get Started'!$G$46)/$E233*'Get Started'!$H$46*$C359),0)</f>
        <v>0</v>
      </c>
      <c r="P359" s="74">
        <f>iferror(if(P$4&lt;'Get Started'!$G$43,0,offset(P233,0,-1*'Get Started'!$G$43)/$E233*'Get Started'!$H$43*$C359),0)+iferror(if(P$4&lt;'Get Started'!$G$44,0,offset(P233,0,-1*'Get Started'!$G$44)/$E233*'Get Started'!$H$44*$C359),0)+iferror(if(P$4&lt;'Get Started'!$G$45,0,offset(P233,0,-1*'Get Started'!$G$45)/$E233*'Get Started'!$H$45*$C359),0)+iferror(IF(P$4&lt;'Get Started'!$G$46,0,offset(P233,0,-1*'Get Started'!$G$46)/$E233*'Get Started'!$H$46*$C359),0)</f>
        <v>0</v>
      </c>
      <c r="Q359" s="74">
        <f>iferror(if(Q$4&lt;'Get Started'!$G$43,0,offset(Q233,0,-1*'Get Started'!$G$43)/$E233*'Get Started'!$H$43*$C359),0)+iferror(if(Q$4&lt;'Get Started'!$G$44,0,offset(Q233,0,-1*'Get Started'!$G$44)/$E233*'Get Started'!$H$44*$C359),0)+iferror(if(Q$4&lt;'Get Started'!$G$45,0,offset(Q233,0,-1*'Get Started'!$G$45)/$E233*'Get Started'!$H$45*$C359),0)+iferror(IF(Q$4&lt;'Get Started'!$G$46,0,offset(Q233,0,-1*'Get Started'!$G$46)/$E233*'Get Started'!$H$46*$C359),0)</f>
        <v>0</v>
      </c>
      <c r="R359" s="74">
        <f>iferror(if(R$4&lt;'Get Started'!$G$43,0,offset(R233,0,-1*'Get Started'!$G$43)/$E233*'Get Started'!$H$43*$C359),0)+iferror(if(R$4&lt;'Get Started'!$G$44,0,offset(R233,0,-1*'Get Started'!$G$44)/$E233*'Get Started'!$H$44*$C359),0)+iferror(if(R$4&lt;'Get Started'!$G$45,0,offset(R233,0,-1*'Get Started'!$G$45)/$E233*'Get Started'!$H$45*$C359),0)+iferror(IF(R$4&lt;'Get Started'!$G$46,0,offset(R233,0,-1*'Get Started'!$G$46)/$E233*'Get Started'!$H$46*$C359),0)</f>
        <v>0</v>
      </c>
      <c r="S359" s="74">
        <f>iferror(if(S$4&lt;'Get Started'!$G$43,0,offset(S233,0,-1*'Get Started'!$G$43)/$E233*'Get Started'!$H$43*$C359),0)+iferror(if(S$4&lt;'Get Started'!$G$44,0,offset(S233,0,-1*'Get Started'!$G$44)/$E233*'Get Started'!$H$44*$C359),0)+iferror(if(S$4&lt;'Get Started'!$G$45,0,offset(S233,0,-1*'Get Started'!$G$45)/$E233*'Get Started'!$H$45*$C359),0)+iferror(IF(S$4&lt;'Get Started'!$G$46,0,offset(S233,0,-1*'Get Started'!$G$46)/$E233*'Get Started'!$H$46*$C359),0)</f>
        <v>0</v>
      </c>
      <c r="T359" s="74">
        <f>iferror(if(T$4&lt;'Get Started'!$G$43,0,offset(T233,0,-1*'Get Started'!$G$43)/$E233*'Get Started'!$H$43*$C359),0)+iferror(if(T$4&lt;'Get Started'!$G$44,0,offset(T233,0,-1*'Get Started'!$G$44)/$E233*'Get Started'!$H$44*$C359),0)+iferror(if(T$4&lt;'Get Started'!$G$45,0,offset(T233,0,-1*'Get Started'!$G$45)/$E233*'Get Started'!$H$45*$C359),0)+iferror(IF(T$4&lt;'Get Started'!$G$46,0,offset(T233,0,-1*'Get Started'!$G$46)/$E233*'Get Started'!$H$46*$C359),0)</f>
        <v>0</v>
      </c>
      <c r="U359" s="74">
        <f>iferror(if(U$4&lt;'Get Started'!$G$43,0,offset(U233,0,-1*'Get Started'!$G$43)/$E233*'Get Started'!$H$43*$C359),0)+iferror(if(U$4&lt;'Get Started'!$G$44,0,offset(U233,0,-1*'Get Started'!$G$44)/$E233*'Get Started'!$H$44*$C359),0)+iferror(if(U$4&lt;'Get Started'!$G$45,0,offset(U233,0,-1*'Get Started'!$G$45)/$E233*'Get Started'!$H$45*$C359),0)+iferror(IF(U$4&lt;'Get Started'!$G$46,0,offset(U233,0,-1*'Get Started'!$G$46)/$E233*'Get Started'!$H$46*$C359),0)</f>
        <v>0</v>
      </c>
      <c r="V359" s="74">
        <f>iferror(if(V$4&lt;'Get Started'!$G$43,0,offset(V233,0,-1*'Get Started'!$G$43)/$E233*'Get Started'!$H$43*$C359),0)+iferror(if(V$4&lt;'Get Started'!$G$44,0,offset(V233,0,-1*'Get Started'!$G$44)/$E233*'Get Started'!$H$44*$C359),0)+iferror(if(V$4&lt;'Get Started'!$G$45,0,offset(V233,0,-1*'Get Started'!$G$45)/$E233*'Get Started'!$H$45*$C359),0)+iferror(IF(V$4&lt;'Get Started'!$G$46,0,offset(V233,0,-1*'Get Started'!$G$46)/$E233*'Get Started'!$H$46*$C359),0)</f>
        <v>0</v>
      </c>
      <c r="W359" s="74">
        <f>iferror(if(W$4&lt;'Get Started'!$G$43,0,offset(W233,0,-1*'Get Started'!$G$43)/$E233*'Get Started'!$H$43*$C359),0)+iferror(if(W$4&lt;'Get Started'!$G$44,0,offset(W233,0,-1*'Get Started'!$G$44)/$E233*'Get Started'!$H$44*$C359),0)+iferror(if(W$4&lt;'Get Started'!$G$45,0,offset(W233,0,-1*'Get Started'!$G$45)/$E233*'Get Started'!$H$45*$C359),0)+iferror(IF(W$4&lt;'Get Started'!$G$46,0,offset(W233,0,-1*'Get Started'!$G$46)/$E233*'Get Started'!$H$46*$C359),0)</f>
        <v>0</v>
      </c>
      <c r="X359" s="74">
        <f>iferror(if(X$4&lt;'Get Started'!$G$43,0,offset(X233,0,-1*'Get Started'!$G$43)/$E233*'Get Started'!$H$43*$C359),0)+iferror(if(X$4&lt;'Get Started'!$G$44,0,offset(X233,0,-1*'Get Started'!$G$44)/$E233*'Get Started'!$H$44*$C359),0)+iferror(if(X$4&lt;'Get Started'!$G$45,0,offset(X233,0,-1*'Get Started'!$G$45)/$E233*'Get Started'!$H$45*$C359),0)+iferror(IF(X$4&lt;'Get Started'!$G$46,0,offset(X233,0,-1*'Get Started'!$G$46)/$E233*'Get Started'!$H$46*$C359),0)</f>
        <v>0</v>
      </c>
      <c r="Y359" s="74">
        <f>iferror(if(Y$4&lt;'Get Started'!$G$43,0,offset(Y233,0,-1*'Get Started'!$G$43)/$E233*'Get Started'!$H$43*$C359),0)+iferror(if(Y$4&lt;'Get Started'!$G$44,0,offset(Y233,0,-1*'Get Started'!$G$44)/$E233*'Get Started'!$H$44*$C359),0)+iferror(if(Y$4&lt;'Get Started'!$G$45,0,offset(Y233,0,-1*'Get Started'!$G$45)/$E233*'Get Started'!$H$45*$C359),0)+iferror(IF(Y$4&lt;'Get Started'!$G$46,0,offset(Y233,0,-1*'Get Started'!$G$46)/$E233*'Get Started'!$H$46*$C359),0)</f>
        <v>0</v>
      </c>
      <c r="Z359" s="74">
        <f>iferror(if(Z$4&lt;'Get Started'!$G$43,0,offset(Z233,0,-1*'Get Started'!$G$43)/$E233*'Get Started'!$H$43*$C359),0)+iferror(if(Z$4&lt;'Get Started'!$G$44,0,offset(Z233,0,-1*'Get Started'!$G$44)/$E233*'Get Started'!$H$44*$C359),0)+iferror(if(Z$4&lt;'Get Started'!$G$45,0,offset(Z233,0,-1*'Get Started'!$G$45)/$E233*'Get Started'!$H$45*$C359),0)+iferror(IF(Z$4&lt;'Get Started'!$G$46,0,offset(Z233,0,-1*'Get Started'!$G$46)/$E233*'Get Started'!$H$46*$C359),0)</f>
        <v>0</v>
      </c>
    </row>
    <row r="360" hidden="1" outlineLevel="1">
      <c r="B360" s="93">
        <f t="shared" si="187"/>
        <v>13</v>
      </c>
      <c r="C360" s="77">
        <f>E255*'Get Started'!F$47</f>
        <v>0</v>
      </c>
      <c r="D360" s="16" t="s">
        <v>161</v>
      </c>
      <c r="E360" s="74">
        <f t="shared" si="108"/>
        <v>0</v>
      </c>
      <c r="F360" s="74"/>
      <c r="G360" s="74">
        <f>iferror(if(G$4&lt;'Get Started'!$G$43,0,offset(G234,0,-1*'Get Started'!$G$43)/$E234*'Get Started'!$H$43*$C360),0)+iferror(if(G$4&lt;'Get Started'!$G$44,0,offset(G234,0,-1*'Get Started'!$G$44)/$E234*'Get Started'!$H$44*$C360),0)+iferror(if(G$4&lt;'Get Started'!$G$45,0,offset(G234,0,-1*'Get Started'!$G$45)/$E234*'Get Started'!$H$45*$C360),0)+iferror(IF(G$4&lt;'Get Started'!$G$46,0,offset(G234,0,-1*'Get Started'!$G$46)/$E234*'Get Started'!$H$46*$C360),0)</f>
        <v>0</v>
      </c>
      <c r="H360" s="74">
        <f>iferror(if(H$4&lt;'Get Started'!$G$43,0,offset(H234,0,-1*'Get Started'!$G$43)/$E234*'Get Started'!$H$43*$C360),0)+iferror(if(H$4&lt;'Get Started'!$G$44,0,offset(H234,0,-1*'Get Started'!$G$44)/$E234*'Get Started'!$H$44*$C360),0)+iferror(if(H$4&lt;'Get Started'!$G$45,0,offset(H234,0,-1*'Get Started'!$G$45)/$E234*'Get Started'!$H$45*$C360),0)+iferror(IF(H$4&lt;'Get Started'!$G$46,0,offset(H234,0,-1*'Get Started'!$G$46)/$E234*'Get Started'!$H$46*$C360),0)</f>
        <v>0</v>
      </c>
      <c r="I360" s="74">
        <f>iferror(if(I$4&lt;'Get Started'!$G$43,0,offset(I234,0,-1*'Get Started'!$G$43)/$E234*'Get Started'!$H$43*$C360),0)+iferror(if(I$4&lt;'Get Started'!$G$44,0,offset(I234,0,-1*'Get Started'!$G$44)/$E234*'Get Started'!$H$44*$C360),0)+iferror(if(I$4&lt;'Get Started'!$G$45,0,offset(I234,0,-1*'Get Started'!$G$45)/$E234*'Get Started'!$H$45*$C360),0)+iferror(IF(I$4&lt;'Get Started'!$G$46,0,offset(I234,0,-1*'Get Started'!$G$46)/$E234*'Get Started'!$H$46*$C360),0)</f>
        <v>0</v>
      </c>
      <c r="J360" s="74">
        <f>iferror(if(J$4&lt;'Get Started'!$G$43,0,offset(J234,0,-1*'Get Started'!$G$43)/$E234*'Get Started'!$H$43*$C360),0)+iferror(if(J$4&lt;'Get Started'!$G$44,0,offset(J234,0,-1*'Get Started'!$G$44)/$E234*'Get Started'!$H$44*$C360),0)+iferror(if(J$4&lt;'Get Started'!$G$45,0,offset(J234,0,-1*'Get Started'!$G$45)/$E234*'Get Started'!$H$45*$C360),0)+iferror(IF(J$4&lt;'Get Started'!$G$46,0,offset(J234,0,-1*'Get Started'!$G$46)/$E234*'Get Started'!$H$46*$C360),0)</f>
        <v>0</v>
      </c>
      <c r="K360" s="74">
        <f>iferror(if(K$4&lt;'Get Started'!$G$43,0,offset(K234,0,-1*'Get Started'!$G$43)/$E234*'Get Started'!$H$43*$C360),0)+iferror(if(K$4&lt;'Get Started'!$G$44,0,offset(K234,0,-1*'Get Started'!$G$44)/$E234*'Get Started'!$H$44*$C360),0)+iferror(if(K$4&lt;'Get Started'!$G$45,0,offset(K234,0,-1*'Get Started'!$G$45)/$E234*'Get Started'!$H$45*$C360),0)+iferror(IF(K$4&lt;'Get Started'!$G$46,0,offset(K234,0,-1*'Get Started'!$G$46)/$E234*'Get Started'!$H$46*$C360),0)</f>
        <v>0</v>
      </c>
      <c r="L360" s="74">
        <f>iferror(if(L$4&lt;'Get Started'!$G$43,0,offset(L234,0,-1*'Get Started'!$G$43)/$E234*'Get Started'!$H$43*$C360),0)+iferror(if(L$4&lt;'Get Started'!$G$44,0,offset(L234,0,-1*'Get Started'!$G$44)/$E234*'Get Started'!$H$44*$C360),0)+iferror(if(L$4&lt;'Get Started'!$G$45,0,offset(L234,0,-1*'Get Started'!$G$45)/$E234*'Get Started'!$H$45*$C360),0)+iferror(IF(L$4&lt;'Get Started'!$G$46,0,offset(L234,0,-1*'Get Started'!$G$46)/$E234*'Get Started'!$H$46*$C360),0)</f>
        <v>0</v>
      </c>
      <c r="M360" s="74">
        <f>iferror(if(M$4&lt;'Get Started'!$G$43,0,offset(M234,0,-1*'Get Started'!$G$43)/$E234*'Get Started'!$H$43*$C360),0)+iferror(if(M$4&lt;'Get Started'!$G$44,0,offset(M234,0,-1*'Get Started'!$G$44)/$E234*'Get Started'!$H$44*$C360),0)+iferror(if(M$4&lt;'Get Started'!$G$45,0,offset(M234,0,-1*'Get Started'!$G$45)/$E234*'Get Started'!$H$45*$C360),0)+iferror(IF(M$4&lt;'Get Started'!$G$46,0,offset(M234,0,-1*'Get Started'!$G$46)/$E234*'Get Started'!$H$46*$C360),0)</f>
        <v>0</v>
      </c>
      <c r="N360" s="74">
        <f>iferror(if(N$4&lt;'Get Started'!$G$43,0,offset(N234,0,-1*'Get Started'!$G$43)/$E234*'Get Started'!$H$43*$C360),0)+iferror(if(N$4&lt;'Get Started'!$G$44,0,offset(N234,0,-1*'Get Started'!$G$44)/$E234*'Get Started'!$H$44*$C360),0)+iferror(if(N$4&lt;'Get Started'!$G$45,0,offset(N234,0,-1*'Get Started'!$G$45)/$E234*'Get Started'!$H$45*$C360),0)+iferror(IF(N$4&lt;'Get Started'!$G$46,0,offset(N234,0,-1*'Get Started'!$G$46)/$E234*'Get Started'!$H$46*$C360),0)</f>
        <v>0</v>
      </c>
      <c r="O360" s="74">
        <f>iferror(if(O$4&lt;'Get Started'!$G$43,0,offset(O234,0,-1*'Get Started'!$G$43)/$E234*'Get Started'!$H$43*$C360),0)+iferror(if(O$4&lt;'Get Started'!$G$44,0,offset(O234,0,-1*'Get Started'!$G$44)/$E234*'Get Started'!$H$44*$C360),0)+iferror(if(O$4&lt;'Get Started'!$G$45,0,offset(O234,0,-1*'Get Started'!$G$45)/$E234*'Get Started'!$H$45*$C360),0)+iferror(IF(O$4&lt;'Get Started'!$G$46,0,offset(O234,0,-1*'Get Started'!$G$46)/$E234*'Get Started'!$H$46*$C360),0)</f>
        <v>0</v>
      </c>
      <c r="P360" s="74">
        <f>iferror(if(P$4&lt;'Get Started'!$G$43,0,offset(P234,0,-1*'Get Started'!$G$43)/$E234*'Get Started'!$H$43*$C360),0)+iferror(if(P$4&lt;'Get Started'!$G$44,0,offset(P234,0,-1*'Get Started'!$G$44)/$E234*'Get Started'!$H$44*$C360),0)+iferror(if(P$4&lt;'Get Started'!$G$45,0,offset(P234,0,-1*'Get Started'!$G$45)/$E234*'Get Started'!$H$45*$C360),0)+iferror(IF(P$4&lt;'Get Started'!$G$46,0,offset(P234,0,-1*'Get Started'!$G$46)/$E234*'Get Started'!$H$46*$C360),0)</f>
        <v>0</v>
      </c>
      <c r="Q360" s="74">
        <f>iferror(if(Q$4&lt;'Get Started'!$G$43,0,offset(Q234,0,-1*'Get Started'!$G$43)/$E234*'Get Started'!$H$43*$C360),0)+iferror(if(Q$4&lt;'Get Started'!$G$44,0,offset(Q234,0,-1*'Get Started'!$G$44)/$E234*'Get Started'!$H$44*$C360),0)+iferror(if(Q$4&lt;'Get Started'!$G$45,0,offset(Q234,0,-1*'Get Started'!$G$45)/$E234*'Get Started'!$H$45*$C360),0)+iferror(IF(Q$4&lt;'Get Started'!$G$46,0,offset(Q234,0,-1*'Get Started'!$G$46)/$E234*'Get Started'!$H$46*$C360),0)</f>
        <v>0</v>
      </c>
      <c r="R360" s="74">
        <f>iferror(if(R$4&lt;'Get Started'!$G$43,0,offset(R234,0,-1*'Get Started'!$G$43)/$E234*'Get Started'!$H$43*$C360),0)+iferror(if(R$4&lt;'Get Started'!$G$44,0,offset(R234,0,-1*'Get Started'!$G$44)/$E234*'Get Started'!$H$44*$C360),0)+iferror(if(R$4&lt;'Get Started'!$G$45,0,offset(R234,0,-1*'Get Started'!$G$45)/$E234*'Get Started'!$H$45*$C360),0)+iferror(IF(R$4&lt;'Get Started'!$G$46,0,offset(R234,0,-1*'Get Started'!$G$46)/$E234*'Get Started'!$H$46*$C360),0)</f>
        <v>0</v>
      </c>
      <c r="S360" s="74">
        <f>iferror(if(S$4&lt;'Get Started'!$G$43,0,offset(S234,0,-1*'Get Started'!$G$43)/$E234*'Get Started'!$H$43*$C360),0)+iferror(if(S$4&lt;'Get Started'!$G$44,0,offset(S234,0,-1*'Get Started'!$G$44)/$E234*'Get Started'!$H$44*$C360),0)+iferror(if(S$4&lt;'Get Started'!$G$45,0,offset(S234,0,-1*'Get Started'!$G$45)/$E234*'Get Started'!$H$45*$C360),0)+iferror(IF(S$4&lt;'Get Started'!$G$46,0,offset(S234,0,-1*'Get Started'!$G$46)/$E234*'Get Started'!$H$46*$C360),0)</f>
        <v>0</v>
      </c>
      <c r="T360" s="74">
        <f>iferror(if(T$4&lt;'Get Started'!$G$43,0,offset(T234,0,-1*'Get Started'!$G$43)/$E234*'Get Started'!$H$43*$C360),0)+iferror(if(T$4&lt;'Get Started'!$G$44,0,offset(T234,0,-1*'Get Started'!$G$44)/$E234*'Get Started'!$H$44*$C360),0)+iferror(if(T$4&lt;'Get Started'!$G$45,0,offset(T234,0,-1*'Get Started'!$G$45)/$E234*'Get Started'!$H$45*$C360),0)+iferror(IF(T$4&lt;'Get Started'!$G$46,0,offset(T234,0,-1*'Get Started'!$G$46)/$E234*'Get Started'!$H$46*$C360),0)</f>
        <v>0</v>
      </c>
      <c r="U360" s="74">
        <f>iferror(if(U$4&lt;'Get Started'!$G$43,0,offset(U234,0,-1*'Get Started'!$G$43)/$E234*'Get Started'!$H$43*$C360),0)+iferror(if(U$4&lt;'Get Started'!$G$44,0,offset(U234,0,-1*'Get Started'!$G$44)/$E234*'Get Started'!$H$44*$C360),0)+iferror(if(U$4&lt;'Get Started'!$G$45,0,offset(U234,0,-1*'Get Started'!$G$45)/$E234*'Get Started'!$H$45*$C360),0)+iferror(IF(U$4&lt;'Get Started'!$G$46,0,offset(U234,0,-1*'Get Started'!$G$46)/$E234*'Get Started'!$H$46*$C360),0)</f>
        <v>0</v>
      </c>
      <c r="V360" s="74">
        <f>iferror(if(V$4&lt;'Get Started'!$G$43,0,offset(V234,0,-1*'Get Started'!$G$43)/$E234*'Get Started'!$H$43*$C360),0)+iferror(if(V$4&lt;'Get Started'!$G$44,0,offset(V234,0,-1*'Get Started'!$G$44)/$E234*'Get Started'!$H$44*$C360),0)+iferror(if(V$4&lt;'Get Started'!$G$45,0,offset(V234,0,-1*'Get Started'!$G$45)/$E234*'Get Started'!$H$45*$C360),0)+iferror(IF(V$4&lt;'Get Started'!$G$46,0,offset(V234,0,-1*'Get Started'!$G$46)/$E234*'Get Started'!$H$46*$C360),0)</f>
        <v>0</v>
      </c>
      <c r="W360" s="74">
        <f>iferror(if(W$4&lt;'Get Started'!$G$43,0,offset(W234,0,-1*'Get Started'!$G$43)/$E234*'Get Started'!$H$43*$C360),0)+iferror(if(W$4&lt;'Get Started'!$G$44,0,offset(W234,0,-1*'Get Started'!$G$44)/$E234*'Get Started'!$H$44*$C360),0)+iferror(if(W$4&lt;'Get Started'!$G$45,0,offset(W234,0,-1*'Get Started'!$G$45)/$E234*'Get Started'!$H$45*$C360),0)+iferror(IF(W$4&lt;'Get Started'!$G$46,0,offset(W234,0,-1*'Get Started'!$G$46)/$E234*'Get Started'!$H$46*$C360),0)</f>
        <v>0</v>
      </c>
      <c r="X360" s="74">
        <f>iferror(if(X$4&lt;'Get Started'!$G$43,0,offset(X234,0,-1*'Get Started'!$G$43)/$E234*'Get Started'!$H$43*$C360),0)+iferror(if(X$4&lt;'Get Started'!$G$44,0,offset(X234,0,-1*'Get Started'!$G$44)/$E234*'Get Started'!$H$44*$C360),0)+iferror(if(X$4&lt;'Get Started'!$G$45,0,offset(X234,0,-1*'Get Started'!$G$45)/$E234*'Get Started'!$H$45*$C360),0)+iferror(IF(X$4&lt;'Get Started'!$G$46,0,offset(X234,0,-1*'Get Started'!$G$46)/$E234*'Get Started'!$H$46*$C360),0)</f>
        <v>0</v>
      </c>
      <c r="Y360" s="74">
        <f>iferror(if(Y$4&lt;'Get Started'!$G$43,0,offset(Y234,0,-1*'Get Started'!$G$43)/$E234*'Get Started'!$H$43*$C360),0)+iferror(if(Y$4&lt;'Get Started'!$G$44,0,offset(Y234,0,-1*'Get Started'!$G$44)/$E234*'Get Started'!$H$44*$C360),0)+iferror(if(Y$4&lt;'Get Started'!$G$45,0,offset(Y234,0,-1*'Get Started'!$G$45)/$E234*'Get Started'!$H$45*$C360),0)+iferror(IF(Y$4&lt;'Get Started'!$G$46,0,offset(Y234,0,-1*'Get Started'!$G$46)/$E234*'Get Started'!$H$46*$C360),0)</f>
        <v>0</v>
      </c>
      <c r="Z360" s="74">
        <f>iferror(if(Z$4&lt;'Get Started'!$G$43,0,offset(Z234,0,-1*'Get Started'!$G$43)/$E234*'Get Started'!$H$43*$C360),0)+iferror(if(Z$4&lt;'Get Started'!$G$44,0,offset(Z234,0,-1*'Get Started'!$G$44)/$E234*'Get Started'!$H$44*$C360),0)+iferror(if(Z$4&lt;'Get Started'!$G$45,0,offset(Z234,0,-1*'Get Started'!$G$45)/$E234*'Get Started'!$H$45*$C360),0)+iferror(IF(Z$4&lt;'Get Started'!$G$46,0,offset(Z234,0,-1*'Get Started'!$G$46)/$E234*'Get Started'!$H$46*$C360),0)</f>
        <v>0</v>
      </c>
    </row>
    <row r="361" hidden="1" outlineLevel="1">
      <c r="B361" s="93">
        <f t="shared" si="187"/>
        <v>14</v>
      </c>
      <c r="C361" s="77">
        <f>E256*'Get Started'!F$47</f>
        <v>0</v>
      </c>
      <c r="D361" s="16" t="s">
        <v>161</v>
      </c>
      <c r="E361" s="74">
        <f t="shared" si="108"/>
        <v>0</v>
      </c>
      <c r="F361" s="74"/>
      <c r="G361" s="74">
        <f>iferror(if(G$4&lt;'Get Started'!$G$43,0,offset(G235,0,-1*'Get Started'!$G$43)/$E235*'Get Started'!$H$43*$C361),0)+iferror(if(G$4&lt;'Get Started'!$G$44,0,offset(G235,0,-1*'Get Started'!$G$44)/$E235*'Get Started'!$H$44*$C361),0)+iferror(if(G$4&lt;'Get Started'!$G$45,0,offset(G235,0,-1*'Get Started'!$G$45)/$E235*'Get Started'!$H$45*$C361),0)+iferror(IF(G$4&lt;'Get Started'!$G$46,0,offset(G235,0,-1*'Get Started'!$G$46)/$E235*'Get Started'!$H$46*$C361),0)</f>
        <v>0</v>
      </c>
      <c r="H361" s="74">
        <f>iferror(if(H$4&lt;'Get Started'!$G$43,0,offset(H235,0,-1*'Get Started'!$G$43)/$E235*'Get Started'!$H$43*$C361),0)+iferror(if(H$4&lt;'Get Started'!$G$44,0,offset(H235,0,-1*'Get Started'!$G$44)/$E235*'Get Started'!$H$44*$C361),0)+iferror(if(H$4&lt;'Get Started'!$G$45,0,offset(H235,0,-1*'Get Started'!$G$45)/$E235*'Get Started'!$H$45*$C361),0)+iferror(IF(H$4&lt;'Get Started'!$G$46,0,offset(H235,0,-1*'Get Started'!$G$46)/$E235*'Get Started'!$H$46*$C361),0)</f>
        <v>0</v>
      </c>
      <c r="I361" s="74">
        <f>iferror(if(I$4&lt;'Get Started'!$G$43,0,offset(I235,0,-1*'Get Started'!$G$43)/$E235*'Get Started'!$H$43*$C361),0)+iferror(if(I$4&lt;'Get Started'!$G$44,0,offset(I235,0,-1*'Get Started'!$G$44)/$E235*'Get Started'!$H$44*$C361),0)+iferror(if(I$4&lt;'Get Started'!$G$45,0,offset(I235,0,-1*'Get Started'!$G$45)/$E235*'Get Started'!$H$45*$C361),0)+iferror(IF(I$4&lt;'Get Started'!$G$46,0,offset(I235,0,-1*'Get Started'!$G$46)/$E235*'Get Started'!$H$46*$C361),0)</f>
        <v>0</v>
      </c>
      <c r="J361" s="74">
        <f>iferror(if(J$4&lt;'Get Started'!$G$43,0,offset(J235,0,-1*'Get Started'!$G$43)/$E235*'Get Started'!$H$43*$C361),0)+iferror(if(J$4&lt;'Get Started'!$G$44,0,offset(J235,0,-1*'Get Started'!$G$44)/$E235*'Get Started'!$H$44*$C361),0)+iferror(if(J$4&lt;'Get Started'!$G$45,0,offset(J235,0,-1*'Get Started'!$G$45)/$E235*'Get Started'!$H$45*$C361),0)+iferror(IF(J$4&lt;'Get Started'!$G$46,0,offset(J235,0,-1*'Get Started'!$G$46)/$E235*'Get Started'!$H$46*$C361),0)</f>
        <v>0</v>
      </c>
      <c r="K361" s="74">
        <f>iferror(if(K$4&lt;'Get Started'!$G$43,0,offset(K235,0,-1*'Get Started'!$G$43)/$E235*'Get Started'!$H$43*$C361),0)+iferror(if(K$4&lt;'Get Started'!$G$44,0,offset(K235,0,-1*'Get Started'!$G$44)/$E235*'Get Started'!$H$44*$C361),0)+iferror(if(K$4&lt;'Get Started'!$G$45,0,offset(K235,0,-1*'Get Started'!$G$45)/$E235*'Get Started'!$H$45*$C361),0)+iferror(IF(K$4&lt;'Get Started'!$G$46,0,offset(K235,0,-1*'Get Started'!$G$46)/$E235*'Get Started'!$H$46*$C361),0)</f>
        <v>0</v>
      </c>
      <c r="L361" s="74">
        <f>iferror(if(L$4&lt;'Get Started'!$G$43,0,offset(L235,0,-1*'Get Started'!$G$43)/$E235*'Get Started'!$H$43*$C361),0)+iferror(if(L$4&lt;'Get Started'!$G$44,0,offset(L235,0,-1*'Get Started'!$G$44)/$E235*'Get Started'!$H$44*$C361),0)+iferror(if(L$4&lt;'Get Started'!$G$45,0,offset(L235,0,-1*'Get Started'!$G$45)/$E235*'Get Started'!$H$45*$C361),0)+iferror(IF(L$4&lt;'Get Started'!$G$46,0,offset(L235,0,-1*'Get Started'!$G$46)/$E235*'Get Started'!$H$46*$C361),0)</f>
        <v>0</v>
      </c>
      <c r="M361" s="74">
        <f>iferror(if(M$4&lt;'Get Started'!$G$43,0,offset(M235,0,-1*'Get Started'!$G$43)/$E235*'Get Started'!$H$43*$C361),0)+iferror(if(M$4&lt;'Get Started'!$G$44,0,offset(M235,0,-1*'Get Started'!$G$44)/$E235*'Get Started'!$H$44*$C361),0)+iferror(if(M$4&lt;'Get Started'!$G$45,0,offset(M235,0,-1*'Get Started'!$G$45)/$E235*'Get Started'!$H$45*$C361),0)+iferror(IF(M$4&lt;'Get Started'!$G$46,0,offset(M235,0,-1*'Get Started'!$G$46)/$E235*'Get Started'!$H$46*$C361),0)</f>
        <v>0</v>
      </c>
      <c r="N361" s="74">
        <f>iferror(if(N$4&lt;'Get Started'!$G$43,0,offset(N235,0,-1*'Get Started'!$G$43)/$E235*'Get Started'!$H$43*$C361),0)+iferror(if(N$4&lt;'Get Started'!$G$44,0,offset(N235,0,-1*'Get Started'!$G$44)/$E235*'Get Started'!$H$44*$C361),0)+iferror(if(N$4&lt;'Get Started'!$G$45,0,offset(N235,0,-1*'Get Started'!$G$45)/$E235*'Get Started'!$H$45*$C361),0)+iferror(IF(N$4&lt;'Get Started'!$G$46,0,offset(N235,0,-1*'Get Started'!$G$46)/$E235*'Get Started'!$H$46*$C361),0)</f>
        <v>0</v>
      </c>
      <c r="O361" s="74">
        <f>iferror(if(O$4&lt;'Get Started'!$G$43,0,offset(O235,0,-1*'Get Started'!$G$43)/$E235*'Get Started'!$H$43*$C361),0)+iferror(if(O$4&lt;'Get Started'!$G$44,0,offset(O235,0,-1*'Get Started'!$G$44)/$E235*'Get Started'!$H$44*$C361),0)+iferror(if(O$4&lt;'Get Started'!$G$45,0,offset(O235,0,-1*'Get Started'!$G$45)/$E235*'Get Started'!$H$45*$C361),0)+iferror(IF(O$4&lt;'Get Started'!$G$46,0,offset(O235,0,-1*'Get Started'!$G$46)/$E235*'Get Started'!$H$46*$C361),0)</f>
        <v>0</v>
      </c>
      <c r="P361" s="74">
        <f>iferror(if(P$4&lt;'Get Started'!$G$43,0,offset(P235,0,-1*'Get Started'!$G$43)/$E235*'Get Started'!$H$43*$C361),0)+iferror(if(P$4&lt;'Get Started'!$G$44,0,offset(P235,0,-1*'Get Started'!$G$44)/$E235*'Get Started'!$H$44*$C361),0)+iferror(if(P$4&lt;'Get Started'!$G$45,0,offset(P235,0,-1*'Get Started'!$G$45)/$E235*'Get Started'!$H$45*$C361),0)+iferror(IF(P$4&lt;'Get Started'!$G$46,0,offset(P235,0,-1*'Get Started'!$G$46)/$E235*'Get Started'!$H$46*$C361),0)</f>
        <v>0</v>
      </c>
      <c r="Q361" s="74">
        <f>iferror(if(Q$4&lt;'Get Started'!$G$43,0,offset(Q235,0,-1*'Get Started'!$G$43)/$E235*'Get Started'!$H$43*$C361),0)+iferror(if(Q$4&lt;'Get Started'!$G$44,0,offset(Q235,0,-1*'Get Started'!$G$44)/$E235*'Get Started'!$H$44*$C361),0)+iferror(if(Q$4&lt;'Get Started'!$G$45,0,offset(Q235,0,-1*'Get Started'!$G$45)/$E235*'Get Started'!$H$45*$C361),0)+iferror(IF(Q$4&lt;'Get Started'!$G$46,0,offset(Q235,0,-1*'Get Started'!$G$46)/$E235*'Get Started'!$H$46*$C361),0)</f>
        <v>0</v>
      </c>
      <c r="R361" s="74">
        <f>iferror(if(R$4&lt;'Get Started'!$G$43,0,offset(R235,0,-1*'Get Started'!$G$43)/$E235*'Get Started'!$H$43*$C361),0)+iferror(if(R$4&lt;'Get Started'!$G$44,0,offset(R235,0,-1*'Get Started'!$G$44)/$E235*'Get Started'!$H$44*$C361),0)+iferror(if(R$4&lt;'Get Started'!$G$45,0,offset(R235,0,-1*'Get Started'!$G$45)/$E235*'Get Started'!$H$45*$C361),0)+iferror(IF(R$4&lt;'Get Started'!$G$46,0,offset(R235,0,-1*'Get Started'!$G$46)/$E235*'Get Started'!$H$46*$C361),0)</f>
        <v>0</v>
      </c>
      <c r="S361" s="74">
        <f>iferror(if(S$4&lt;'Get Started'!$G$43,0,offset(S235,0,-1*'Get Started'!$G$43)/$E235*'Get Started'!$H$43*$C361),0)+iferror(if(S$4&lt;'Get Started'!$G$44,0,offset(S235,0,-1*'Get Started'!$G$44)/$E235*'Get Started'!$H$44*$C361),0)+iferror(if(S$4&lt;'Get Started'!$G$45,0,offset(S235,0,-1*'Get Started'!$G$45)/$E235*'Get Started'!$H$45*$C361),0)+iferror(IF(S$4&lt;'Get Started'!$G$46,0,offset(S235,0,-1*'Get Started'!$G$46)/$E235*'Get Started'!$H$46*$C361),0)</f>
        <v>0</v>
      </c>
      <c r="T361" s="74">
        <f>iferror(if(T$4&lt;'Get Started'!$G$43,0,offset(T235,0,-1*'Get Started'!$G$43)/$E235*'Get Started'!$H$43*$C361),0)+iferror(if(T$4&lt;'Get Started'!$G$44,0,offset(T235,0,-1*'Get Started'!$G$44)/$E235*'Get Started'!$H$44*$C361),0)+iferror(if(T$4&lt;'Get Started'!$G$45,0,offset(T235,0,-1*'Get Started'!$G$45)/$E235*'Get Started'!$H$45*$C361),0)+iferror(IF(T$4&lt;'Get Started'!$G$46,0,offset(T235,0,-1*'Get Started'!$G$46)/$E235*'Get Started'!$H$46*$C361),0)</f>
        <v>0</v>
      </c>
      <c r="U361" s="74">
        <f>iferror(if(U$4&lt;'Get Started'!$G$43,0,offset(U235,0,-1*'Get Started'!$G$43)/$E235*'Get Started'!$H$43*$C361),0)+iferror(if(U$4&lt;'Get Started'!$G$44,0,offset(U235,0,-1*'Get Started'!$G$44)/$E235*'Get Started'!$H$44*$C361),0)+iferror(if(U$4&lt;'Get Started'!$G$45,0,offset(U235,0,-1*'Get Started'!$G$45)/$E235*'Get Started'!$H$45*$C361),0)+iferror(IF(U$4&lt;'Get Started'!$G$46,0,offset(U235,0,-1*'Get Started'!$G$46)/$E235*'Get Started'!$H$46*$C361),0)</f>
        <v>0</v>
      </c>
      <c r="V361" s="74">
        <f>iferror(if(V$4&lt;'Get Started'!$G$43,0,offset(V235,0,-1*'Get Started'!$G$43)/$E235*'Get Started'!$H$43*$C361),0)+iferror(if(V$4&lt;'Get Started'!$G$44,0,offset(V235,0,-1*'Get Started'!$G$44)/$E235*'Get Started'!$H$44*$C361),0)+iferror(if(V$4&lt;'Get Started'!$G$45,0,offset(V235,0,-1*'Get Started'!$G$45)/$E235*'Get Started'!$H$45*$C361),0)+iferror(IF(V$4&lt;'Get Started'!$G$46,0,offset(V235,0,-1*'Get Started'!$G$46)/$E235*'Get Started'!$H$46*$C361),0)</f>
        <v>0</v>
      </c>
      <c r="W361" s="74">
        <f>iferror(if(W$4&lt;'Get Started'!$G$43,0,offset(W235,0,-1*'Get Started'!$G$43)/$E235*'Get Started'!$H$43*$C361),0)+iferror(if(W$4&lt;'Get Started'!$G$44,0,offset(W235,0,-1*'Get Started'!$G$44)/$E235*'Get Started'!$H$44*$C361),0)+iferror(if(W$4&lt;'Get Started'!$G$45,0,offset(W235,0,-1*'Get Started'!$G$45)/$E235*'Get Started'!$H$45*$C361),0)+iferror(IF(W$4&lt;'Get Started'!$G$46,0,offset(W235,0,-1*'Get Started'!$G$46)/$E235*'Get Started'!$H$46*$C361),0)</f>
        <v>0</v>
      </c>
      <c r="X361" s="74">
        <f>iferror(if(X$4&lt;'Get Started'!$G$43,0,offset(X235,0,-1*'Get Started'!$G$43)/$E235*'Get Started'!$H$43*$C361),0)+iferror(if(X$4&lt;'Get Started'!$G$44,0,offset(X235,0,-1*'Get Started'!$G$44)/$E235*'Get Started'!$H$44*$C361),0)+iferror(if(X$4&lt;'Get Started'!$G$45,0,offset(X235,0,-1*'Get Started'!$G$45)/$E235*'Get Started'!$H$45*$C361),0)+iferror(IF(X$4&lt;'Get Started'!$G$46,0,offset(X235,0,-1*'Get Started'!$G$46)/$E235*'Get Started'!$H$46*$C361),0)</f>
        <v>0</v>
      </c>
      <c r="Y361" s="74">
        <f>iferror(if(Y$4&lt;'Get Started'!$G$43,0,offset(Y235,0,-1*'Get Started'!$G$43)/$E235*'Get Started'!$H$43*$C361),0)+iferror(if(Y$4&lt;'Get Started'!$G$44,0,offset(Y235,0,-1*'Get Started'!$G$44)/$E235*'Get Started'!$H$44*$C361),0)+iferror(if(Y$4&lt;'Get Started'!$G$45,0,offset(Y235,0,-1*'Get Started'!$G$45)/$E235*'Get Started'!$H$45*$C361),0)+iferror(IF(Y$4&lt;'Get Started'!$G$46,0,offset(Y235,0,-1*'Get Started'!$G$46)/$E235*'Get Started'!$H$46*$C361),0)</f>
        <v>0</v>
      </c>
      <c r="Z361" s="74">
        <f>iferror(if(Z$4&lt;'Get Started'!$G$43,0,offset(Z235,0,-1*'Get Started'!$G$43)/$E235*'Get Started'!$H$43*$C361),0)+iferror(if(Z$4&lt;'Get Started'!$G$44,0,offset(Z235,0,-1*'Get Started'!$G$44)/$E235*'Get Started'!$H$44*$C361),0)+iferror(if(Z$4&lt;'Get Started'!$G$45,0,offset(Z235,0,-1*'Get Started'!$G$45)/$E235*'Get Started'!$H$45*$C361),0)+iferror(IF(Z$4&lt;'Get Started'!$G$46,0,offset(Z235,0,-1*'Get Started'!$G$46)/$E235*'Get Started'!$H$46*$C361),0)</f>
        <v>0</v>
      </c>
    </row>
    <row r="362" hidden="1" outlineLevel="1">
      <c r="B362" s="93">
        <f t="shared" si="187"/>
        <v>15</v>
      </c>
      <c r="C362" s="77">
        <f>E257*'Get Started'!F$47</f>
        <v>0</v>
      </c>
      <c r="D362" s="16" t="s">
        <v>161</v>
      </c>
      <c r="E362" s="74">
        <f t="shared" si="108"/>
        <v>0</v>
      </c>
      <c r="F362" s="74"/>
      <c r="G362" s="74">
        <f>iferror(if(G$4&lt;'Get Started'!$G$43,0,offset(G236,0,-1*'Get Started'!$G$43)/$E236*'Get Started'!$H$43*$C362),0)+iferror(if(G$4&lt;'Get Started'!$G$44,0,offset(G236,0,-1*'Get Started'!$G$44)/$E236*'Get Started'!$H$44*$C362),0)+iferror(if(G$4&lt;'Get Started'!$G$45,0,offset(G236,0,-1*'Get Started'!$G$45)/$E236*'Get Started'!$H$45*$C362),0)+iferror(IF(G$4&lt;'Get Started'!$G$46,0,offset(G236,0,-1*'Get Started'!$G$46)/$E236*'Get Started'!$H$46*$C362),0)</f>
        <v>0</v>
      </c>
      <c r="H362" s="74">
        <f>iferror(if(H$4&lt;'Get Started'!$G$43,0,offset(H236,0,-1*'Get Started'!$G$43)/$E236*'Get Started'!$H$43*$C362),0)+iferror(if(H$4&lt;'Get Started'!$G$44,0,offset(H236,0,-1*'Get Started'!$G$44)/$E236*'Get Started'!$H$44*$C362),0)+iferror(if(H$4&lt;'Get Started'!$G$45,0,offset(H236,0,-1*'Get Started'!$G$45)/$E236*'Get Started'!$H$45*$C362),0)+iferror(IF(H$4&lt;'Get Started'!$G$46,0,offset(H236,0,-1*'Get Started'!$G$46)/$E236*'Get Started'!$H$46*$C362),0)</f>
        <v>0</v>
      </c>
      <c r="I362" s="74">
        <f>iferror(if(I$4&lt;'Get Started'!$G$43,0,offset(I236,0,-1*'Get Started'!$G$43)/$E236*'Get Started'!$H$43*$C362),0)+iferror(if(I$4&lt;'Get Started'!$G$44,0,offset(I236,0,-1*'Get Started'!$G$44)/$E236*'Get Started'!$H$44*$C362),0)+iferror(if(I$4&lt;'Get Started'!$G$45,0,offset(I236,0,-1*'Get Started'!$G$45)/$E236*'Get Started'!$H$45*$C362),0)+iferror(IF(I$4&lt;'Get Started'!$G$46,0,offset(I236,0,-1*'Get Started'!$G$46)/$E236*'Get Started'!$H$46*$C362),0)</f>
        <v>0</v>
      </c>
      <c r="J362" s="74">
        <f>iferror(if(J$4&lt;'Get Started'!$G$43,0,offset(J236,0,-1*'Get Started'!$G$43)/$E236*'Get Started'!$H$43*$C362),0)+iferror(if(J$4&lt;'Get Started'!$G$44,0,offset(J236,0,-1*'Get Started'!$G$44)/$E236*'Get Started'!$H$44*$C362),0)+iferror(if(J$4&lt;'Get Started'!$G$45,0,offset(J236,0,-1*'Get Started'!$G$45)/$E236*'Get Started'!$H$45*$C362),0)+iferror(IF(J$4&lt;'Get Started'!$G$46,0,offset(J236,0,-1*'Get Started'!$G$46)/$E236*'Get Started'!$H$46*$C362),0)</f>
        <v>0</v>
      </c>
      <c r="K362" s="74">
        <f>iferror(if(K$4&lt;'Get Started'!$G$43,0,offset(K236,0,-1*'Get Started'!$G$43)/$E236*'Get Started'!$H$43*$C362),0)+iferror(if(K$4&lt;'Get Started'!$G$44,0,offset(K236,0,-1*'Get Started'!$G$44)/$E236*'Get Started'!$H$44*$C362),0)+iferror(if(K$4&lt;'Get Started'!$G$45,0,offset(K236,0,-1*'Get Started'!$G$45)/$E236*'Get Started'!$H$45*$C362),0)+iferror(IF(K$4&lt;'Get Started'!$G$46,0,offset(K236,0,-1*'Get Started'!$G$46)/$E236*'Get Started'!$H$46*$C362),0)</f>
        <v>0</v>
      </c>
      <c r="L362" s="74">
        <f>iferror(if(L$4&lt;'Get Started'!$G$43,0,offset(L236,0,-1*'Get Started'!$G$43)/$E236*'Get Started'!$H$43*$C362),0)+iferror(if(L$4&lt;'Get Started'!$G$44,0,offset(L236,0,-1*'Get Started'!$G$44)/$E236*'Get Started'!$H$44*$C362),0)+iferror(if(L$4&lt;'Get Started'!$G$45,0,offset(L236,0,-1*'Get Started'!$G$45)/$E236*'Get Started'!$H$45*$C362),0)+iferror(IF(L$4&lt;'Get Started'!$G$46,0,offset(L236,0,-1*'Get Started'!$G$46)/$E236*'Get Started'!$H$46*$C362),0)</f>
        <v>0</v>
      </c>
      <c r="M362" s="74">
        <f>iferror(if(M$4&lt;'Get Started'!$G$43,0,offset(M236,0,-1*'Get Started'!$G$43)/$E236*'Get Started'!$H$43*$C362),0)+iferror(if(M$4&lt;'Get Started'!$G$44,0,offset(M236,0,-1*'Get Started'!$G$44)/$E236*'Get Started'!$H$44*$C362),0)+iferror(if(M$4&lt;'Get Started'!$G$45,0,offset(M236,0,-1*'Get Started'!$G$45)/$E236*'Get Started'!$H$45*$C362),0)+iferror(IF(M$4&lt;'Get Started'!$G$46,0,offset(M236,0,-1*'Get Started'!$G$46)/$E236*'Get Started'!$H$46*$C362),0)</f>
        <v>0</v>
      </c>
      <c r="N362" s="74">
        <f>iferror(if(N$4&lt;'Get Started'!$G$43,0,offset(N236,0,-1*'Get Started'!$G$43)/$E236*'Get Started'!$H$43*$C362),0)+iferror(if(N$4&lt;'Get Started'!$G$44,0,offset(N236,0,-1*'Get Started'!$G$44)/$E236*'Get Started'!$H$44*$C362),0)+iferror(if(N$4&lt;'Get Started'!$G$45,0,offset(N236,0,-1*'Get Started'!$G$45)/$E236*'Get Started'!$H$45*$C362),0)+iferror(IF(N$4&lt;'Get Started'!$G$46,0,offset(N236,0,-1*'Get Started'!$G$46)/$E236*'Get Started'!$H$46*$C362),0)</f>
        <v>0</v>
      </c>
      <c r="O362" s="74">
        <f>iferror(if(O$4&lt;'Get Started'!$G$43,0,offset(O236,0,-1*'Get Started'!$G$43)/$E236*'Get Started'!$H$43*$C362),0)+iferror(if(O$4&lt;'Get Started'!$G$44,0,offset(O236,0,-1*'Get Started'!$G$44)/$E236*'Get Started'!$H$44*$C362),0)+iferror(if(O$4&lt;'Get Started'!$G$45,0,offset(O236,0,-1*'Get Started'!$G$45)/$E236*'Get Started'!$H$45*$C362),0)+iferror(IF(O$4&lt;'Get Started'!$G$46,0,offset(O236,0,-1*'Get Started'!$G$46)/$E236*'Get Started'!$H$46*$C362),0)</f>
        <v>0</v>
      </c>
      <c r="P362" s="74">
        <f>iferror(if(P$4&lt;'Get Started'!$G$43,0,offset(P236,0,-1*'Get Started'!$G$43)/$E236*'Get Started'!$H$43*$C362),0)+iferror(if(P$4&lt;'Get Started'!$G$44,0,offset(P236,0,-1*'Get Started'!$G$44)/$E236*'Get Started'!$H$44*$C362),0)+iferror(if(P$4&lt;'Get Started'!$G$45,0,offset(P236,0,-1*'Get Started'!$G$45)/$E236*'Get Started'!$H$45*$C362),0)+iferror(IF(P$4&lt;'Get Started'!$G$46,0,offset(P236,0,-1*'Get Started'!$G$46)/$E236*'Get Started'!$H$46*$C362),0)</f>
        <v>0</v>
      </c>
      <c r="Q362" s="74">
        <f>iferror(if(Q$4&lt;'Get Started'!$G$43,0,offset(Q236,0,-1*'Get Started'!$G$43)/$E236*'Get Started'!$H$43*$C362),0)+iferror(if(Q$4&lt;'Get Started'!$G$44,0,offset(Q236,0,-1*'Get Started'!$G$44)/$E236*'Get Started'!$H$44*$C362),0)+iferror(if(Q$4&lt;'Get Started'!$G$45,0,offset(Q236,0,-1*'Get Started'!$G$45)/$E236*'Get Started'!$H$45*$C362),0)+iferror(IF(Q$4&lt;'Get Started'!$G$46,0,offset(Q236,0,-1*'Get Started'!$G$46)/$E236*'Get Started'!$H$46*$C362),0)</f>
        <v>0</v>
      </c>
      <c r="R362" s="74">
        <f>iferror(if(R$4&lt;'Get Started'!$G$43,0,offset(R236,0,-1*'Get Started'!$G$43)/$E236*'Get Started'!$H$43*$C362),0)+iferror(if(R$4&lt;'Get Started'!$G$44,0,offset(R236,0,-1*'Get Started'!$G$44)/$E236*'Get Started'!$H$44*$C362),0)+iferror(if(R$4&lt;'Get Started'!$G$45,0,offset(R236,0,-1*'Get Started'!$G$45)/$E236*'Get Started'!$H$45*$C362),0)+iferror(IF(R$4&lt;'Get Started'!$G$46,0,offset(R236,0,-1*'Get Started'!$G$46)/$E236*'Get Started'!$H$46*$C362),0)</f>
        <v>0</v>
      </c>
      <c r="S362" s="74">
        <f>iferror(if(S$4&lt;'Get Started'!$G$43,0,offset(S236,0,-1*'Get Started'!$G$43)/$E236*'Get Started'!$H$43*$C362),0)+iferror(if(S$4&lt;'Get Started'!$G$44,0,offset(S236,0,-1*'Get Started'!$G$44)/$E236*'Get Started'!$H$44*$C362),0)+iferror(if(S$4&lt;'Get Started'!$G$45,0,offset(S236,0,-1*'Get Started'!$G$45)/$E236*'Get Started'!$H$45*$C362),0)+iferror(IF(S$4&lt;'Get Started'!$G$46,0,offset(S236,0,-1*'Get Started'!$G$46)/$E236*'Get Started'!$H$46*$C362),0)</f>
        <v>0</v>
      </c>
      <c r="T362" s="74">
        <f>iferror(if(T$4&lt;'Get Started'!$G$43,0,offset(T236,0,-1*'Get Started'!$G$43)/$E236*'Get Started'!$H$43*$C362),0)+iferror(if(T$4&lt;'Get Started'!$G$44,0,offset(T236,0,-1*'Get Started'!$G$44)/$E236*'Get Started'!$H$44*$C362),0)+iferror(if(T$4&lt;'Get Started'!$G$45,0,offset(T236,0,-1*'Get Started'!$G$45)/$E236*'Get Started'!$H$45*$C362),0)+iferror(IF(T$4&lt;'Get Started'!$G$46,0,offset(T236,0,-1*'Get Started'!$G$46)/$E236*'Get Started'!$H$46*$C362),0)</f>
        <v>0</v>
      </c>
      <c r="U362" s="74">
        <f>iferror(if(U$4&lt;'Get Started'!$G$43,0,offset(U236,0,-1*'Get Started'!$G$43)/$E236*'Get Started'!$H$43*$C362),0)+iferror(if(U$4&lt;'Get Started'!$G$44,0,offset(U236,0,-1*'Get Started'!$G$44)/$E236*'Get Started'!$H$44*$C362),0)+iferror(if(U$4&lt;'Get Started'!$G$45,0,offset(U236,0,-1*'Get Started'!$G$45)/$E236*'Get Started'!$H$45*$C362),0)+iferror(IF(U$4&lt;'Get Started'!$G$46,0,offset(U236,0,-1*'Get Started'!$G$46)/$E236*'Get Started'!$H$46*$C362),0)</f>
        <v>0</v>
      </c>
      <c r="V362" s="74">
        <f>iferror(if(V$4&lt;'Get Started'!$G$43,0,offset(V236,0,-1*'Get Started'!$G$43)/$E236*'Get Started'!$H$43*$C362),0)+iferror(if(V$4&lt;'Get Started'!$G$44,0,offset(V236,0,-1*'Get Started'!$G$44)/$E236*'Get Started'!$H$44*$C362),0)+iferror(if(V$4&lt;'Get Started'!$G$45,0,offset(V236,0,-1*'Get Started'!$G$45)/$E236*'Get Started'!$H$45*$C362),0)+iferror(IF(V$4&lt;'Get Started'!$G$46,0,offset(V236,0,-1*'Get Started'!$G$46)/$E236*'Get Started'!$H$46*$C362),0)</f>
        <v>0</v>
      </c>
      <c r="W362" s="74">
        <f>iferror(if(W$4&lt;'Get Started'!$G$43,0,offset(W236,0,-1*'Get Started'!$G$43)/$E236*'Get Started'!$H$43*$C362),0)+iferror(if(W$4&lt;'Get Started'!$G$44,0,offset(W236,0,-1*'Get Started'!$G$44)/$E236*'Get Started'!$H$44*$C362),0)+iferror(if(W$4&lt;'Get Started'!$G$45,0,offset(W236,0,-1*'Get Started'!$G$45)/$E236*'Get Started'!$H$45*$C362),0)+iferror(IF(W$4&lt;'Get Started'!$G$46,0,offset(W236,0,-1*'Get Started'!$G$46)/$E236*'Get Started'!$H$46*$C362),0)</f>
        <v>0</v>
      </c>
      <c r="X362" s="74">
        <f>iferror(if(X$4&lt;'Get Started'!$G$43,0,offset(X236,0,-1*'Get Started'!$G$43)/$E236*'Get Started'!$H$43*$C362),0)+iferror(if(X$4&lt;'Get Started'!$G$44,0,offset(X236,0,-1*'Get Started'!$G$44)/$E236*'Get Started'!$H$44*$C362),0)+iferror(if(X$4&lt;'Get Started'!$G$45,0,offset(X236,0,-1*'Get Started'!$G$45)/$E236*'Get Started'!$H$45*$C362),0)+iferror(IF(X$4&lt;'Get Started'!$G$46,0,offset(X236,0,-1*'Get Started'!$G$46)/$E236*'Get Started'!$H$46*$C362),0)</f>
        <v>0</v>
      </c>
      <c r="Y362" s="74">
        <f>iferror(if(Y$4&lt;'Get Started'!$G$43,0,offset(Y236,0,-1*'Get Started'!$G$43)/$E236*'Get Started'!$H$43*$C362),0)+iferror(if(Y$4&lt;'Get Started'!$G$44,0,offset(Y236,0,-1*'Get Started'!$G$44)/$E236*'Get Started'!$H$44*$C362),0)+iferror(if(Y$4&lt;'Get Started'!$G$45,0,offset(Y236,0,-1*'Get Started'!$G$45)/$E236*'Get Started'!$H$45*$C362),0)+iferror(IF(Y$4&lt;'Get Started'!$G$46,0,offset(Y236,0,-1*'Get Started'!$G$46)/$E236*'Get Started'!$H$46*$C362),0)</f>
        <v>0</v>
      </c>
      <c r="Z362" s="74">
        <f>iferror(if(Z$4&lt;'Get Started'!$G$43,0,offset(Z236,0,-1*'Get Started'!$G$43)/$E236*'Get Started'!$H$43*$C362),0)+iferror(if(Z$4&lt;'Get Started'!$G$44,0,offset(Z236,0,-1*'Get Started'!$G$44)/$E236*'Get Started'!$H$44*$C362),0)+iferror(if(Z$4&lt;'Get Started'!$G$45,0,offset(Z236,0,-1*'Get Started'!$G$45)/$E236*'Get Started'!$H$45*$C362),0)+iferror(IF(Z$4&lt;'Get Started'!$G$46,0,offset(Z236,0,-1*'Get Started'!$G$46)/$E236*'Get Started'!$H$46*$C362),0)</f>
        <v>0</v>
      </c>
    </row>
    <row r="363" hidden="1" outlineLevel="1">
      <c r="B363" s="93">
        <f t="shared" si="187"/>
        <v>16</v>
      </c>
      <c r="C363" s="77">
        <f>E258*'Get Started'!F$47</f>
        <v>0</v>
      </c>
      <c r="D363" s="16" t="s">
        <v>161</v>
      </c>
      <c r="E363" s="74">
        <f t="shared" si="108"/>
        <v>0</v>
      </c>
      <c r="F363" s="74"/>
      <c r="G363" s="74">
        <f>iferror(if(G$4&lt;'Get Started'!$G$43,0,offset(G237,0,-1*'Get Started'!$G$43)/$E237*'Get Started'!$H$43*$C363),0)+iferror(if(G$4&lt;'Get Started'!$G$44,0,offset(G237,0,-1*'Get Started'!$G$44)/$E237*'Get Started'!$H$44*$C363),0)+iferror(if(G$4&lt;'Get Started'!$G$45,0,offset(G237,0,-1*'Get Started'!$G$45)/$E237*'Get Started'!$H$45*$C363),0)+iferror(IF(G$4&lt;'Get Started'!$G$46,0,offset(G237,0,-1*'Get Started'!$G$46)/$E237*'Get Started'!$H$46*$C363),0)</f>
        <v>0</v>
      </c>
      <c r="H363" s="74">
        <f>iferror(if(H$4&lt;'Get Started'!$G$43,0,offset(H237,0,-1*'Get Started'!$G$43)/$E237*'Get Started'!$H$43*$C363),0)+iferror(if(H$4&lt;'Get Started'!$G$44,0,offset(H237,0,-1*'Get Started'!$G$44)/$E237*'Get Started'!$H$44*$C363),0)+iferror(if(H$4&lt;'Get Started'!$G$45,0,offset(H237,0,-1*'Get Started'!$G$45)/$E237*'Get Started'!$H$45*$C363),0)+iferror(IF(H$4&lt;'Get Started'!$G$46,0,offset(H237,0,-1*'Get Started'!$G$46)/$E237*'Get Started'!$H$46*$C363),0)</f>
        <v>0</v>
      </c>
      <c r="I363" s="74">
        <f>iferror(if(I$4&lt;'Get Started'!$G$43,0,offset(I237,0,-1*'Get Started'!$G$43)/$E237*'Get Started'!$H$43*$C363),0)+iferror(if(I$4&lt;'Get Started'!$G$44,0,offset(I237,0,-1*'Get Started'!$G$44)/$E237*'Get Started'!$H$44*$C363),0)+iferror(if(I$4&lt;'Get Started'!$G$45,0,offset(I237,0,-1*'Get Started'!$G$45)/$E237*'Get Started'!$H$45*$C363),0)+iferror(IF(I$4&lt;'Get Started'!$G$46,0,offset(I237,0,-1*'Get Started'!$G$46)/$E237*'Get Started'!$H$46*$C363),0)</f>
        <v>0</v>
      </c>
      <c r="J363" s="74">
        <f>iferror(if(J$4&lt;'Get Started'!$G$43,0,offset(J237,0,-1*'Get Started'!$G$43)/$E237*'Get Started'!$H$43*$C363),0)+iferror(if(J$4&lt;'Get Started'!$G$44,0,offset(J237,0,-1*'Get Started'!$G$44)/$E237*'Get Started'!$H$44*$C363),0)+iferror(if(J$4&lt;'Get Started'!$G$45,0,offset(J237,0,-1*'Get Started'!$G$45)/$E237*'Get Started'!$H$45*$C363),0)+iferror(IF(J$4&lt;'Get Started'!$G$46,0,offset(J237,0,-1*'Get Started'!$G$46)/$E237*'Get Started'!$H$46*$C363),0)</f>
        <v>0</v>
      </c>
      <c r="K363" s="74">
        <f>iferror(if(K$4&lt;'Get Started'!$G$43,0,offset(K237,0,-1*'Get Started'!$G$43)/$E237*'Get Started'!$H$43*$C363),0)+iferror(if(K$4&lt;'Get Started'!$G$44,0,offset(K237,0,-1*'Get Started'!$G$44)/$E237*'Get Started'!$H$44*$C363),0)+iferror(if(K$4&lt;'Get Started'!$G$45,0,offset(K237,0,-1*'Get Started'!$G$45)/$E237*'Get Started'!$H$45*$C363),0)+iferror(IF(K$4&lt;'Get Started'!$G$46,0,offset(K237,0,-1*'Get Started'!$G$46)/$E237*'Get Started'!$H$46*$C363),0)</f>
        <v>0</v>
      </c>
      <c r="L363" s="74">
        <f>iferror(if(L$4&lt;'Get Started'!$G$43,0,offset(L237,0,-1*'Get Started'!$G$43)/$E237*'Get Started'!$H$43*$C363),0)+iferror(if(L$4&lt;'Get Started'!$G$44,0,offset(L237,0,-1*'Get Started'!$G$44)/$E237*'Get Started'!$H$44*$C363),0)+iferror(if(L$4&lt;'Get Started'!$G$45,0,offset(L237,0,-1*'Get Started'!$G$45)/$E237*'Get Started'!$H$45*$C363),0)+iferror(IF(L$4&lt;'Get Started'!$G$46,0,offset(L237,0,-1*'Get Started'!$G$46)/$E237*'Get Started'!$H$46*$C363),0)</f>
        <v>0</v>
      </c>
      <c r="M363" s="74">
        <f>iferror(if(M$4&lt;'Get Started'!$G$43,0,offset(M237,0,-1*'Get Started'!$G$43)/$E237*'Get Started'!$H$43*$C363),0)+iferror(if(M$4&lt;'Get Started'!$G$44,0,offset(M237,0,-1*'Get Started'!$G$44)/$E237*'Get Started'!$H$44*$C363),0)+iferror(if(M$4&lt;'Get Started'!$G$45,0,offset(M237,0,-1*'Get Started'!$G$45)/$E237*'Get Started'!$H$45*$C363),0)+iferror(IF(M$4&lt;'Get Started'!$G$46,0,offset(M237,0,-1*'Get Started'!$G$46)/$E237*'Get Started'!$H$46*$C363),0)</f>
        <v>0</v>
      </c>
      <c r="N363" s="74">
        <f>iferror(if(N$4&lt;'Get Started'!$G$43,0,offset(N237,0,-1*'Get Started'!$G$43)/$E237*'Get Started'!$H$43*$C363),0)+iferror(if(N$4&lt;'Get Started'!$G$44,0,offset(N237,0,-1*'Get Started'!$G$44)/$E237*'Get Started'!$H$44*$C363),0)+iferror(if(N$4&lt;'Get Started'!$G$45,0,offset(N237,0,-1*'Get Started'!$G$45)/$E237*'Get Started'!$H$45*$C363),0)+iferror(IF(N$4&lt;'Get Started'!$G$46,0,offset(N237,0,-1*'Get Started'!$G$46)/$E237*'Get Started'!$H$46*$C363),0)</f>
        <v>0</v>
      </c>
      <c r="O363" s="74">
        <f>iferror(if(O$4&lt;'Get Started'!$G$43,0,offset(O237,0,-1*'Get Started'!$G$43)/$E237*'Get Started'!$H$43*$C363),0)+iferror(if(O$4&lt;'Get Started'!$G$44,0,offset(O237,0,-1*'Get Started'!$G$44)/$E237*'Get Started'!$H$44*$C363),0)+iferror(if(O$4&lt;'Get Started'!$G$45,0,offset(O237,0,-1*'Get Started'!$G$45)/$E237*'Get Started'!$H$45*$C363),0)+iferror(IF(O$4&lt;'Get Started'!$G$46,0,offset(O237,0,-1*'Get Started'!$G$46)/$E237*'Get Started'!$H$46*$C363),0)</f>
        <v>0</v>
      </c>
      <c r="P363" s="74">
        <f>iferror(if(P$4&lt;'Get Started'!$G$43,0,offset(P237,0,-1*'Get Started'!$G$43)/$E237*'Get Started'!$H$43*$C363),0)+iferror(if(P$4&lt;'Get Started'!$G$44,0,offset(P237,0,-1*'Get Started'!$G$44)/$E237*'Get Started'!$H$44*$C363),0)+iferror(if(P$4&lt;'Get Started'!$G$45,0,offset(P237,0,-1*'Get Started'!$G$45)/$E237*'Get Started'!$H$45*$C363),0)+iferror(IF(P$4&lt;'Get Started'!$G$46,0,offset(P237,0,-1*'Get Started'!$G$46)/$E237*'Get Started'!$H$46*$C363),0)</f>
        <v>0</v>
      </c>
      <c r="Q363" s="74">
        <f>iferror(if(Q$4&lt;'Get Started'!$G$43,0,offset(Q237,0,-1*'Get Started'!$G$43)/$E237*'Get Started'!$H$43*$C363),0)+iferror(if(Q$4&lt;'Get Started'!$G$44,0,offset(Q237,0,-1*'Get Started'!$G$44)/$E237*'Get Started'!$H$44*$C363),0)+iferror(if(Q$4&lt;'Get Started'!$G$45,0,offset(Q237,0,-1*'Get Started'!$G$45)/$E237*'Get Started'!$H$45*$C363),0)+iferror(IF(Q$4&lt;'Get Started'!$G$46,0,offset(Q237,0,-1*'Get Started'!$G$46)/$E237*'Get Started'!$H$46*$C363),0)</f>
        <v>0</v>
      </c>
      <c r="R363" s="74">
        <f>iferror(if(R$4&lt;'Get Started'!$G$43,0,offset(R237,0,-1*'Get Started'!$G$43)/$E237*'Get Started'!$H$43*$C363),0)+iferror(if(R$4&lt;'Get Started'!$G$44,0,offset(R237,0,-1*'Get Started'!$G$44)/$E237*'Get Started'!$H$44*$C363),0)+iferror(if(R$4&lt;'Get Started'!$G$45,0,offset(R237,0,-1*'Get Started'!$G$45)/$E237*'Get Started'!$H$45*$C363),0)+iferror(IF(R$4&lt;'Get Started'!$G$46,0,offset(R237,0,-1*'Get Started'!$G$46)/$E237*'Get Started'!$H$46*$C363),0)</f>
        <v>0</v>
      </c>
      <c r="S363" s="74">
        <f>iferror(if(S$4&lt;'Get Started'!$G$43,0,offset(S237,0,-1*'Get Started'!$G$43)/$E237*'Get Started'!$H$43*$C363),0)+iferror(if(S$4&lt;'Get Started'!$G$44,0,offset(S237,0,-1*'Get Started'!$G$44)/$E237*'Get Started'!$H$44*$C363),0)+iferror(if(S$4&lt;'Get Started'!$G$45,0,offset(S237,0,-1*'Get Started'!$G$45)/$E237*'Get Started'!$H$45*$C363),0)+iferror(IF(S$4&lt;'Get Started'!$G$46,0,offset(S237,0,-1*'Get Started'!$G$46)/$E237*'Get Started'!$H$46*$C363),0)</f>
        <v>0</v>
      </c>
      <c r="T363" s="74">
        <f>iferror(if(T$4&lt;'Get Started'!$G$43,0,offset(T237,0,-1*'Get Started'!$G$43)/$E237*'Get Started'!$H$43*$C363),0)+iferror(if(T$4&lt;'Get Started'!$G$44,0,offset(T237,0,-1*'Get Started'!$G$44)/$E237*'Get Started'!$H$44*$C363),0)+iferror(if(T$4&lt;'Get Started'!$G$45,0,offset(T237,0,-1*'Get Started'!$G$45)/$E237*'Get Started'!$H$45*$C363),0)+iferror(IF(T$4&lt;'Get Started'!$G$46,0,offset(T237,0,-1*'Get Started'!$G$46)/$E237*'Get Started'!$H$46*$C363),0)</f>
        <v>0</v>
      </c>
      <c r="U363" s="74">
        <f>iferror(if(U$4&lt;'Get Started'!$G$43,0,offset(U237,0,-1*'Get Started'!$G$43)/$E237*'Get Started'!$H$43*$C363),0)+iferror(if(U$4&lt;'Get Started'!$G$44,0,offset(U237,0,-1*'Get Started'!$G$44)/$E237*'Get Started'!$H$44*$C363),0)+iferror(if(U$4&lt;'Get Started'!$G$45,0,offset(U237,0,-1*'Get Started'!$G$45)/$E237*'Get Started'!$H$45*$C363),0)+iferror(IF(U$4&lt;'Get Started'!$G$46,0,offset(U237,0,-1*'Get Started'!$G$46)/$E237*'Get Started'!$H$46*$C363),0)</f>
        <v>0</v>
      </c>
      <c r="V363" s="74">
        <f>iferror(if(V$4&lt;'Get Started'!$G$43,0,offset(V237,0,-1*'Get Started'!$G$43)/$E237*'Get Started'!$H$43*$C363),0)+iferror(if(V$4&lt;'Get Started'!$G$44,0,offset(V237,0,-1*'Get Started'!$G$44)/$E237*'Get Started'!$H$44*$C363),0)+iferror(if(V$4&lt;'Get Started'!$G$45,0,offset(V237,0,-1*'Get Started'!$G$45)/$E237*'Get Started'!$H$45*$C363),0)+iferror(IF(V$4&lt;'Get Started'!$G$46,0,offset(V237,0,-1*'Get Started'!$G$46)/$E237*'Get Started'!$H$46*$C363),0)</f>
        <v>0</v>
      </c>
      <c r="W363" s="74">
        <f>iferror(if(W$4&lt;'Get Started'!$G$43,0,offset(W237,0,-1*'Get Started'!$G$43)/$E237*'Get Started'!$H$43*$C363),0)+iferror(if(W$4&lt;'Get Started'!$G$44,0,offset(W237,0,-1*'Get Started'!$G$44)/$E237*'Get Started'!$H$44*$C363),0)+iferror(if(W$4&lt;'Get Started'!$G$45,0,offset(W237,0,-1*'Get Started'!$G$45)/$E237*'Get Started'!$H$45*$C363),0)+iferror(IF(W$4&lt;'Get Started'!$G$46,0,offset(W237,0,-1*'Get Started'!$G$46)/$E237*'Get Started'!$H$46*$C363),0)</f>
        <v>0</v>
      </c>
      <c r="X363" s="74">
        <f>iferror(if(X$4&lt;'Get Started'!$G$43,0,offset(X237,0,-1*'Get Started'!$G$43)/$E237*'Get Started'!$H$43*$C363),0)+iferror(if(X$4&lt;'Get Started'!$G$44,0,offset(X237,0,-1*'Get Started'!$G$44)/$E237*'Get Started'!$H$44*$C363),0)+iferror(if(X$4&lt;'Get Started'!$G$45,0,offset(X237,0,-1*'Get Started'!$G$45)/$E237*'Get Started'!$H$45*$C363),0)+iferror(IF(X$4&lt;'Get Started'!$G$46,0,offset(X237,0,-1*'Get Started'!$G$46)/$E237*'Get Started'!$H$46*$C363),0)</f>
        <v>0</v>
      </c>
      <c r="Y363" s="74">
        <f>iferror(if(Y$4&lt;'Get Started'!$G$43,0,offset(Y237,0,-1*'Get Started'!$G$43)/$E237*'Get Started'!$H$43*$C363),0)+iferror(if(Y$4&lt;'Get Started'!$G$44,0,offset(Y237,0,-1*'Get Started'!$G$44)/$E237*'Get Started'!$H$44*$C363),0)+iferror(if(Y$4&lt;'Get Started'!$G$45,0,offset(Y237,0,-1*'Get Started'!$G$45)/$E237*'Get Started'!$H$45*$C363),0)+iferror(IF(Y$4&lt;'Get Started'!$G$46,0,offset(Y237,0,-1*'Get Started'!$G$46)/$E237*'Get Started'!$H$46*$C363),0)</f>
        <v>0</v>
      </c>
      <c r="Z363" s="74">
        <f>iferror(if(Z$4&lt;'Get Started'!$G$43,0,offset(Z237,0,-1*'Get Started'!$G$43)/$E237*'Get Started'!$H$43*$C363),0)+iferror(if(Z$4&lt;'Get Started'!$G$44,0,offset(Z237,0,-1*'Get Started'!$G$44)/$E237*'Get Started'!$H$44*$C363),0)+iferror(if(Z$4&lt;'Get Started'!$G$45,0,offset(Z237,0,-1*'Get Started'!$G$45)/$E237*'Get Started'!$H$45*$C363),0)+iferror(IF(Z$4&lt;'Get Started'!$G$46,0,offset(Z237,0,-1*'Get Started'!$G$46)/$E237*'Get Started'!$H$46*$C363),0)</f>
        <v>0</v>
      </c>
    </row>
    <row r="364" hidden="1" outlineLevel="1">
      <c r="B364" s="93">
        <f t="shared" si="187"/>
        <v>17</v>
      </c>
      <c r="C364" s="77">
        <f>E259*'Get Started'!F$47</f>
        <v>0</v>
      </c>
      <c r="D364" s="16" t="s">
        <v>161</v>
      </c>
      <c r="E364" s="74">
        <f t="shared" si="108"/>
        <v>0</v>
      </c>
      <c r="F364" s="74"/>
      <c r="G364" s="74">
        <f>iferror(if(G$4&lt;'Get Started'!$G$43,0,offset(G238,0,-1*'Get Started'!$G$43)/$E238*'Get Started'!$H$43*$C364),0)+iferror(if(G$4&lt;'Get Started'!$G$44,0,offset(G238,0,-1*'Get Started'!$G$44)/$E238*'Get Started'!$H$44*$C364),0)+iferror(if(G$4&lt;'Get Started'!$G$45,0,offset(G238,0,-1*'Get Started'!$G$45)/$E238*'Get Started'!$H$45*$C364),0)+iferror(IF(G$4&lt;'Get Started'!$G$46,0,offset(G238,0,-1*'Get Started'!$G$46)/$E238*'Get Started'!$H$46*$C364),0)</f>
        <v>0</v>
      </c>
      <c r="H364" s="74">
        <f>iferror(if(H$4&lt;'Get Started'!$G$43,0,offset(H238,0,-1*'Get Started'!$G$43)/$E238*'Get Started'!$H$43*$C364),0)+iferror(if(H$4&lt;'Get Started'!$G$44,0,offset(H238,0,-1*'Get Started'!$G$44)/$E238*'Get Started'!$H$44*$C364),0)+iferror(if(H$4&lt;'Get Started'!$G$45,0,offset(H238,0,-1*'Get Started'!$G$45)/$E238*'Get Started'!$H$45*$C364),0)+iferror(IF(H$4&lt;'Get Started'!$G$46,0,offset(H238,0,-1*'Get Started'!$G$46)/$E238*'Get Started'!$H$46*$C364),0)</f>
        <v>0</v>
      </c>
      <c r="I364" s="74">
        <f>iferror(if(I$4&lt;'Get Started'!$G$43,0,offset(I238,0,-1*'Get Started'!$G$43)/$E238*'Get Started'!$H$43*$C364),0)+iferror(if(I$4&lt;'Get Started'!$G$44,0,offset(I238,0,-1*'Get Started'!$G$44)/$E238*'Get Started'!$H$44*$C364),0)+iferror(if(I$4&lt;'Get Started'!$G$45,0,offset(I238,0,-1*'Get Started'!$G$45)/$E238*'Get Started'!$H$45*$C364),0)+iferror(IF(I$4&lt;'Get Started'!$G$46,0,offset(I238,0,-1*'Get Started'!$G$46)/$E238*'Get Started'!$H$46*$C364),0)</f>
        <v>0</v>
      </c>
      <c r="J364" s="74">
        <f>iferror(if(J$4&lt;'Get Started'!$G$43,0,offset(J238,0,-1*'Get Started'!$G$43)/$E238*'Get Started'!$H$43*$C364),0)+iferror(if(J$4&lt;'Get Started'!$G$44,0,offset(J238,0,-1*'Get Started'!$G$44)/$E238*'Get Started'!$H$44*$C364),0)+iferror(if(J$4&lt;'Get Started'!$G$45,0,offset(J238,0,-1*'Get Started'!$G$45)/$E238*'Get Started'!$H$45*$C364),0)+iferror(IF(J$4&lt;'Get Started'!$G$46,0,offset(J238,0,-1*'Get Started'!$G$46)/$E238*'Get Started'!$H$46*$C364),0)</f>
        <v>0</v>
      </c>
      <c r="K364" s="74">
        <f>iferror(if(K$4&lt;'Get Started'!$G$43,0,offset(K238,0,-1*'Get Started'!$G$43)/$E238*'Get Started'!$H$43*$C364),0)+iferror(if(K$4&lt;'Get Started'!$G$44,0,offset(K238,0,-1*'Get Started'!$G$44)/$E238*'Get Started'!$H$44*$C364),0)+iferror(if(K$4&lt;'Get Started'!$G$45,0,offset(K238,0,-1*'Get Started'!$G$45)/$E238*'Get Started'!$H$45*$C364),0)+iferror(IF(K$4&lt;'Get Started'!$G$46,0,offset(K238,0,-1*'Get Started'!$G$46)/$E238*'Get Started'!$H$46*$C364),0)</f>
        <v>0</v>
      </c>
      <c r="L364" s="74">
        <f>iferror(if(L$4&lt;'Get Started'!$G$43,0,offset(L238,0,-1*'Get Started'!$G$43)/$E238*'Get Started'!$H$43*$C364),0)+iferror(if(L$4&lt;'Get Started'!$G$44,0,offset(L238,0,-1*'Get Started'!$G$44)/$E238*'Get Started'!$H$44*$C364),0)+iferror(if(L$4&lt;'Get Started'!$G$45,0,offset(L238,0,-1*'Get Started'!$G$45)/$E238*'Get Started'!$H$45*$C364),0)+iferror(IF(L$4&lt;'Get Started'!$G$46,0,offset(L238,0,-1*'Get Started'!$G$46)/$E238*'Get Started'!$H$46*$C364),0)</f>
        <v>0</v>
      </c>
      <c r="M364" s="74">
        <f>iferror(if(M$4&lt;'Get Started'!$G$43,0,offset(M238,0,-1*'Get Started'!$G$43)/$E238*'Get Started'!$H$43*$C364),0)+iferror(if(M$4&lt;'Get Started'!$G$44,0,offset(M238,0,-1*'Get Started'!$G$44)/$E238*'Get Started'!$H$44*$C364),0)+iferror(if(M$4&lt;'Get Started'!$G$45,0,offset(M238,0,-1*'Get Started'!$G$45)/$E238*'Get Started'!$H$45*$C364),0)+iferror(IF(M$4&lt;'Get Started'!$G$46,0,offset(M238,0,-1*'Get Started'!$G$46)/$E238*'Get Started'!$H$46*$C364),0)</f>
        <v>0</v>
      </c>
      <c r="N364" s="74">
        <f>iferror(if(N$4&lt;'Get Started'!$G$43,0,offset(N238,0,-1*'Get Started'!$G$43)/$E238*'Get Started'!$H$43*$C364),0)+iferror(if(N$4&lt;'Get Started'!$G$44,0,offset(N238,0,-1*'Get Started'!$G$44)/$E238*'Get Started'!$H$44*$C364),0)+iferror(if(N$4&lt;'Get Started'!$G$45,0,offset(N238,0,-1*'Get Started'!$G$45)/$E238*'Get Started'!$H$45*$C364),0)+iferror(IF(N$4&lt;'Get Started'!$G$46,0,offset(N238,0,-1*'Get Started'!$G$46)/$E238*'Get Started'!$H$46*$C364),0)</f>
        <v>0</v>
      </c>
      <c r="O364" s="74">
        <f>iferror(if(O$4&lt;'Get Started'!$G$43,0,offset(O238,0,-1*'Get Started'!$G$43)/$E238*'Get Started'!$H$43*$C364),0)+iferror(if(O$4&lt;'Get Started'!$G$44,0,offset(O238,0,-1*'Get Started'!$G$44)/$E238*'Get Started'!$H$44*$C364),0)+iferror(if(O$4&lt;'Get Started'!$G$45,0,offset(O238,0,-1*'Get Started'!$G$45)/$E238*'Get Started'!$H$45*$C364),0)+iferror(IF(O$4&lt;'Get Started'!$G$46,0,offset(O238,0,-1*'Get Started'!$G$46)/$E238*'Get Started'!$H$46*$C364),0)</f>
        <v>0</v>
      </c>
      <c r="P364" s="74">
        <f>iferror(if(P$4&lt;'Get Started'!$G$43,0,offset(P238,0,-1*'Get Started'!$G$43)/$E238*'Get Started'!$H$43*$C364),0)+iferror(if(P$4&lt;'Get Started'!$G$44,0,offset(P238,0,-1*'Get Started'!$G$44)/$E238*'Get Started'!$H$44*$C364),0)+iferror(if(P$4&lt;'Get Started'!$G$45,0,offset(P238,0,-1*'Get Started'!$G$45)/$E238*'Get Started'!$H$45*$C364),0)+iferror(IF(P$4&lt;'Get Started'!$G$46,0,offset(P238,0,-1*'Get Started'!$G$46)/$E238*'Get Started'!$H$46*$C364),0)</f>
        <v>0</v>
      </c>
      <c r="Q364" s="74">
        <f>iferror(if(Q$4&lt;'Get Started'!$G$43,0,offset(Q238,0,-1*'Get Started'!$G$43)/$E238*'Get Started'!$H$43*$C364),0)+iferror(if(Q$4&lt;'Get Started'!$G$44,0,offset(Q238,0,-1*'Get Started'!$G$44)/$E238*'Get Started'!$H$44*$C364),0)+iferror(if(Q$4&lt;'Get Started'!$G$45,0,offset(Q238,0,-1*'Get Started'!$G$45)/$E238*'Get Started'!$H$45*$C364),0)+iferror(IF(Q$4&lt;'Get Started'!$G$46,0,offset(Q238,0,-1*'Get Started'!$G$46)/$E238*'Get Started'!$H$46*$C364),0)</f>
        <v>0</v>
      </c>
      <c r="R364" s="74">
        <f>iferror(if(R$4&lt;'Get Started'!$G$43,0,offset(R238,0,-1*'Get Started'!$G$43)/$E238*'Get Started'!$H$43*$C364),0)+iferror(if(R$4&lt;'Get Started'!$G$44,0,offset(R238,0,-1*'Get Started'!$G$44)/$E238*'Get Started'!$H$44*$C364),0)+iferror(if(R$4&lt;'Get Started'!$G$45,0,offset(R238,0,-1*'Get Started'!$G$45)/$E238*'Get Started'!$H$45*$C364),0)+iferror(IF(R$4&lt;'Get Started'!$G$46,0,offset(R238,0,-1*'Get Started'!$G$46)/$E238*'Get Started'!$H$46*$C364),0)</f>
        <v>0</v>
      </c>
      <c r="S364" s="74">
        <f>iferror(if(S$4&lt;'Get Started'!$G$43,0,offset(S238,0,-1*'Get Started'!$G$43)/$E238*'Get Started'!$H$43*$C364),0)+iferror(if(S$4&lt;'Get Started'!$G$44,0,offset(S238,0,-1*'Get Started'!$G$44)/$E238*'Get Started'!$H$44*$C364),0)+iferror(if(S$4&lt;'Get Started'!$G$45,0,offset(S238,0,-1*'Get Started'!$G$45)/$E238*'Get Started'!$H$45*$C364),0)+iferror(IF(S$4&lt;'Get Started'!$G$46,0,offset(S238,0,-1*'Get Started'!$G$46)/$E238*'Get Started'!$H$46*$C364),0)</f>
        <v>0</v>
      </c>
      <c r="T364" s="74">
        <f>iferror(if(T$4&lt;'Get Started'!$G$43,0,offset(T238,0,-1*'Get Started'!$G$43)/$E238*'Get Started'!$H$43*$C364),0)+iferror(if(T$4&lt;'Get Started'!$G$44,0,offset(T238,0,-1*'Get Started'!$G$44)/$E238*'Get Started'!$H$44*$C364),0)+iferror(if(T$4&lt;'Get Started'!$G$45,0,offset(T238,0,-1*'Get Started'!$G$45)/$E238*'Get Started'!$H$45*$C364),0)+iferror(IF(T$4&lt;'Get Started'!$G$46,0,offset(T238,0,-1*'Get Started'!$G$46)/$E238*'Get Started'!$H$46*$C364),0)</f>
        <v>0</v>
      </c>
      <c r="U364" s="74">
        <f>iferror(if(U$4&lt;'Get Started'!$G$43,0,offset(U238,0,-1*'Get Started'!$G$43)/$E238*'Get Started'!$H$43*$C364),0)+iferror(if(U$4&lt;'Get Started'!$G$44,0,offset(U238,0,-1*'Get Started'!$G$44)/$E238*'Get Started'!$H$44*$C364),0)+iferror(if(U$4&lt;'Get Started'!$G$45,0,offset(U238,0,-1*'Get Started'!$G$45)/$E238*'Get Started'!$H$45*$C364),0)+iferror(IF(U$4&lt;'Get Started'!$G$46,0,offset(U238,0,-1*'Get Started'!$G$46)/$E238*'Get Started'!$H$46*$C364),0)</f>
        <v>0</v>
      </c>
      <c r="V364" s="74">
        <f>iferror(if(V$4&lt;'Get Started'!$G$43,0,offset(V238,0,-1*'Get Started'!$G$43)/$E238*'Get Started'!$H$43*$C364),0)+iferror(if(V$4&lt;'Get Started'!$G$44,0,offset(V238,0,-1*'Get Started'!$G$44)/$E238*'Get Started'!$H$44*$C364),0)+iferror(if(V$4&lt;'Get Started'!$G$45,0,offset(V238,0,-1*'Get Started'!$G$45)/$E238*'Get Started'!$H$45*$C364),0)+iferror(IF(V$4&lt;'Get Started'!$G$46,0,offset(V238,0,-1*'Get Started'!$G$46)/$E238*'Get Started'!$H$46*$C364),0)</f>
        <v>0</v>
      </c>
      <c r="W364" s="74">
        <f>iferror(if(W$4&lt;'Get Started'!$G$43,0,offset(W238,0,-1*'Get Started'!$G$43)/$E238*'Get Started'!$H$43*$C364),0)+iferror(if(W$4&lt;'Get Started'!$G$44,0,offset(W238,0,-1*'Get Started'!$G$44)/$E238*'Get Started'!$H$44*$C364),0)+iferror(if(W$4&lt;'Get Started'!$G$45,0,offset(W238,0,-1*'Get Started'!$G$45)/$E238*'Get Started'!$H$45*$C364),0)+iferror(IF(W$4&lt;'Get Started'!$G$46,0,offset(W238,0,-1*'Get Started'!$G$46)/$E238*'Get Started'!$H$46*$C364),0)</f>
        <v>0</v>
      </c>
      <c r="X364" s="74">
        <f>iferror(if(X$4&lt;'Get Started'!$G$43,0,offset(X238,0,-1*'Get Started'!$G$43)/$E238*'Get Started'!$H$43*$C364),0)+iferror(if(X$4&lt;'Get Started'!$G$44,0,offset(X238,0,-1*'Get Started'!$G$44)/$E238*'Get Started'!$H$44*$C364),0)+iferror(if(X$4&lt;'Get Started'!$G$45,0,offset(X238,0,-1*'Get Started'!$G$45)/$E238*'Get Started'!$H$45*$C364),0)+iferror(IF(X$4&lt;'Get Started'!$G$46,0,offset(X238,0,-1*'Get Started'!$G$46)/$E238*'Get Started'!$H$46*$C364),0)</f>
        <v>0</v>
      </c>
      <c r="Y364" s="74">
        <f>iferror(if(Y$4&lt;'Get Started'!$G$43,0,offset(Y238,0,-1*'Get Started'!$G$43)/$E238*'Get Started'!$H$43*$C364),0)+iferror(if(Y$4&lt;'Get Started'!$G$44,0,offset(Y238,0,-1*'Get Started'!$G$44)/$E238*'Get Started'!$H$44*$C364),0)+iferror(if(Y$4&lt;'Get Started'!$G$45,0,offset(Y238,0,-1*'Get Started'!$G$45)/$E238*'Get Started'!$H$45*$C364),0)+iferror(IF(Y$4&lt;'Get Started'!$G$46,0,offset(Y238,0,-1*'Get Started'!$G$46)/$E238*'Get Started'!$H$46*$C364),0)</f>
        <v>0</v>
      </c>
      <c r="Z364" s="74">
        <f>iferror(if(Z$4&lt;'Get Started'!$G$43,0,offset(Z238,0,-1*'Get Started'!$G$43)/$E238*'Get Started'!$H$43*$C364),0)+iferror(if(Z$4&lt;'Get Started'!$G$44,0,offset(Z238,0,-1*'Get Started'!$G$44)/$E238*'Get Started'!$H$44*$C364),0)+iferror(if(Z$4&lt;'Get Started'!$G$45,0,offset(Z238,0,-1*'Get Started'!$G$45)/$E238*'Get Started'!$H$45*$C364),0)+iferror(IF(Z$4&lt;'Get Started'!$G$46,0,offset(Z238,0,-1*'Get Started'!$G$46)/$E238*'Get Started'!$H$46*$C364),0)</f>
        <v>0</v>
      </c>
    </row>
    <row r="365" hidden="1" outlineLevel="1">
      <c r="B365" s="93">
        <f t="shared" si="187"/>
        <v>18</v>
      </c>
      <c r="C365" s="77">
        <f>E260*'Get Started'!F$47</f>
        <v>0</v>
      </c>
      <c r="D365" s="16" t="s">
        <v>161</v>
      </c>
      <c r="E365" s="74">
        <f t="shared" si="108"/>
        <v>0</v>
      </c>
      <c r="F365" s="74"/>
      <c r="G365" s="74">
        <f>iferror(if(G$4&lt;'Get Started'!$G$43,0,offset(G239,0,-1*'Get Started'!$G$43)/$E239*'Get Started'!$H$43*$C365),0)+iferror(if(G$4&lt;'Get Started'!$G$44,0,offset(G239,0,-1*'Get Started'!$G$44)/$E239*'Get Started'!$H$44*$C365),0)+iferror(if(G$4&lt;'Get Started'!$G$45,0,offset(G239,0,-1*'Get Started'!$G$45)/$E239*'Get Started'!$H$45*$C365),0)+iferror(IF(G$4&lt;'Get Started'!$G$46,0,offset(G239,0,-1*'Get Started'!$G$46)/$E239*'Get Started'!$H$46*$C365),0)</f>
        <v>0</v>
      </c>
      <c r="H365" s="74">
        <f>iferror(if(H$4&lt;'Get Started'!$G$43,0,offset(H239,0,-1*'Get Started'!$G$43)/$E239*'Get Started'!$H$43*$C365),0)+iferror(if(H$4&lt;'Get Started'!$G$44,0,offset(H239,0,-1*'Get Started'!$G$44)/$E239*'Get Started'!$H$44*$C365),0)+iferror(if(H$4&lt;'Get Started'!$G$45,0,offset(H239,0,-1*'Get Started'!$G$45)/$E239*'Get Started'!$H$45*$C365),0)+iferror(IF(H$4&lt;'Get Started'!$G$46,0,offset(H239,0,-1*'Get Started'!$G$46)/$E239*'Get Started'!$H$46*$C365),0)</f>
        <v>0</v>
      </c>
      <c r="I365" s="74">
        <f>iferror(if(I$4&lt;'Get Started'!$G$43,0,offset(I239,0,-1*'Get Started'!$G$43)/$E239*'Get Started'!$H$43*$C365),0)+iferror(if(I$4&lt;'Get Started'!$G$44,0,offset(I239,0,-1*'Get Started'!$G$44)/$E239*'Get Started'!$H$44*$C365),0)+iferror(if(I$4&lt;'Get Started'!$G$45,0,offset(I239,0,-1*'Get Started'!$G$45)/$E239*'Get Started'!$H$45*$C365),0)+iferror(IF(I$4&lt;'Get Started'!$G$46,0,offset(I239,0,-1*'Get Started'!$G$46)/$E239*'Get Started'!$H$46*$C365),0)</f>
        <v>0</v>
      </c>
      <c r="J365" s="74">
        <f>iferror(if(J$4&lt;'Get Started'!$G$43,0,offset(J239,0,-1*'Get Started'!$G$43)/$E239*'Get Started'!$H$43*$C365),0)+iferror(if(J$4&lt;'Get Started'!$G$44,0,offset(J239,0,-1*'Get Started'!$G$44)/$E239*'Get Started'!$H$44*$C365),0)+iferror(if(J$4&lt;'Get Started'!$G$45,0,offset(J239,0,-1*'Get Started'!$G$45)/$E239*'Get Started'!$H$45*$C365),0)+iferror(IF(J$4&lt;'Get Started'!$G$46,0,offset(J239,0,-1*'Get Started'!$G$46)/$E239*'Get Started'!$H$46*$C365),0)</f>
        <v>0</v>
      </c>
      <c r="K365" s="74">
        <f>iferror(if(K$4&lt;'Get Started'!$G$43,0,offset(K239,0,-1*'Get Started'!$G$43)/$E239*'Get Started'!$H$43*$C365),0)+iferror(if(K$4&lt;'Get Started'!$G$44,0,offset(K239,0,-1*'Get Started'!$G$44)/$E239*'Get Started'!$H$44*$C365),0)+iferror(if(K$4&lt;'Get Started'!$G$45,0,offset(K239,0,-1*'Get Started'!$G$45)/$E239*'Get Started'!$H$45*$C365),0)+iferror(IF(K$4&lt;'Get Started'!$G$46,0,offset(K239,0,-1*'Get Started'!$G$46)/$E239*'Get Started'!$H$46*$C365),0)</f>
        <v>0</v>
      </c>
      <c r="L365" s="74">
        <f>iferror(if(L$4&lt;'Get Started'!$G$43,0,offset(L239,0,-1*'Get Started'!$G$43)/$E239*'Get Started'!$H$43*$C365),0)+iferror(if(L$4&lt;'Get Started'!$G$44,0,offset(L239,0,-1*'Get Started'!$G$44)/$E239*'Get Started'!$H$44*$C365),0)+iferror(if(L$4&lt;'Get Started'!$G$45,0,offset(L239,0,-1*'Get Started'!$G$45)/$E239*'Get Started'!$H$45*$C365),0)+iferror(IF(L$4&lt;'Get Started'!$G$46,0,offset(L239,0,-1*'Get Started'!$G$46)/$E239*'Get Started'!$H$46*$C365),0)</f>
        <v>0</v>
      </c>
      <c r="M365" s="74">
        <f>iferror(if(M$4&lt;'Get Started'!$G$43,0,offset(M239,0,-1*'Get Started'!$G$43)/$E239*'Get Started'!$H$43*$C365),0)+iferror(if(M$4&lt;'Get Started'!$G$44,0,offset(M239,0,-1*'Get Started'!$G$44)/$E239*'Get Started'!$H$44*$C365),0)+iferror(if(M$4&lt;'Get Started'!$G$45,0,offset(M239,0,-1*'Get Started'!$G$45)/$E239*'Get Started'!$H$45*$C365),0)+iferror(IF(M$4&lt;'Get Started'!$G$46,0,offset(M239,0,-1*'Get Started'!$G$46)/$E239*'Get Started'!$H$46*$C365),0)</f>
        <v>0</v>
      </c>
      <c r="N365" s="74">
        <f>iferror(if(N$4&lt;'Get Started'!$G$43,0,offset(N239,0,-1*'Get Started'!$G$43)/$E239*'Get Started'!$H$43*$C365),0)+iferror(if(N$4&lt;'Get Started'!$G$44,0,offset(N239,0,-1*'Get Started'!$G$44)/$E239*'Get Started'!$H$44*$C365),0)+iferror(if(N$4&lt;'Get Started'!$G$45,0,offset(N239,0,-1*'Get Started'!$G$45)/$E239*'Get Started'!$H$45*$C365),0)+iferror(IF(N$4&lt;'Get Started'!$G$46,0,offset(N239,0,-1*'Get Started'!$G$46)/$E239*'Get Started'!$H$46*$C365),0)</f>
        <v>0</v>
      </c>
      <c r="O365" s="74">
        <f>iferror(if(O$4&lt;'Get Started'!$G$43,0,offset(O239,0,-1*'Get Started'!$G$43)/$E239*'Get Started'!$H$43*$C365),0)+iferror(if(O$4&lt;'Get Started'!$G$44,0,offset(O239,0,-1*'Get Started'!$G$44)/$E239*'Get Started'!$H$44*$C365),0)+iferror(if(O$4&lt;'Get Started'!$G$45,0,offset(O239,0,-1*'Get Started'!$G$45)/$E239*'Get Started'!$H$45*$C365),0)+iferror(IF(O$4&lt;'Get Started'!$G$46,0,offset(O239,0,-1*'Get Started'!$G$46)/$E239*'Get Started'!$H$46*$C365),0)</f>
        <v>0</v>
      </c>
      <c r="P365" s="74">
        <f>iferror(if(P$4&lt;'Get Started'!$G$43,0,offset(P239,0,-1*'Get Started'!$G$43)/$E239*'Get Started'!$H$43*$C365),0)+iferror(if(P$4&lt;'Get Started'!$G$44,0,offset(P239,0,-1*'Get Started'!$G$44)/$E239*'Get Started'!$H$44*$C365),0)+iferror(if(P$4&lt;'Get Started'!$G$45,0,offset(P239,0,-1*'Get Started'!$G$45)/$E239*'Get Started'!$H$45*$C365),0)+iferror(IF(P$4&lt;'Get Started'!$G$46,0,offset(P239,0,-1*'Get Started'!$G$46)/$E239*'Get Started'!$H$46*$C365),0)</f>
        <v>0</v>
      </c>
      <c r="Q365" s="74">
        <f>iferror(if(Q$4&lt;'Get Started'!$G$43,0,offset(Q239,0,-1*'Get Started'!$G$43)/$E239*'Get Started'!$H$43*$C365),0)+iferror(if(Q$4&lt;'Get Started'!$G$44,0,offset(Q239,0,-1*'Get Started'!$G$44)/$E239*'Get Started'!$H$44*$C365),0)+iferror(if(Q$4&lt;'Get Started'!$G$45,0,offset(Q239,0,-1*'Get Started'!$G$45)/$E239*'Get Started'!$H$45*$C365),0)+iferror(IF(Q$4&lt;'Get Started'!$G$46,0,offset(Q239,0,-1*'Get Started'!$G$46)/$E239*'Get Started'!$H$46*$C365),0)</f>
        <v>0</v>
      </c>
      <c r="R365" s="74">
        <f>iferror(if(R$4&lt;'Get Started'!$G$43,0,offset(R239,0,-1*'Get Started'!$G$43)/$E239*'Get Started'!$H$43*$C365),0)+iferror(if(R$4&lt;'Get Started'!$G$44,0,offset(R239,0,-1*'Get Started'!$G$44)/$E239*'Get Started'!$H$44*$C365),0)+iferror(if(R$4&lt;'Get Started'!$G$45,0,offset(R239,0,-1*'Get Started'!$G$45)/$E239*'Get Started'!$H$45*$C365),0)+iferror(IF(R$4&lt;'Get Started'!$G$46,0,offset(R239,0,-1*'Get Started'!$G$46)/$E239*'Get Started'!$H$46*$C365),0)</f>
        <v>0</v>
      </c>
      <c r="S365" s="74">
        <f>iferror(if(S$4&lt;'Get Started'!$G$43,0,offset(S239,0,-1*'Get Started'!$G$43)/$E239*'Get Started'!$H$43*$C365),0)+iferror(if(S$4&lt;'Get Started'!$G$44,0,offset(S239,0,-1*'Get Started'!$G$44)/$E239*'Get Started'!$H$44*$C365),0)+iferror(if(S$4&lt;'Get Started'!$G$45,0,offset(S239,0,-1*'Get Started'!$G$45)/$E239*'Get Started'!$H$45*$C365),0)+iferror(IF(S$4&lt;'Get Started'!$G$46,0,offset(S239,0,-1*'Get Started'!$G$46)/$E239*'Get Started'!$H$46*$C365),0)</f>
        <v>0</v>
      </c>
      <c r="T365" s="74">
        <f>iferror(if(T$4&lt;'Get Started'!$G$43,0,offset(T239,0,-1*'Get Started'!$G$43)/$E239*'Get Started'!$H$43*$C365),0)+iferror(if(T$4&lt;'Get Started'!$G$44,0,offset(T239,0,-1*'Get Started'!$G$44)/$E239*'Get Started'!$H$44*$C365),0)+iferror(if(T$4&lt;'Get Started'!$G$45,0,offset(T239,0,-1*'Get Started'!$G$45)/$E239*'Get Started'!$H$45*$C365),0)+iferror(IF(T$4&lt;'Get Started'!$G$46,0,offset(T239,0,-1*'Get Started'!$G$46)/$E239*'Get Started'!$H$46*$C365),0)</f>
        <v>0</v>
      </c>
      <c r="U365" s="74">
        <f>iferror(if(U$4&lt;'Get Started'!$G$43,0,offset(U239,0,-1*'Get Started'!$G$43)/$E239*'Get Started'!$H$43*$C365),0)+iferror(if(U$4&lt;'Get Started'!$G$44,0,offset(U239,0,-1*'Get Started'!$G$44)/$E239*'Get Started'!$H$44*$C365),0)+iferror(if(U$4&lt;'Get Started'!$G$45,0,offset(U239,0,-1*'Get Started'!$G$45)/$E239*'Get Started'!$H$45*$C365),0)+iferror(IF(U$4&lt;'Get Started'!$G$46,0,offset(U239,0,-1*'Get Started'!$G$46)/$E239*'Get Started'!$H$46*$C365),0)</f>
        <v>0</v>
      </c>
      <c r="V365" s="74">
        <f>iferror(if(V$4&lt;'Get Started'!$G$43,0,offset(V239,0,-1*'Get Started'!$G$43)/$E239*'Get Started'!$H$43*$C365),0)+iferror(if(V$4&lt;'Get Started'!$G$44,0,offset(V239,0,-1*'Get Started'!$G$44)/$E239*'Get Started'!$H$44*$C365),0)+iferror(if(V$4&lt;'Get Started'!$G$45,0,offset(V239,0,-1*'Get Started'!$G$45)/$E239*'Get Started'!$H$45*$C365),0)+iferror(IF(V$4&lt;'Get Started'!$G$46,0,offset(V239,0,-1*'Get Started'!$G$46)/$E239*'Get Started'!$H$46*$C365),0)</f>
        <v>0</v>
      </c>
      <c r="W365" s="74">
        <f>iferror(if(W$4&lt;'Get Started'!$G$43,0,offset(W239,0,-1*'Get Started'!$G$43)/$E239*'Get Started'!$H$43*$C365),0)+iferror(if(W$4&lt;'Get Started'!$G$44,0,offset(W239,0,-1*'Get Started'!$G$44)/$E239*'Get Started'!$H$44*$C365),0)+iferror(if(W$4&lt;'Get Started'!$G$45,0,offset(W239,0,-1*'Get Started'!$G$45)/$E239*'Get Started'!$H$45*$C365),0)+iferror(IF(W$4&lt;'Get Started'!$G$46,0,offset(W239,0,-1*'Get Started'!$G$46)/$E239*'Get Started'!$H$46*$C365),0)</f>
        <v>0</v>
      </c>
      <c r="X365" s="74">
        <f>iferror(if(X$4&lt;'Get Started'!$G$43,0,offset(X239,0,-1*'Get Started'!$G$43)/$E239*'Get Started'!$H$43*$C365),0)+iferror(if(X$4&lt;'Get Started'!$G$44,0,offset(X239,0,-1*'Get Started'!$G$44)/$E239*'Get Started'!$H$44*$C365),0)+iferror(if(X$4&lt;'Get Started'!$G$45,0,offset(X239,0,-1*'Get Started'!$G$45)/$E239*'Get Started'!$H$45*$C365),0)+iferror(IF(X$4&lt;'Get Started'!$G$46,0,offset(X239,0,-1*'Get Started'!$G$46)/$E239*'Get Started'!$H$46*$C365),0)</f>
        <v>0</v>
      </c>
      <c r="Y365" s="74">
        <f>iferror(if(Y$4&lt;'Get Started'!$G$43,0,offset(Y239,0,-1*'Get Started'!$G$43)/$E239*'Get Started'!$H$43*$C365),0)+iferror(if(Y$4&lt;'Get Started'!$G$44,0,offset(Y239,0,-1*'Get Started'!$G$44)/$E239*'Get Started'!$H$44*$C365),0)+iferror(if(Y$4&lt;'Get Started'!$G$45,0,offset(Y239,0,-1*'Get Started'!$G$45)/$E239*'Get Started'!$H$45*$C365),0)+iferror(IF(Y$4&lt;'Get Started'!$G$46,0,offset(Y239,0,-1*'Get Started'!$G$46)/$E239*'Get Started'!$H$46*$C365),0)</f>
        <v>0</v>
      </c>
      <c r="Z365" s="74">
        <f>iferror(if(Z$4&lt;'Get Started'!$G$43,0,offset(Z239,0,-1*'Get Started'!$G$43)/$E239*'Get Started'!$H$43*$C365),0)+iferror(if(Z$4&lt;'Get Started'!$G$44,0,offset(Z239,0,-1*'Get Started'!$G$44)/$E239*'Get Started'!$H$44*$C365),0)+iferror(if(Z$4&lt;'Get Started'!$G$45,0,offset(Z239,0,-1*'Get Started'!$G$45)/$E239*'Get Started'!$H$45*$C365),0)+iferror(IF(Z$4&lt;'Get Started'!$G$46,0,offset(Z239,0,-1*'Get Started'!$G$46)/$E239*'Get Started'!$H$46*$C365),0)</f>
        <v>0</v>
      </c>
    </row>
    <row r="366" hidden="1" outlineLevel="1">
      <c r="B366" s="93">
        <f t="shared" si="187"/>
        <v>19</v>
      </c>
      <c r="C366" s="77">
        <f>E261*'Get Started'!F$47</f>
        <v>0</v>
      </c>
      <c r="D366" s="16" t="s">
        <v>161</v>
      </c>
      <c r="E366" s="74">
        <f t="shared" si="108"/>
        <v>0</v>
      </c>
      <c r="F366" s="74"/>
      <c r="G366" s="74">
        <f>iferror(if(G$4&lt;'Get Started'!$G$43,0,offset(G240,0,-1*'Get Started'!$G$43)/$E240*'Get Started'!$H$43*$C366),0)+iferror(if(G$4&lt;'Get Started'!$G$44,0,offset(G240,0,-1*'Get Started'!$G$44)/$E240*'Get Started'!$H$44*$C366),0)+iferror(if(G$4&lt;'Get Started'!$G$45,0,offset(G240,0,-1*'Get Started'!$G$45)/$E240*'Get Started'!$H$45*$C366),0)+iferror(IF(G$4&lt;'Get Started'!$G$46,0,offset(G240,0,-1*'Get Started'!$G$46)/$E240*'Get Started'!$H$46*$C366),0)</f>
        <v>0</v>
      </c>
      <c r="H366" s="74">
        <f>iferror(if(H$4&lt;'Get Started'!$G$43,0,offset(H240,0,-1*'Get Started'!$G$43)/$E240*'Get Started'!$H$43*$C366),0)+iferror(if(H$4&lt;'Get Started'!$G$44,0,offset(H240,0,-1*'Get Started'!$G$44)/$E240*'Get Started'!$H$44*$C366),0)+iferror(if(H$4&lt;'Get Started'!$G$45,0,offset(H240,0,-1*'Get Started'!$G$45)/$E240*'Get Started'!$H$45*$C366),0)+iferror(IF(H$4&lt;'Get Started'!$G$46,0,offset(H240,0,-1*'Get Started'!$G$46)/$E240*'Get Started'!$H$46*$C366),0)</f>
        <v>0</v>
      </c>
      <c r="I366" s="74">
        <f>iferror(if(I$4&lt;'Get Started'!$G$43,0,offset(I240,0,-1*'Get Started'!$G$43)/$E240*'Get Started'!$H$43*$C366),0)+iferror(if(I$4&lt;'Get Started'!$G$44,0,offset(I240,0,-1*'Get Started'!$G$44)/$E240*'Get Started'!$H$44*$C366),0)+iferror(if(I$4&lt;'Get Started'!$G$45,0,offset(I240,0,-1*'Get Started'!$G$45)/$E240*'Get Started'!$H$45*$C366),0)+iferror(IF(I$4&lt;'Get Started'!$G$46,0,offset(I240,0,-1*'Get Started'!$G$46)/$E240*'Get Started'!$H$46*$C366),0)</f>
        <v>0</v>
      </c>
      <c r="J366" s="74">
        <f>iferror(if(J$4&lt;'Get Started'!$G$43,0,offset(J240,0,-1*'Get Started'!$G$43)/$E240*'Get Started'!$H$43*$C366),0)+iferror(if(J$4&lt;'Get Started'!$G$44,0,offset(J240,0,-1*'Get Started'!$G$44)/$E240*'Get Started'!$H$44*$C366),0)+iferror(if(J$4&lt;'Get Started'!$G$45,0,offset(J240,0,-1*'Get Started'!$G$45)/$E240*'Get Started'!$H$45*$C366),0)+iferror(IF(J$4&lt;'Get Started'!$G$46,0,offset(J240,0,-1*'Get Started'!$G$46)/$E240*'Get Started'!$H$46*$C366),0)</f>
        <v>0</v>
      </c>
      <c r="K366" s="74">
        <f>iferror(if(K$4&lt;'Get Started'!$G$43,0,offset(K240,0,-1*'Get Started'!$G$43)/$E240*'Get Started'!$H$43*$C366),0)+iferror(if(K$4&lt;'Get Started'!$G$44,0,offset(K240,0,-1*'Get Started'!$G$44)/$E240*'Get Started'!$H$44*$C366),0)+iferror(if(K$4&lt;'Get Started'!$G$45,0,offset(K240,0,-1*'Get Started'!$G$45)/$E240*'Get Started'!$H$45*$C366),0)+iferror(IF(K$4&lt;'Get Started'!$G$46,0,offset(K240,0,-1*'Get Started'!$G$46)/$E240*'Get Started'!$H$46*$C366),0)</f>
        <v>0</v>
      </c>
      <c r="L366" s="74">
        <f>iferror(if(L$4&lt;'Get Started'!$G$43,0,offset(L240,0,-1*'Get Started'!$G$43)/$E240*'Get Started'!$H$43*$C366),0)+iferror(if(L$4&lt;'Get Started'!$G$44,0,offset(L240,0,-1*'Get Started'!$G$44)/$E240*'Get Started'!$H$44*$C366),0)+iferror(if(L$4&lt;'Get Started'!$G$45,0,offset(L240,0,-1*'Get Started'!$G$45)/$E240*'Get Started'!$H$45*$C366),0)+iferror(IF(L$4&lt;'Get Started'!$G$46,0,offset(L240,0,-1*'Get Started'!$G$46)/$E240*'Get Started'!$H$46*$C366),0)</f>
        <v>0</v>
      </c>
      <c r="M366" s="74">
        <f>iferror(if(M$4&lt;'Get Started'!$G$43,0,offset(M240,0,-1*'Get Started'!$G$43)/$E240*'Get Started'!$H$43*$C366),0)+iferror(if(M$4&lt;'Get Started'!$G$44,0,offset(M240,0,-1*'Get Started'!$G$44)/$E240*'Get Started'!$H$44*$C366),0)+iferror(if(M$4&lt;'Get Started'!$G$45,0,offset(M240,0,-1*'Get Started'!$G$45)/$E240*'Get Started'!$H$45*$C366),0)+iferror(IF(M$4&lt;'Get Started'!$G$46,0,offset(M240,0,-1*'Get Started'!$G$46)/$E240*'Get Started'!$H$46*$C366),0)</f>
        <v>0</v>
      </c>
      <c r="N366" s="74">
        <f>iferror(if(N$4&lt;'Get Started'!$G$43,0,offset(N240,0,-1*'Get Started'!$G$43)/$E240*'Get Started'!$H$43*$C366),0)+iferror(if(N$4&lt;'Get Started'!$G$44,0,offset(N240,0,-1*'Get Started'!$G$44)/$E240*'Get Started'!$H$44*$C366),0)+iferror(if(N$4&lt;'Get Started'!$G$45,0,offset(N240,0,-1*'Get Started'!$G$45)/$E240*'Get Started'!$H$45*$C366),0)+iferror(IF(N$4&lt;'Get Started'!$G$46,0,offset(N240,0,-1*'Get Started'!$G$46)/$E240*'Get Started'!$H$46*$C366),0)</f>
        <v>0</v>
      </c>
      <c r="O366" s="74">
        <f>iferror(if(O$4&lt;'Get Started'!$G$43,0,offset(O240,0,-1*'Get Started'!$G$43)/$E240*'Get Started'!$H$43*$C366),0)+iferror(if(O$4&lt;'Get Started'!$G$44,0,offset(O240,0,-1*'Get Started'!$G$44)/$E240*'Get Started'!$H$44*$C366),0)+iferror(if(O$4&lt;'Get Started'!$G$45,0,offset(O240,0,-1*'Get Started'!$G$45)/$E240*'Get Started'!$H$45*$C366),0)+iferror(IF(O$4&lt;'Get Started'!$G$46,0,offset(O240,0,-1*'Get Started'!$G$46)/$E240*'Get Started'!$H$46*$C366),0)</f>
        <v>0</v>
      </c>
      <c r="P366" s="74">
        <f>iferror(if(P$4&lt;'Get Started'!$G$43,0,offset(P240,0,-1*'Get Started'!$G$43)/$E240*'Get Started'!$H$43*$C366),0)+iferror(if(P$4&lt;'Get Started'!$G$44,0,offset(P240,0,-1*'Get Started'!$G$44)/$E240*'Get Started'!$H$44*$C366),0)+iferror(if(P$4&lt;'Get Started'!$G$45,0,offset(P240,0,-1*'Get Started'!$G$45)/$E240*'Get Started'!$H$45*$C366),0)+iferror(IF(P$4&lt;'Get Started'!$G$46,0,offset(P240,0,-1*'Get Started'!$G$46)/$E240*'Get Started'!$H$46*$C366),0)</f>
        <v>0</v>
      </c>
      <c r="Q366" s="74">
        <f>iferror(if(Q$4&lt;'Get Started'!$G$43,0,offset(Q240,0,-1*'Get Started'!$G$43)/$E240*'Get Started'!$H$43*$C366),0)+iferror(if(Q$4&lt;'Get Started'!$G$44,0,offset(Q240,0,-1*'Get Started'!$G$44)/$E240*'Get Started'!$H$44*$C366),0)+iferror(if(Q$4&lt;'Get Started'!$G$45,0,offset(Q240,0,-1*'Get Started'!$G$45)/$E240*'Get Started'!$H$45*$C366),0)+iferror(IF(Q$4&lt;'Get Started'!$G$46,0,offset(Q240,0,-1*'Get Started'!$G$46)/$E240*'Get Started'!$H$46*$C366),0)</f>
        <v>0</v>
      </c>
      <c r="R366" s="74">
        <f>iferror(if(R$4&lt;'Get Started'!$G$43,0,offset(R240,0,-1*'Get Started'!$G$43)/$E240*'Get Started'!$H$43*$C366),0)+iferror(if(R$4&lt;'Get Started'!$G$44,0,offset(R240,0,-1*'Get Started'!$G$44)/$E240*'Get Started'!$H$44*$C366),0)+iferror(if(R$4&lt;'Get Started'!$G$45,0,offset(R240,0,-1*'Get Started'!$G$45)/$E240*'Get Started'!$H$45*$C366),0)+iferror(IF(R$4&lt;'Get Started'!$G$46,0,offset(R240,0,-1*'Get Started'!$G$46)/$E240*'Get Started'!$H$46*$C366),0)</f>
        <v>0</v>
      </c>
      <c r="S366" s="74">
        <f>iferror(if(S$4&lt;'Get Started'!$G$43,0,offset(S240,0,-1*'Get Started'!$G$43)/$E240*'Get Started'!$H$43*$C366),0)+iferror(if(S$4&lt;'Get Started'!$G$44,0,offset(S240,0,-1*'Get Started'!$G$44)/$E240*'Get Started'!$H$44*$C366),0)+iferror(if(S$4&lt;'Get Started'!$G$45,0,offset(S240,0,-1*'Get Started'!$G$45)/$E240*'Get Started'!$H$45*$C366),0)+iferror(IF(S$4&lt;'Get Started'!$G$46,0,offset(S240,0,-1*'Get Started'!$G$46)/$E240*'Get Started'!$H$46*$C366),0)</f>
        <v>0</v>
      </c>
      <c r="T366" s="74">
        <f>iferror(if(T$4&lt;'Get Started'!$G$43,0,offset(T240,0,-1*'Get Started'!$G$43)/$E240*'Get Started'!$H$43*$C366),0)+iferror(if(T$4&lt;'Get Started'!$G$44,0,offset(T240,0,-1*'Get Started'!$G$44)/$E240*'Get Started'!$H$44*$C366),0)+iferror(if(T$4&lt;'Get Started'!$G$45,0,offset(T240,0,-1*'Get Started'!$G$45)/$E240*'Get Started'!$H$45*$C366),0)+iferror(IF(T$4&lt;'Get Started'!$G$46,0,offset(T240,0,-1*'Get Started'!$G$46)/$E240*'Get Started'!$H$46*$C366),0)</f>
        <v>0</v>
      </c>
      <c r="U366" s="74">
        <f>iferror(if(U$4&lt;'Get Started'!$G$43,0,offset(U240,0,-1*'Get Started'!$G$43)/$E240*'Get Started'!$H$43*$C366),0)+iferror(if(U$4&lt;'Get Started'!$G$44,0,offset(U240,0,-1*'Get Started'!$G$44)/$E240*'Get Started'!$H$44*$C366),0)+iferror(if(U$4&lt;'Get Started'!$G$45,0,offset(U240,0,-1*'Get Started'!$G$45)/$E240*'Get Started'!$H$45*$C366),0)+iferror(IF(U$4&lt;'Get Started'!$G$46,0,offset(U240,0,-1*'Get Started'!$G$46)/$E240*'Get Started'!$H$46*$C366),0)</f>
        <v>0</v>
      </c>
      <c r="V366" s="74">
        <f>iferror(if(V$4&lt;'Get Started'!$G$43,0,offset(V240,0,-1*'Get Started'!$G$43)/$E240*'Get Started'!$H$43*$C366),0)+iferror(if(V$4&lt;'Get Started'!$G$44,0,offset(V240,0,-1*'Get Started'!$G$44)/$E240*'Get Started'!$H$44*$C366),0)+iferror(if(V$4&lt;'Get Started'!$G$45,0,offset(V240,0,-1*'Get Started'!$G$45)/$E240*'Get Started'!$H$45*$C366),0)+iferror(IF(V$4&lt;'Get Started'!$G$46,0,offset(V240,0,-1*'Get Started'!$G$46)/$E240*'Get Started'!$H$46*$C366),0)</f>
        <v>0</v>
      </c>
      <c r="W366" s="74">
        <f>iferror(if(W$4&lt;'Get Started'!$G$43,0,offset(W240,0,-1*'Get Started'!$G$43)/$E240*'Get Started'!$H$43*$C366),0)+iferror(if(W$4&lt;'Get Started'!$G$44,0,offset(W240,0,-1*'Get Started'!$G$44)/$E240*'Get Started'!$H$44*$C366),0)+iferror(if(W$4&lt;'Get Started'!$G$45,0,offset(W240,0,-1*'Get Started'!$G$45)/$E240*'Get Started'!$H$45*$C366),0)+iferror(IF(W$4&lt;'Get Started'!$G$46,0,offset(W240,0,-1*'Get Started'!$G$46)/$E240*'Get Started'!$H$46*$C366),0)</f>
        <v>0</v>
      </c>
      <c r="X366" s="74">
        <f>iferror(if(X$4&lt;'Get Started'!$G$43,0,offset(X240,0,-1*'Get Started'!$G$43)/$E240*'Get Started'!$H$43*$C366),0)+iferror(if(X$4&lt;'Get Started'!$G$44,0,offset(X240,0,-1*'Get Started'!$G$44)/$E240*'Get Started'!$H$44*$C366),0)+iferror(if(X$4&lt;'Get Started'!$G$45,0,offset(X240,0,-1*'Get Started'!$G$45)/$E240*'Get Started'!$H$45*$C366),0)+iferror(IF(X$4&lt;'Get Started'!$G$46,0,offset(X240,0,-1*'Get Started'!$G$46)/$E240*'Get Started'!$H$46*$C366),0)</f>
        <v>0</v>
      </c>
      <c r="Y366" s="74">
        <f>iferror(if(Y$4&lt;'Get Started'!$G$43,0,offset(Y240,0,-1*'Get Started'!$G$43)/$E240*'Get Started'!$H$43*$C366),0)+iferror(if(Y$4&lt;'Get Started'!$G$44,0,offset(Y240,0,-1*'Get Started'!$G$44)/$E240*'Get Started'!$H$44*$C366),0)+iferror(if(Y$4&lt;'Get Started'!$G$45,0,offset(Y240,0,-1*'Get Started'!$G$45)/$E240*'Get Started'!$H$45*$C366),0)+iferror(IF(Y$4&lt;'Get Started'!$G$46,0,offset(Y240,0,-1*'Get Started'!$G$46)/$E240*'Get Started'!$H$46*$C366),0)</f>
        <v>0</v>
      </c>
      <c r="Z366" s="74">
        <f>iferror(if(Z$4&lt;'Get Started'!$G$43,0,offset(Z240,0,-1*'Get Started'!$G$43)/$E240*'Get Started'!$H$43*$C366),0)+iferror(if(Z$4&lt;'Get Started'!$G$44,0,offset(Z240,0,-1*'Get Started'!$G$44)/$E240*'Get Started'!$H$44*$C366),0)+iferror(if(Z$4&lt;'Get Started'!$G$45,0,offset(Z240,0,-1*'Get Started'!$G$45)/$E240*'Get Started'!$H$45*$C366),0)+iferror(IF(Z$4&lt;'Get Started'!$G$46,0,offset(Z240,0,-1*'Get Started'!$G$46)/$E240*'Get Started'!$H$46*$C366),0)</f>
        <v>0</v>
      </c>
    </row>
    <row r="367" hidden="1" outlineLevel="1">
      <c r="B367" s="93">
        <f t="shared" si="187"/>
        <v>20</v>
      </c>
      <c r="C367" s="77">
        <f>E262*'Get Started'!F$47</f>
        <v>0</v>
      </c>
      <c r="D367" s="16" t="s">
        <v>161</v>
      </c>
      <c r="E367" s="74">
        <f t="shared" si="108"/>
        <v>0</v>
      </c>
      <c r="F367" s="74"/>
      <c r="G367" s="74">
        <f>iferror(if(G$4&lt;'Get Started'!$G$43,0,offset(G241,0,-1*'Get Started'!$G$43)/$E241*'Get Started'!$H$43*$C367),0)+iferror(if(G$4&lt;'Get Started'!$G$44,0,offset(G241,0,-1*'Get Started'!$G$44)/$E241*'Get Started'!$H$44*$C367),0)+iferror(if(G$4&lt;'Get Started'!$G$45,0,offset(G241,0,-1*'Get Started'!$G$45)/$E241*'Get Started'!$H$45*$C367),0)+iferror(IF(G$4&lt;'Get Started'!$G$46,0,offset(G241,0,-1*'Get Started'!$G$46)/$E241*'Get Started'!$H$46*$C367),0)</f>
        <v>0</v>
      </c>
      <c r="H367" s="74">
        <f>iferror(if(H$4&lt;'Get Started'!$G$43,0,offset(H241,0,-1*'Get Started'!$G$43)/$E241*'Get Started'!$H$43*$C367),0)+iferror(if(H$4&lt;'Get Started'!$G$44,0,offset(H241,0,-1*'Get Started'!$G$44)/$E241*'Get Started'!$H$44*$C367),0)+iferror(if(H$4&lt;'Get Started'!$G$45,0,offset(H241,0,-1*'Get Started'!$G$45)/$E241*'Get Started'!$H$45*$C367),0)+iferror(IF(H$4&lt;'Get Started'!$G$46,0,offset(H241,0,-1*'Get Started'!$G$46)/$E241*'Get Started'!$H$46*$C367),0)</f>
        <v>0</v>
      </c>
      <c r="I367" s="74">
        <f>iferror(if(I$4&lt;'Get Started'!$G$43,0,offset(I241,0,-1*'Get Started'!$G$43)/$E241*'Get Started'!$H$43*$C367),0)+iferror(if(I$4&lt;'Get Started'!$G$44,0,offset(I241,0,-1*'Get Started'!$G$44)/$E241*'Get Started'!$H$44*$C367),0)+iferror(if(I$4&lt;'Get Started'!$G$45,0,offset(I241,0,-1*'Get Started'!$G$45)/$E241*'Get Started'!$H$45*$C367),0)+iferror(IF(I$4&lt;'Get Started'!$G$46,0,offset(I241,0,-1*'Get Started'!$G$46)/$E241*'Get Started'!$H$46*$C367),0)</f>
        <v>0</v>
      </c>
      <c r="J367" s="74">
        <f>iferror(if(J$4&lt;'Get Started'!$G$43,0,offset(J241,0,-1*'Get Started'!$G$43)/$E241*'Get Started'!$H$43*$C367),0)+iferror(if(J$4&lt;'Get Started'!$G$44,0,offset(J241,0,-1*'Get Started'!$G$44)/$E241*'Get Started'!$H$44*$C367),0)+iferror(if(J$4&lt;'Get Started'!$G$45,0,offset(J241,0,-1*'Get Started'!$G$45)/$E241*'Get Started'!$H$45*$C367),0)+iferror(IF(J$4&lt;'Get Started'!$G$46,0,offset(J241,0,-1*'Get Started'!$G$46)/$E241*'Get Started'!$H$46*$C367),0)</f>
        <v>0</v>
      </c>
      <c r="K367" s="74">
        <f>iferror(if(K$4&lt;'Get Started'!$G$43,0,offset(K241,0,-1*'Get Started'!$G$43)/$E241*'Get Started'!$H$43*$C367),0)+iferror(if(K$4&lt;'Get Started'!$G$44,0,offset(K241,0,-1*'Get Started'!$G$44)/$E241*'Get Started'!$H$44*$C367),0)+iferror(if(K$4&lt;'Get Started'!$G$45,0,offset(K241,0,-1*'Get Started'!$G$45)/$E241*'Get Started'!$H$45*$C367),0)+iferror(IF(K$4&lt;'Get Started'!$G$46,0,offset(K241,0,-1*'Get Started'!$G$46)/$E241*'Get Started'!$H$46*$C367),0)</f>
        <v>0</v>
      </c>
      <c r="L367" s="74">
        <f>iferror(if(L$4&lt;'Get Started'!$G$43,0,offset(L241,0,-1*'Get Started'!$G$43)/$E241*'Get Started'!$H$43*$C367),0)+iferror(if(L$4&lt;'Get Started'!$G$44,0,offset(L241,0,-1*'Get Started'!$G$44)/$E241*'Get Started'!$H$44*$C367),0)+iferror(if(L$4&lt;'Get Started'!$G$45,0,offset(L241,0,-1*'Get Started'!$G$45)/$E241*'Get Started'!$H$45*$C367),0)+iferror(IF(L$4&lt;'Get Started'!$G$46,0,offset(L241,0,-1*'Get Started'!$G$46)/$E241*'Get Started'!$H$46*$C367),0)</f>
        <v>0</v>
      </c>
      <c r="M367" s="74">
        <f>iferror(if(M$4&lt;'Get Started'!$G$43,0,offset(M241,0,-1*'Get Started'!$G$43)/$E241*'Get Started'!$H$43*$C367),0)+iferror(if(M$4&lt;'Get Started'!$G$44,0,offset(M241,0,-1*'Get Started'!$G$44)/$E241*'Get Started'!$H$44*$C367),0)+iferror(if(M$4&lt;'Get Started'!$G$45,0,offset(M241,0,-1*'Get Started'!$G$45)/$E241*'Get Started'!$H$45*$C367),0)+iferror(IF(M$4&lt;'Get Started'!$G$46,0,offset(M241,0,-1*'Get Started'!$G$46)/$E241*'Get Started'!$H$46*$C367),0)</f>
        <v>0</v>
      </c>
      <c r="N367" s="74">
        <f>iferror(if(N$4&lt;'Get Started'!$G$43,0,offset(N241,0,-1*'Get Started'!$G$43)/$E241*'Get Started'!$H$43*$C367),0)+iferror(if(N$4&lt;'Get Started'!$G$44,0,offset(N241,0,-1*'Get Started'!$G$44)/$E241*'Get Started'!$H$44*$C367),0)+iferror(if(N$4&lt;'Get Started'!$G$45,0,offset(N241,0,-1*'Get Started'!$G$45)/$E241*'Get Started'!$H$45*$C367),0)+iferror(IF(N$4&lt;'Get Started'!$G$46,0,offset(N241,0,-1*'Get Started'!$G$46)/$E241*'Get Started'!$H$46*$C367),0)</f>
        <v>0</v>
      </c>
      <c r="O367" s="74">
        <f>iferror(if(O$4&lt;'Get Started'!$G$43,0,offset(O241,0,-1*'Get Started'!$G$43)/$E241*'Get Started'!$H$43*$C367),0)+iferror(if(O$4&lt;'Get Started'!$G$44,0,offset(O241,0,-1*'Get Started'!$G$44)/$E241*'Get Started'!$H$44*$C367),0)+iferror(if(O$4&lt;'Get Started'!$G$45,0,offset(O241,0,-1*'Get Started'!$G$45)/$E241*'Get Started'!$H$45*$C367),0)+iferror(IF(O$4&lt;'Get Started'!$G$46,0,offset(O241,0,-1*'Get Started'!$G$46)/$E241*'Get Started'!$H$46*$C367),0)</f>
        <v>0</v>
      </c>
      <c r="P367" s="74">
        <f>iferror(if(P$4&lt;'Get Started'!$G$43,0,offset(P241,0,-1*'Get Started'!$G$43)/$E241*'Get Started'!$H$43*$C367),0)+iferror(if(P$4&lt;'Get Started'!$G$44,0,offset(P241,0,-1*'Get Started'!$G$44)/$E241*'Get Started'!$H$44*$C367),0)+iferror(if(P$4&lt;'Get Started'!$G$45,0,offset(P241,0,-1*'Get Started'!$G$45)/$E241*'Get Started'!$H$45*$C367),0)+iferror(IF(P$4&lt;'Get Started'!$G$46,0,offset(P241,0,-1*'Get Started'!$G$46)/$E241*'Get Started'!$H$46*$C367),0)</f>
        <v>0</v>
      </c>
      <c r="Q367" s="74">
        <f>iferror(if(Q$4&lt;'Get Started'!$G$43,0,offset(Q241,0,-1*'Get Started'!$G$43)/$E241*'Get Started'!$H$43*$C367),0)+iferror(if(Q$4&lt;'Get Started'!$G$44,0,offset(Q241,0,-1*'Get Started'!$G$44)/$E241*'Get Started'!$H$44*$C367),0)+iferror(if(Q$4&lt;'Get Started'!$G$45,0,offset(Q241,0,-1*'Get Started'!$G$45)/$E241*'Get Started'!$H$45*$C367),0)+iferror(IF(Q$4&lt;'Get Started'!$G$46,0,offset(Q241,0,-1*'Get Started'!$G$46)/$E241*'Get Started'!$H$46*$C367),0)</f>
        <v>0</v>
      </c>
      <c r="R367" s="74">
        <f>iferror(if(R$4&lt;'Get Started'!$G$43,0,offset(R241,0,-1*'Get Started'!$G$43)/$E241*'Get Started'!$H$43*$C367),0)+iferror(if(R$4&lt;'Get Started'!$G$44,0,offset(R241,0,-1*'Get Started'!$G$44)/$E241*'Get Started'!$H$44*$C367),0)+iferror(if(R$4&lt;'Get Started'!$G$45,0,offset(R241,0,-1*'Get Started'!$G$45)/$E241*'Get Started'!$H$45*$C367),0)+iferror(IF(R$4&lt;'Get Started'!$G$46,0,offset(R241,0,-1*'Get Started'!$G$46)/$E241*'Get Started'!$H$46*$C367),0)</f>
        <v>0</v>
      </c>
      <c r="S367" s="74">
        <f>iferror(if(S$4&lt;'Get Started'!$G$43,0,offset(S241,0,-1*'Get Started'!$G$43)/$E241*'Get Started'!$H$43*$C367),0)+iferror(if(S$4&lt;'Get Started'!$G$44,0,offset(S241,0,-1*'Get Started'!$G$44)/$E241*'Get Started'!$H$44*$C367),0)+iferror(if(S$4&lt;'Get Started'!$G$45,0,offset(S241,0,-1*'Get Started'!$G$45)/$E241*'Get Started'!$H$45*$C367),0)+iferror(IF(S$4&lt;'Get Started'!$G$46,0,offset(S241,0,-1*'Get Started'!$G$46)/$E241*'Get Started'!$H$46*$C367),0)</f>
        <v>0</v>
      </c>
      <c r="T367" s="74">
        <f>iferror(if(T$4&lt;'Get Started'!$G$43,0,offset(T241,0,-1*'Get Started'!$G$43)/$E241*'Get Started'!$H$43*$C367),0)+iferror(if(T$4&lt;'Get Started'!$G$44,0,offset(T241,0,-1*'Get Started'!$G$44)/$E241*'Get Started'!$H$44*$C367),0)+iferror(if(T$4&lt;'Get Started'!$G$45,0,offset(T241,0,-1*'Get Started'!$G$45)/$E241*'Get Started'!$H$45*$C367),0)+iferror(IF(T$4&lt;'Get Started'!$G$46,0,offset(T241,0,-1*'Get Started'!$G$46)/$E241*'Get Started'!$H$46*$C367),0)</f>
        <v>0</v>
      </c>
      <c r="U367" s="74">
        <f>iferror(if(U$4&lt;'Get Started'!$G$43,0,offset(U241,0,-1*'Get Started'!$G$43)/$E241*'Get Started'!$H$43*$C367),0)+iferror(if(U$4&lt;'Get Started'!$G$44,0,offset(U241,0,-1*'Get Started'!$G$44)/$E241*'Get Started'!$H$44*$C367),0)+iferror(if(U$4&lt;'Get Started'!$G$45,0,offset(U241,0,-1*'Get Started'!$G$45)/$E241*'Get Started'!$H$45*$C367),0)+iferror(IF(U$4&lt;'Get Started'!$G$46,0,offset(U241,0,-1*'Get Started'!$G$46)/$E241*'Get Started'!$H$46*$C367),0)</f>
        <v>0</v>
      </c>
      <c r="V367" s="74">
        <f>iferror(if(V$4&lt;'Get Started'!$G$43,0,offset(V241,0,-1*'Get Started'!$G$43)/$E241*'Get Started'!$H$43*$C367),0)+iferror(if(V$4&lt;'Get Started'!$G$44,0,offset(V241,0,-1*'Get Started'!$G$44)/$E241*'Get Started'!$H$44*$C367),0)+iferror(if(V$4&lt;'Get Started'!$G$45,0,offset(V241,0,-1*'Get Started'!$G$45)/$E241*'Get Started'!$H$45*$C367),0)+iferror(IF(V$4&lt;'Get Started'!$G$46,0,offset(V241,0,-1*'Get Started'!$G$46)/$E241*'Get Started'!$H$46*$C367),0)</f>
        <v>0</v>
      </c>
      <c r="W367" s="74">
        <f>iferror(if(W$4&lt;'Get Started'!$G$43,0,offset(W241,0,-1*'Get Started'!$G$43)/$E241*'Get Started'!$H$43*$C367),0)+iferror(if(W$4&lt;'Get Started'!$G$44,0,offset(W241,0,-1*'Get Started'!$G$44)/$E241*'Get Started'!$H$44*$C367),0)+iferror(if(W$4&lt;'Get Started'!$G$45,0,offset(W241,0,-1*'Get Started'!$G$45)/$E241*'Get Started'!$H$45*$C367),0)+iferror(IF(W$4&lt;'Get Started'!$G$46,0,offset(W241,0,-1*'Get Started'!$G$46)/$E241*'Get Started'!$H$46*$C367),0)</f>
        <v>0</v>
      </c>
      <c r="X367" s="74">
        <f>iferror(if(X$4&lt;'Get Started'!$G$43,0,offset(X241,0,-1*'Get Started'!$G$43)/$E241*'Get Started'!$H$43*$C367),0)+iferror(if(X$4&lt;'Get Started'!$G$44,0,offset(X241,0,-1*'Get Started'!$G$44)/$E241*'Get Started'!$H$44*$C367),0)+iferror(if(X$4&lt;'Get Started'!$G$45,0,offset(X241,0,-1*'Get Started'!$G$45)/$E241*'Get Started'!$H$45*$C367),0)+iferror(IF(X$4&lt;'Get Started'!$G$46,0,offset(X241,0,-1*'Get Started'!$G$46)/$E241*'Get Started'!$H$46*$C367),0)</f>
        <v>0</v>
      </c>
      <c r="Y367" s="74">
        <f>iferror(if(Y$4&lt;'Get Started'!$G$43,0,offset(Y241,0,-1*'Get Started'!$G$43)/$E241*'Get Started'!$H$43*$C367),0)+iferror(if(Y$4&lt;'Get Started'!$G$44,0,offset(Y241,0,-1*'Get Started'!$G$44)/$E241*'Get Started'!$H$44*$C367),0)+iferror(if(Y$4&lt;'Get Started'!$G$45,0,offset(Y241,0,-1*'Get Started'!$G$45)/$E241*'Get Started'!$H$45*$C367),0)+iferror(IF(Y$4&lt;'Get Started'!$G$46,0,offset(Y241,0,-1*'Get Started'!$G$46)/$E241*'Get Started'!$H$46*$C367),0)</f>
        <v>0</v>
      </c>
      <c r="Z367" s="74">
        <f>iferror(if(Z$4&lt;'Get Started'!$G$43,0,offset(Z241,0,-1*'Get Started'!$G$43)/$E241*'Get Started'!$H$43*$C367),0)+iferror(if(Z$4&lt;'Get Started'!$G$44,0,offset(Z241,0,-1*'Get Started'!$G$44)/$E241*'Get Started'!$H$44*$C367),0)+iferror(if(Z$4&lt;'Get Started'!$G$45,0,offset(Z241,0,-1*'Get Started'!$G$45)/$E241*'Get Started'!$H$45*$C367),0)+iferror(IF(Z$4&lt;'Get Started'!$G$46,0,offset(Z241,0,-1*'Get Started'!$G$46)/$E241*'Get Started'!$H$46*$C367),0)</f>
        <v>0</v>
      </c>
    </row>
    <row r="368">
      <c r="B368" s="81" t="s">
        <v>186</v>
      </c>
      <c r="C368" s="16" t="s">
        <v>233</v>
      </c>
      <c r="D368" s="16" t="s">
        <v>161</v>
      </c>
      <c r="E368" s="74">
        <f t="shared" si="108"/>
        <v>0</v>
      </c>
      <c r="F368" s="74"/>
      <c r="G368" s="74">
        <v>0.0</v>
      </c>
      <c r="H368" s="74">
        <v>0.0</v>
      </c>
      <c r="I368" s="74">
        <v>0.0</v>
      </c>
      <c r="J368" s="74">
        <v>0.0</v>
      </c>
      <c r="K368" s="74">
        <v>0.0</v>
      </c>
      <c r="L368" s="74">
        <v>0.0</v>
      </c>
      <c r="M368" s="74">
        <v>0.0</v>
      </c>
      <c r="N368" s="74">
        <v>0.0</v>
      </c>
      <c r="O368" s="74">
        <v>0.0</v>
      </c>
      <c r="P368" s="74">
        <v>0.0</v>
      </c>
      <c r="Q368" s="74">
        <v>0.0</v>
      </c>
      <c r="R368" s="74">
        <v>0.0</v>
      </c>
      <c r="S368" s="74">
        <v>0.0</v>
      </c>
      <c r="T368" s="74">
        <v>0.0</v>
      </c>
      <c r="U368" s="74">
        <v>0.0</v>
      </c>
      <c r="V368" s="74">
        <v>0.0</v>
      </c>
      <c r="W368" s="74">
        <v>0.0</v>
      </c>
      <c r="X368" s="74">
        <v>0.0</v>
      </c>
      <c r="Y368" s="74">
        <v>0.0</v>
      </c>
      <c r="Z368" s="74">
        <v>0.0</v>
      </c>
    </row>
    <row r="369">
      <c r="B369" s="81" t="s">
        <v>187</v>
      </c>
      <c r="C369" s="16" t="s">
        <v>233</v>
      </c>
      <c r="D369" s="16" t="s">
        <v>161</v>
      </c>
      <c r="E369" s="74">
        <f t="shared" si="108"/>
        <v>0</v>
      </c>
      <c r="F369" s="74"/>
      <c r="G369" s="74">
        <v>0.0</v>
      </c>
      <c r="H369" s="74">
        <v>0.0</v>
      </c>
      <c r="I369" s="74">
        <v>0.0</v>
      </c>
      <c r="J369" s="74">
        <v>0.0</v>
      </c>
      <c r="K369" s="74">
        <v>0.0</v>
      </c>
      <c r="L369" s="74">
        <v>0.0</v>
      </c>
      <c r="M369" s="74">
        <v>0.0</v>
      </c>
      <c r="N369" s="74">
        <v>0.0</v>
      </c>
      <c r="O369" s="74">
        <v>0.0</v>
      </c>
      <c r="P369" s="74">
        <v>0.0</v>
      </c>
      <c r="Q369" s="74">
        <v>0.0</v>
      </c>
      <c r="R369" s="74">
        <v>0.0</v>
      </c>
      <c r="S369" s="74">
        <v>0.0</v>
      </c>
      <c r="T369" s="74">
        <v>0.0</v>
      </c>
      <c r="U369" s="74">
        <v>0.0</v>
      </c>
      <c r="V369" s="74">
        <v>0.0</v>
      </c>
      <c r="W369" s="74">
        <v>0.0</v>
      </c>
      <c r="X369" s="74">
        <v>0.0</v>
      </c>
      <c r="Y369" s="74">
        <v>0.0</v>
      </c>
      <c r="Z369" s="74">
        <v>0.0</v>
      </c>
    </row>
    <row r="370" collapsed="1">
      <c r="B370" s="81" t="s">
        <v>141</v>
      </c>
      <c r="C370" s="16"/>
      <c r="D370" s="16" t="s">
        <v>161</v>
      </c>
      <c r="E370" s="74">
        <f t="shared" si="108"/>
        <v>50878960</v>
      </c>
      <c r="F370" s="78"/>
      <c r="G370" s="77">
        <f t="shared" ref="G370:Z370" si="188">sum(G371:G390)</f>
        <v>0</v>
      </c>
      <c r="H370" s="77">
        <f t="shared" si="188"/>
        <v>0</v>
      </c>
      <c r="I370" s="77">
        <f t="shared" si="188"/>
        <v>0</v>
      </c>
      <c r="J370" s="77">
        <f t="shared" si="188"/>
        <v>0</v>
      </c>
      <c r="K370" s="77">
        <f t="shared" si="188"/>
        <v>0</v>
      </c>
      <c r="L370" s="77">
        <f t="shared" si="188"/>
        <v>0</v>
      </c>
      <c r="M370" s="77">
        <f t="shared" si="188"/>
        <v>0</v>
      </c>
      <c r="N370" s="77">
        <f t="shared" si="188"/>
        <v>0</v>
      </c>
      <c r="O370" s="77">
        <f t="shared" si="188"/>
        <v>2058261.333</v>
      </c>
      <c r="P370" s="77">
        <f t="shared" si="188"/>
        <v>7025392</v>
      </c>
      <c r="Q370" s="77">
        <f t="shared" si="188"/>
        <v>11992522.67</v>
      </c>
      <c r="R370" s="77">
        <f t="shared" si="188"/>
        <v>14901392</v>
      </c>
      <c r="S370" s="77">
        <f t="shared" si="188"/>
        <v>9934261.333</v>
      </c>
      <c r="T370" s="77">
        <f t="shared" si="188"/>
        <v>4967130.667</v>
      </c>
      <c r="U370" s="77">
        <f t="shared" si="188"/>
        <v>0</v>
      </c>
      <c r="V370" s="77">
        <f t="shared" si="188"/>
        <v>0</v>
      </c>
      <c r="W370" s="77">
        <f t="shared" si="188"/>
        <v>0</v>
      </c>
      <c r="X370" s="77">
        <f t="shared" si="188"/>
        <v>0</v>
      </c>
      <c r="Y370" s="77">
        <f t="shared" si="188"/>
        <v>0</v>
      </c>
      <c r="Z370" s="77">
        <f t="shared" si="188"/>
        <v>0</v>
      </c>
    </row>
    <row r="371" hidden="1" outlineLevel="1">
      <c r="B371" s="93">
        <f>G$4</f>
        <v>1</v>
      </c>
      <c r="C371" s="40"/>
      <c r="D371" s="16" t="s">
        <v>161</v>
      </c>
      <c r="E371" s="74">
        <f t="shared" si="108"/>
        <v>16959653.33</v>
      </c>
      <c r="F371" s="74"/>
      <c r="G371" s="74">
        <f>G708*'Get Started'!$D$31</f>
        <v>0</v>
      </c>
      <c r="H371" s="74">
        <f>H708*'Get Started'!$D$31</f>
        <v>0</v>
      </c>
      <c r="I371" s="74">
        <f>I708*'Get Started'!$D$31</f>
        <v>0</v>
      </c>
      <c r="J371" s="74">
        <f>J708*'Get Started'!$D$31</f>
        <v>0</v>
      </c>
      <c r="K371" s="74">
        <f>K708*'Get Started'!$D$31</f>
        <v>0</v>
      </c>
      <c r="L371" s="74">
        <f>L708*'Get Started'!$D$31</f>
        <v>0</v>
      </c>
      <c r="M371" s="74">
        <f>M708*'Get Started'!$D$31</f>
        <v>0</v>
      </c>
      <c r="N371" s="74">
        <f>N708*'Get Started'!$D$31</f>
        <v>0</v>
      </c>
      <c r="O371" s="74">
        <f>O708*'Get Started'!$D$31</f>
        <v>2058261.333</v>
      </c>
      <c r="P371" s="74">
        <f>P708*'Get Started'!$D$31</f>
        <v>4967130.667</v>
      </c>
      <c r="Q371" s="74">
        <f>Q708*'Get Started'!$D$31</f>
        <v>4967130.667</v>
      </c>
      <c r="R371" s="74">
        <f>R708*'Get Started'!$D$31</f>
        <v>4967130.667</v>
      </c>
      <c r="S371" s="74">
        <f>S708*'Get Started'!$D$31</f>
        <v>0</v>
      </c>
      <c r="T371" s="74">
        <f>T708*'Get Started'!$D$31</f>
        <v>0</v>
      </c>
      <c r="U371" s="74">
        <f>U708*'Get Started'!$D$31</f>
        <v>0</v>
      </c>
      <c r="V371" s="74">
        <f>V708*'Get Started'!$D$31</f>
        <v>0</v>
      </c>
      <c r="W371" s="74">
        <f>W708*'Get Started'!$D$31</f>
        <v>0</v>
      </c>
      <c r="X371" s="74">
        <f>X708*'Get Started'!$D$31</f>
        <v>0</v>
      </c>
      <c r="Y371" s="74">
        <f>Y708*'Get Started'!$D$31</f>
        <v>0</v>
      </c>
      <c r="Z371" s="74">
        <f>Z708*'Get Started'!$D$31</f>
        <v>0</v>
      </c>
    </row>
    <row r="372" hidden="1" outlineLevel="1">
      <c r="B372" s="93">
        <f t="shared" ref="B372:B390" si="189">B371+1</f>
        <v>2</v>
      </c>
      <c r="C372" s="40"/>
      <c r="D372" s="16" t="s">
        <v>161</v>
      </c>
      <c r="E372" s="74">
        <f t="shared" si="108"/>
        <v>16959653.33</v>
      </c>
      <c r="F372" s="74"/>
      <c r="G372" s="74">
        <f>G709*'Get Started'!$D$31</f>
        <v>0</v>
      </c>
      <c r="H372" s="74">
        <f>H709*'Get Started'!$D$31</f>
        <v>0</v>
      </c>
      <c r="I372" s="74">
        <f>I709*'Get Started'!$D$31</f>
        <v>0</v>
      </c>
      <c r="J372" s="74">
        <f>J709*'Get Started'!$D$31</f>
        <v>0</v>
      </c>
      <c r="K372" s="74">
        <f>K709*'Get Started'!$D$31</f>
        <v>0</v>
      </c>
      <c r="L372" s="74">
        <f>L709*'Get Started'!$D$31</f>
        <v>0</v>
      </c>
      <c r="M372" s="74">
        <f>M709*'Get Started'!$D$31</f>
        <v>0</v>
      </c>
      <c r="N372" s="74">
        <f>N709*'Get Started'!$D$31</f>
        <v>0</v>
      </c>
      <c r="O372" s="74">
        <f>O709*'Get Started'!$D$31</f>
        <v>0</v>
      </c>
      <c r="P372" s="74">
        <f>P709*'Get Started'!$D$31</f>
        <v>2058261.333</v>
      </c>
      <c r="Q372" s="74">
        <f>Q709*'Get Started'!$D$31</f>
        <v>4967130.667</v>
      </c>
      <c r="R372" s="74">
        <f>R709*'Get Started'!$D$31</f>
        <v>4967130.667</v>
      </c>
      <c r="S372" s="74">
        <f>S709*'Get Started'!$D$31</f>
        <v>4967130.667</v>
      </c>
      <c r="T372" s="74">
        <f>T709*'Get Started'!$D$31</f>
        <v>0</v>
      </c>
      <c r="U372" s="74">
        <f>U709*'Get Started'!$D$31</f>
        <v>0</v>
      </c>
      <c r="V372" s="74">
        <f>V709*'Get Started'!$D$31</f>
        <v>0</v>
      </c>
      <c r="W372" s="74">
        <f>W709*'Get Started'!$D$31</f>
        <v>0</v>
      </c>
      <c r="X372" s="74">
        <f>X709*'Get Started'!$D$31</f>
        <v>0</v>
      </c>
      <c r="Y372" s="74">
        <f>Y709*'Get Started'!$D$31</f>
        <v>0</v>
      </c>
      <c r="Z372" s="74">
        <f>Z709*'Get Started'!$D$31</f>
        <v>0</v>
      </c>
    </row>
    <row r="373" hidden="1" outlineLevel="1">
      <c r="B373" s="93">
        <f t="shared" si="189"/>
        <v>3</v>
      </c>
      <c r="C373" s="40"/>
      <c r="D373" s="16" t="s">
        <v>161</v>
      </c>
      <c r="E373" s="74">
        <f t="shared" si="108"/>
        <v>16959653.33</v>
      </c>
      <c r="F373" s="74"/>
      <c r="G373" s="74">
        <f>G710*'Get Started'!$D$31</f>
        <v>0</v>
      </c>
      <c r="H373" s="74">
        <f>H710*'Get Started'!$D$31</f>
        <v>0</v>
      </c>
      <c r="I373" s="74">
        <f>I710*'Get Started'!$D$31</f>
        <v>0</v>
      </c>
      <c r="J373" s="74">
        <f>J710*'Get Started'!$D$31</f>
        <v>0</v>
      </c>
      <c r="K373" s="74">
        <f>K710*'Get Started'!$D$31</f>
        <v>0</v>
      </c>
      <c r="L373" s="74">
        <f>L710*'Get Started'!$D$31</f>
        <v>0</v>
      </c>
      <c r="M373" s="74">
        <f>M710*'Get Started'!$D$31</f>
        <v>0</v>
      </c>
      <c r="N373" s="74">
        <f>N710*'Get Started'!$D$31</f>
        <v>0</v>
      </c>
      <c r="O373" s="74">
        <f>O710*'Get Started'!$D$31</f>
        <v>0</v>
      </c>
      <c r="P373" s="74">
        <f>P710*'Get Started'!$D$31</f>
        <v>0</v>
      </c>
      <c r="Q373" s="74">
        <f>Q710*'Get Started'!$D$31</f>
        <v>2058261.333</v>
      </c>
      <c r="R373" s="74">
        <f>R710*'Get Started'!$D$31</f>
        <v>4967130.667</v>
      </c>
      <c r="S373" s="74">
        <f>S710*'Get Started'!$D$31</f>
        <v>4967130.667</v>
      </c>
      <c r="T373" s="74">
        <f>T710*'Get Started'!$D$31</f>
        <v>4967130.667</v>
      </c>
      <c r="U373" s="74">
        <f>U710*'Get Started'!$D$31</f>
        <v>0</v>
      </c>
      <c r="V373" s="74">
        <f>V710*'Get Started'!$D$31</f>
        <v>0</v>
      </c>
      <c r="W373" s="74">
        <f>W710*'Get Started'!$D$31</f>
        <v>0</v>
      </c>
      <c r="X373" s="74">
        <f>X710*'Get Started'!$D$31</f>
        <v>0</v>
      </c>
      <c r="Y373" s="74">
        <f>Y710*'Get Started'!$D$31</f>
        <v>0</v>
      </c>
      <c r="Z373" s="74">
        <f>Z710*'Get Started'!$D$31</f>
        <v>0</v>
      </c>
    </row>
    <row r="374" hidden="1" outlineLevel="1">
      <c r="B374" s="93">
        <f t="shared" si="189"/>
        <v>4</v>
      </c>
      <c r="C374" s="40"/>
      <c r="D374" s="16" t="s">
        <v>161</v>
      </c>
      <c r="E374" s="74">
        <f t="shared" si="108"/>
        <v>0</v>
      </c>
      <c r="F374" s="74"/>
      <c r="G374" s="74">
        <f>G711*'Get Started'!$D$31</f>
        <v>0</v>
      </c>
      <c r="H374" s="74">
        <f>H711*'Get Started'!$D$31</f>
        <v>0</v>
      </c>
      <c r="I374" s="74">
        <f>I711*'Get Started'!$D$31</f>
        <v>0</v>
      </c>
      <c r="J374" s="74">
        <f>J711*'Get Started'!$D$31</f>
        <v>0</v>
      </c>
      <c r="K374" s="74">
        <f>K711*'Get Started'!$D$31</f>
        <v>0</v>
      </c>
      <c r="L374" s="74">
        <f>L711*'Get Started'!$D$31</f>
        <v>0</v>
      </c>
      <c r="M374" s="74">
        <f>M711*'Get Started'!$D$31</f>
        <v>0</v>
      </c>
      <c r="N374" s="74">
        <f>N711*'Get Started'!$D$31</f>
        <v>0</v>
      </c>
      <c r="O374" s="74">
        <f>O711*'Get Started'!$D$31</f>
        <v>0</v>
      </c>
      <c r="P374" s="74">
        <f>P711*'Get Started'!$D$31</f>
        <v>0</v>
      </c>
      <c r="Q374" s="74">
        <f>Q711*'Get Started'!$D$31</f>
        <v>0</v>
      </c>
      <c r="R374" s="74">
        <f>R711*'Get Started'!$D$31</f>
        <v>0</v>
      </c>
      <c r="S374" s="74">
        <f>S711*'Get Started'!$D$31</f>
        <v>0</v>
      </c>
      <c r="T374" s="74">
        <f>T711*'Get Started'!$D$31</f>
        <v>0</v>
      </c>
      <c r="U374" s="74">
        <f>U711*'Get Started'!$D$31</f>
        <v>0</v>
      </c>
      <c r="V374" s="74">
        <f>V711*'Get Started'!$D$31</f>
        <v>0</v>
      </c>
      <c r="W374" s="74">
        <f>W711*'Get Started'!$D$31</f>
        <v>0</v>
      </c>
      <c r="X374" s="74">
        <f>X711*'Get Started'!$D$31</f>
        <v>0</v>
      </c>
      <c r="Y374" s="74">
        <f>Y711*'Get Started'!$D$31</f>
        <v>0</v>
      </c>
      <c r="Z374" s="74">
        <f>Z711*'Get Started'!$D$31</f>
        <v>0</v>
      </c>
    </row>
    <row r="375" hidden="1" outlineLevel="1">
      <c r="B375" s="93">
        <f t="shared" si="189"/>
        <v>5</v>
      </c>
      <c r="C375" s="40"/>
      <c r="D375" s="16" t="s">
        <v>161</v>
      </c>
      <c r="E375" s="74">
        <f t="shared" si="108"/>
        <v>0</v>
      </c>
      <c r="F375" s="74"/>
      <c r="G375" s="74">
        <f>G712*'Get Started'!$D$31</f>
        <v>0</v>
      </c>
      <c r="H375" s="74">
        <f>H712*'Get Started'!$D$31</f>
        <v>0</v>
      </c>
      <c r="I375" s="74">
        <f>I712*'Get Started'!$D$31</f>
        <v>0</v>
      </c>
      <c r="J375" s="74">
        <f>J712*'Get Started'!$D$31</f>
        <v>0</v>
      </c>
      <c r="K375" s="74">
        <f>K712*'Get Started'!$D$31</f>
        <v>0</v>
      </c>
      <c r="L375" s="74">
        <f>L712*'Get Started'!$D$31</f>
        <v>0</v>
      </c>
      <c r="M375" s="74">
        <f>M712*'Get Started'!$D$31</f>
        <v>0</v>
      </c>
      <c r="N375" s="74">
        <f>N712*'Get Started'!$D$31</f>
        <v>0</v>
      </c>
      <c r="O375" s="74">
        <f>O712*'Get Started'!$D$31</f>
        <v>0</v>
      </c>
      <c r="P375" s="74">
        <f>P712*'Get Started'!$D$31</f>
        <v>0</v>
      </c>
      <c r="Q375" s="74">
        <f>Q712*'Get Started'!$D$31</f>
        <v>0</v>
      </c>
      <c r="R375" s="74">
        <f>R712*'Get Started'!$D$31</f>
        <v>0</v>
      </c>
      <c r="S375" s="74">
        <f>S712*'Get Started'!$D$31</f>
        <v>0</v>
      </c>
      <c r="T375" s="74">
        <f>T712*'Get Started'!$D$31</f>
        <v>0</v>
      </c>
      <c r="U375" s="74">
        <f>U712*'Get Started'!$D$31</f>
        <v>0</v>
      </c>
      <c r="V375" s="74">
        <f>V712*'Get Started'!$D$31</f>
        <v>0</v>
      </c>
      <c r="W375" s="74">
        <f>W712*'Get Started'!$D$31</f>
        <v>0</v>
      </c>
      <c r="X375" s="74">
        <f>X712*'Get Started'!$D$31</f>
        <v>0</v>
      </c>
      <c r="Y375" s="74">
        <f>Y712*'Get Started'!$D$31</f>
        <v>0</v>
      </c>
      <c r="Z375" s="74">
        <f>Z712*'Get Started'!$D$31</f>
        <v>0</v>
      </c>
    </row>
    <row r="376" hidden="1" outlineLevel="1">
      <c r="B376" s="93">
        <f t="shared" si="189"/>
        <v>6</v>
      </c>
      <c r="C376" s="40"/>
      <c r="D376" s="16" t="s">
        <v>161</v>
      </c>
      <c r="E376" s="74">
        <f t="shared" si="108"/>
        <v>0</v>
      </c>
      <c r="F376" s="74"/>
      <c r="G376" s="74">
        <f>G713*'Get Started'!$D$31</f>
        <v>0</v>
      </c>
      <c r="H376" s="74">
        <f>H713*'Get Started'!$D$31</f>
        <v>0</v>
      </c>
      <c r="I376" s="74">
        <f>I713*'Get Started'!$D$31</f>
        <v>0</v>
      </c>
      <c r="J376" s="74">
        <f>J713*'Get Started'!$D$31</f>
        <v>0</v>
      </c>
      <c r="K376" s="74">
        <f>K713*'Get Started'!$D$31</f>
        <v>0</v>
      </c>
      <c r="L376" s="74">
        <f>L713*'Get Started'!$D$31</f>
        <v>0</v>
      </c>
      <c r="M376" s="74">
        <f>M713*'Get Started'!$D$31</f>
        <v>0</v>
      </c>
      <c r="N376" s="74">
        <f>N713*'Get Started'!$D$31</f>
        <v>0</v>
      </c>
      <c r="O376" s="74">
        <f>O713*'Get Started'!$D$31</f>
        <v>0</v>
      </c>
      <c r="P376" s="74">
        <f>P713*'Get Started'!$D$31</f>
        <v>0</v>
      </c>
      <c r="Q376" s="74">
        <f>Q713*'Get Started'!$D$31</f>
        <v>0</v>
      </c>
      <c r="R376" s="74">
        <f>R713*'Get Started'!$D$31</f>
        <v>0</v>
      </c>
      <c r="S376" s="74">
        <f>S713*'Get Started'!$D$31</f>
        <v>0</v>
      </c>
      <c r="T376" s="74">
        <f>T713*'Get Started'!$D$31</f>
        <v>0</v>
      </c>
      <c r="U376" s="74">
        <f>U713*'Get Started'!$D$31</f>
        <v>0</v>
      </c>
      <c r="V376" s="74">
        <f>V713*'Get Started'!$D$31</f>
        <v>0</v>
      </c>
      <c r="W376" s="74">
        <f>W713*'Get Started'!$D$31</f>
        <v>0</v>
      </c>
      <c r="X376" s="74">
        <f>X713*'Get Started'!$D$31</f>
        <v>0</v>
      </c>
      <c r="Y376" s="74">
        <f>Y713*'Get Started'!$D$31</f>
        <v>0</v>
      </c>
      <c r="Z376" s="74">
        <f>Z713*'Get Started'!$D$31</f>
        <v>0</v>
      </c>
    </row>
    <row r="377" hidden="1" outlineLevel="1">
      <c r="B377" s="93">
        <f t="shared" si="189"/>
        <v>7</v>
      </c>
      <c r="C377" s="40"/>
      <c r="D377" s="16" t="s">
        <v>161</v>
      </c>
      <c r="E377" s="74">
        <f t="shared" si="108"/>
        <v>0</v>
      </c>
      <c r="F377" s="74"/>
      <c r="G377" s="74">
        <f>G714*'Get Started'!$D$31</f>
        <v>0</v>
      </c>
      <c r="H377" s="74">
        <f>H714*'Get Started'!$D$31</f>
        <v>0</v>
      </c>
      <c r="I377" s="74">
        <f>I714*'Get Started'!$D$31</f>
        <v>0</v>
      </c>
      <c r="J377" s="74">
        <f>J714*'Get Started'!$D$31</f>
        <v>0</v>
      </c>
      <c r="K377" s="74">
        <f>K714*'Get Started'!$D$31</f>
        <v>0</v>
      </c>
      <c r="L377" s="74">
        <f>L714*'Get Started'!$D$31</f>
        <v>0</v>
      </c>
      <c r="M377" s="74">
        <f>M714*'Get Started'!$D$31</f>
        <v>0</v>
      </c>
      <c r="N377" s="74">
        <f>N714*'Get Started'!$D$31</f>
        <v>0</v>
      </c>
      <c r="O377" s="74">
        <f>O714*'Get Started'!$D$31</f>
        <v>0</v>
      </c>
      <c r="P377" s="74">
        <f>P714*'Get Started'!$D$31</f>
        <v>0</v>
      </c>
      <c r="Q377" s="74">
        <f>Q714*'Get Started'!$D$31</f>
        <v>0</v>
      </c>
      <c r="R377" s="74">
        <f>R714*'Get Started'!$D$31</f>
        <v>0</v>
      </c>
      <c r="S377" s="74">
        <f>S714*'Get Started'!$D$31</f>
        <v>0</v>
      </c>
      <c r="T377" s="74">
        <f>T714*'Get Started'!$D$31</f>
        <v>0</v>
      </c>
      <c r="U377" s="74">
        <f>U714*'Get Started'!$D$31</f>
        <v>0</v>
      </c>
      <c r="V377" s="74">
        <f>V714*'Get Started'!$D$31</f>
        <v>0</v>
      </c>
      <c r="W377" s="74">
        <f>W714*'Get Started'!$D$31</f>
        <v>0</v>
      </c>
      <c r="X377" s="74">
        <f>X714*'Get Started'!$D$31</f>
        <v>0</v>
      </c>
      <c r="Y377" s="74">
        <f>Y714*'Get Started'!$D$31</f>
        <v>0</v>
      </c>
      <c r="Z377" s="74">
        <f>Z714*'Get Started'!$D$31</f>
        <v>0</v>
      </c>
    </row>
    <row r="378" hidden="1" outlineLevel="1">
      <c r="B378" s="93">
        <f t="shared" si="189"/>
        <v>8</v>
      </c>
      <c r="C378" s="40"/>
      <c r="D378" s="16" t="s">
        <v>161</v>
      </c>
      <c r="E378" s="74">
        <f t="shared" si="108"/>
        <v>0</v>
      </c>
      <c r="F378" s="74"/>
      <c r="G378" s="74">
        <f>G715*'Get Started'!$D$31</f>
        <v>0</v>
      </c>
      <c r="H378" s="74">
        <f>H715*'Get Started'!$D$31</f>
        <v>0</v>
      </c>
      <c r="I378" s="74">
        <f>I715*'Get Started'!$D$31</f>
        <v>0</v>
      </c>
      <c r="J378" s="74">
        <f>J715*'Get Started'!$D$31</f>
        <v>0</v>
      </c>
      <c r="K378" s="74">
        <f>K715*'Get Started'!$D$31</f>
        <v>0</v>
      </c>
      <c r="L378" s="74">
        <f>L715*'Get Started'!$D$31</f>
        <v>0</v>
      </c>
      <c r="M378" s="74">
        <f>M715*'Get Started'!$D$31</f>
        <v>0</v>
      </c>
      <c r="N378" s="74">
        <f>N715*'Get Started'!$D$31</f>
        <v>0</v>
      </c>
      <c r="O378" s="74">
        <f>O715*'Get Started'!$D$31</f>
        <v>0</v>
      </c>
      <c r="P378" s="74">
        <f>P715*'Get Started'!$D$31</f>
        <v>0</v>
      </c>
      <c r="Q378" s="74">
        <f>Q715*'Get Started'!$D$31</f>
        <v>0</v>
      </c>
      <c r="R378" s="74">
        <f>R715*'Get Started'!$D$31</f>
        <v>0</v>
      </c>
      <c r="S378" s="74">
        <f>S715*'Get Started'!$D$31</f>
        <v>0</v>
      </c>
      <c r="T378" s="74">
        <f>T715*'Get Started'!$D$31</f>
        <v>0</v>
      </c>
      <c r="U378" s="74">
        <f>U715*'Get Started'!$D$31</f>
        <v>0</v>
      </c>
      <c r="V378" s="74">
        <f>V715*'Get Started'!$D$31</f>
        <v>0</v>
      </c>
      <c r="W378" s="74">
        <f>W715*'Get Started'!$D$31</f>
        <v>0</v>
      </c>
      <c r="X378" s="74">
        <f>X715*'Get Started'!$D$31</f>
        <v>0</v>
      </c>
      <c r="Y378" s="74">
        <f>Y715*'Get Started'!$D$31</f>
        <v>0</v>
      </c>
      <c r="Z378" s="74">
        <f>Z715*'Get Started'!$D$31</f>
        <v>0</v>
      </c>
    </row>
    <row r="379" hidden="1" outlineLevel="1">
      <c r="B379" s="93">
        <f t="shared" si="189"/>
        <v>9</v>
      </c>
      <c r="C379" s="40"/>
      <c r="D379" s="16" t="s">
        <v>161</v>
      </c>
      <c r="E379" s="74">
        <f t="shared" si="108"/>
        <v>0</v>
      </c>
      <c r="F379" s="74"/>
      <c r="G379" s="74">
        <f>G716*'Get Started'!$D$31</f>
        <v>0</v>
      </c>
      <c r="H379" s="74">
        <f>H716*'Get Started'!$D$31</f>
        <v>0</v>
      </c>
      <c r="I379" s="74">
        <f>I716*'Get Started'!$D$31</f>
        <v>0</v>
      </c>
      <c r="J379" s="74">
        <f>J716*'Get Started'!$D$31</f>
        <v>0</v>
      </c>
      <c r="K379" s="74">
        <f>K716*'Get Started'!$D$31</f>
        <v>0</v>
      </c>
      <c r="L379" s="74">
        <f>L716*'Get Started'!$D$31</f>
        <v>0</v>
      </c>
      <c r="M379" s="74">
        <f>M716*'Get Started'!$D$31</f>
        <v>0</v>
      </c>
      <c r="N379" s="74">
        <f>N716*'Get Started'!$D$31</f>
        <v>0</v>
      </c>
      <c r="O379" s="74">
        <f>O716*'Get Started'!$D$31</f>
        <v>0</v>
      </c>
      <c r="P379" s="74">
        <f>P716*'Get Started'!$D$31</f>
        <v>0</v>
      </c>
      <c r="Q379" s="74">
        <f>Q716*'Get Started'!$D$31</f>
        <v>0</v>
      </c>
      <c r="R379" s="74">
        <f>R716*'Get Started'!$D$31</f>
        <v>0</v>
      </c>
      <c r="S379" s="74">
        <f>S716*'Get Started'!$D$31</f>
        <v>0</v>
      </c>
      <c r="T379" s="74">
        <f>T716*'Get Started'!$D$31</f>
        <v>0</v>
      </c>
      <c r="U379" s="74">
        <f>U716*'Get Started'!$D$31</f>
        <v>0</v>
      </c>
      <c r="V379" s="74">
        <f>V716*'Get Started'!$D$31</f>
        <v>0</v>
      </c>
      <c r="W379" s="74">
        <f>W716*'Get Started'!$D$31</f>
        <v>0</v>
      </c>
      <c r="X379" s="74">
        <f>X716*'Get Started'!$D$31</f>
        <v>0</v>
      </c>
      <c r="Y379" s="74">
        <f>Y716*'Get Started'!$D$31</f>
        <v>0</v>
      </c>
      <c r="Z379" s="74">
        <f>Z716*'Get Started'!$D$31</f>
        <v>0</v>
      </c>
    </row>
    <row r="380" hidden="1" outlineLevel="1">
      <c r="B380" s="93">
        <f t="shared" si="189"/>
        <v>10</v>
      </c>
      <c r="C380" s="40"/>
      <c r="D380" s="16" t="s">
        <v>161</v>
      </c>
      <c r="E380" s="74">
        <f t="shared" si="108"/>
        <v>0</v>
      </c>
      <c r="F380" s="74"/>
      <c r="G380" s="74">
        <f>G717*'Get Started'!$D$31</f>
        <v>0</v>
      </c>
      <c r="H380" s="74">
        <f>H717*'Get Started'!$D$31</f>
        <v>0</v>
      </c>
      <c r="I380" s="74">
        <f>I717*'Get Started'!$D$31</f>
        <v>0</v>
      </c>
      <c r="J380" s="74">
        <f>J717*'Get Started'!$D$31</f>
        <v>0</v>
      </c>
      <c r="K380" s="74">
        <f>K717*'Get Started'!$D$31</f>
        <v>0</v>
      </c>
      <c r="L380" s="74">
        <f>L717*'Get Started'!$D$31</f>
        <v>0</v>
      </c>
      <c r="M380" s="74">
        <f>M717*'Get Started'!$D$31</f>
        <v>0</v>
      </c>
      <c r="N380" s="74">
        <f>N717*'Get Started'!$D$31</f>
        <v>0</v>
      </c>
      <c r="O380" s="74">
        <f>O717*'Get Started'!$D$31</f>
        <v>0</v>
      </c>
      <c r="P380" s="74">
        <f>P717*'Get Started'!$D$31</f>
        <v>0</v>
      </c>
      <c r="Q380" s="74">
        <f>Q717*'Get Started'!$D$31</f>
        <v>0</v>
      </c>
      <c r="R380" s="74">
        <f>R717*'Get Started'!$D$31</f>
        <v>0</v>
      </c>
      <c r="S380" s="74">
        <f>S717*'Get Started'!$D$31</f>
        <v>0</v>
      </c>
      <c r="T380" s="74">
        <f>T717*'Get Started'!$D$31</f>
        <v>0</v>
      </c>
      <c r="U380" s="74">
        <f>U717*'Get Started'!$D$31</f>
        <v>0</v>
      </c>
      <c r="V380" s="74">
        <f>V717*'Get Started'!$D$31</f>
        <v>0</v>
      </c>
      <c r="W380" s="74">
        <f>W717*'Get Started'!$D$31</f>
        <v>0</v>
      </c>
      <c r="X380" s="74">
        <f>X717*'Get Started'!$D$31</f>
        <v>0</v>
      </c>
      <c r="Y380" s="74">
        <f>Y717*'Get Started'!$D$31</f>
        <v>0</v>
      </c>
      <c r="Z380" s="74">
        <f>Z717*'Get Started'!$D$31</f>
        <v>0</v>
      </c>
    </row>
    <row r="381" hidden="1" outlineLevel="1">
      <c r="B381" s="93">
        <f t="shared" si="189"/>
        <v>11</v>
      </c>
      <c r="C381" s="40"/>
      <c r="D381" s="16" t="s">
        <v>161</v>
      </c>
      <c r="E381" s="74">
        <f t="shared" si="108"/>
        <v>0</v>
      </c>
      <c r="F381" s="74"/>
      <c r="G381" s="74">
        <f>G718*'Get Started'!$D$31</f>
        <v>0</v>
      </c>
      <c r="H381" s="74">
        <f>H718*'Get Started'!$D$31</f>
        <v>0</v>
      </c>
      <c r="I381" s="74">
        <f>I718*'Get Started'!$D$31</f>
        <v>0</v>
      </c>
      <c r="J381" s="74">
        <f>J718*'Get Started'!$D$31</f>
        <v>0</v>
      </c>
      <c r="K381" s="74">
        <f>K718*'Get Started'!$D$31</f>
        <v>0</v>
      </c>
      <c r="L381" s="74">
        <f>L718*'Get Started'!$D$31</f>
        <v>0</v>
      </c>
      <c r="M381" s="74">
        <f>M718*'Get Started'!$D$31</f>
        <v>0</v>
      </c>
      <c r="N381" s="74">
        <f>N718*'Get Started'!$D$31</f>
        <v>0</v>
      </c>
      <c r="O381" s="74">
        <f>O718*'Get Started'!$D$31</f>
        <v>0</v>
      </c>
      <c r="P381" s="74">
        <f>P718*'Get Started'!$D$31</f>
        <v>0</v>
      </c>
      <c r="Q381" s="74">
        <f>Q718*'Get Started'!$D$31</f>
        <v>0</v>
      </c>
      <c r="R381" s="74">
        <f>R718*'Get Started'!$D$31</f>
        <v>0</v>
      </c>
      <c r="S381" s="74">
        <f>S718*'Get Started'!$D$31</f>
        <v>0</v>
      </c>
      <c r="T381" s="74">
        <f>T718*'Get Started'!$D$31</f>
        <v>0</v>
      </c>
      <c r="U381" s="74">
        <f>U718*'Get Started'!$D$31</f>
        <v>0</v>
      </c>
      <c r="V381" s="74">
        <f>V718*'Get Started'!$D$31</f>
        <v>0</v>
      </c>
      <c r="W381" s="74">
        <f>W718*'Get Started'!$D$31</f>
        <v>0</v>
      </c>
      <c r="X381" s="74">
        <f>X718*'Get Started'!$D$31</f>
        <v>0</v>
      </c>
      <c r="Y381" s="74">
        <f>Y718*'Get Started'!$D$31</f>
        <v>0</v>
      </c>
      <c r="Z381" s="74">
        <f>Z718*'Get Started'!$D$31</f>
        <v>0</v>
      </c>
    </row>
    <row r="382" hidden="1" outlineLevel="1">
      <c r="B382" s="93">
        <f t="shared" si="189"/>
        <v>12</v>
      </c>
      <c r="C382" s="40"/>
      <c r="D382" s="16" t="s">
        <v>161</v>
      </c>
      <c r="E382" s="74">
        <f t="shared" si="108"/>
        <v>0</v>
      </c>
      <c r="F382" s="74"/>
      <c r="G382" s="74">
        <f>G719*'Get Started'!$D$31</f>
        <v>0</v>
      </c>
      <c r="H382" s="74">
        <f>H719*'Get Started'!$D$31</f>
        <v>0</v>
      </c>
      <c r="I382" s="74">
        <f>I719*'Get Started'!$D$31</f>
        <v>0</v>
      </c>
      <c r="J382" s="74">
        <f>J719*'Get Started'!$D$31</f>
        <v>0</v>
      </c>
      <c r="K382" s="74">
        <f>K719*'Get Started'!$D$31</f>
        <v>0</v>
      </c>
      <c r="L382" s="74">
        <f>L719*'Get Started'!$D$31</f>
        <v>0</v>
      </c>
      <c r="M382" s="74">
        <f>M719*'Get Started'!$D$31</f>
        <v>0</v>
      </c>
      <c r="N382" s="74">
        <f>N719*'Get Started'!$D$31</f>
        <v>0</v>
      </c>
      <c r="O382" s="74">
        <f>O719*'Get Started'!$D$31</f>
        <v>0</v>
      </c>
      <c r="P382" s="74">
        <f>P719*'Get Started'!$D$31</f>
        <v>0</v>
      </c>
      <c r="Q382" s="74">
        <f>Q719*'Get Started'!$D$31</f>
        <v>0</v>
      </c>
      <c r="R382" s="74">
        <f>R719*'Get Started'!$D$31</f>
        <v>0</v>
      </c>
      <c r="S382" s="74">
        <f>S719*'Get Started'!$D$31</f>
        <v>0</v>
      </c>
      <c r="T382" s="74">
        <f>T719*'Get Started'!$D$31</f>
        <v>0</v>
      </c>
      <c r="U382" s="74">
        <f>U719*'Get Started'!$D$31</f>
        <v>0</v>
      </c>
      <c r="V382" s="74">
        <f>V719*'Get Started'!$D$31</f>
        <v>0</v>
      </c>
      <c r="W382" s="74">
        <f>W719*'Get Started'!$D$31</f>
        <v>0</v>
      </c>
      <c r="X382" s="74">
        <f>X719*'Get Started'!$D$31</f>
        <v>0</v>
      </c>
      <c r="Y382" s="74">
        <f>Y719*'Get Started'!$D$31</f>
        <v>0</v>
      </c>
      <c r="Z382" s="74">
        <f>Z719*'Get Started'!$D$31</f>
        <v>0</v>
      </c>
    </row>
    <row r="383" hidden="1" outlineLevel="1">
      <c r="B383" s="93">
        <f t="shared" si="189"/>
        <v>13</v>
      </c>
      <c r="C383" s="40"/>
      <c r="D383" s="16" t="s">
        <v>161</v>
      </c>
      <c r="E383" s="74">
        <f t="shared" si="108"/>
        <v>0</v>
      </c>
      <c r="F383" s="74"/>
      <c r="G383" s="74">
        <f>G720*'Get Started'!$D$31</f>
        <v>0</v>
      </c>
      <c r="H383" s="74">
        <f>H720*'Get Started'!$D$31</f>
        <v>0</v>
      </c>
      <c r="I383" s="74">
        <f>I720*'Get Started'!$D$31</f>
        <v>0</v>
      </c>
      <c r="J383" s="74">
        <f>J720*'Get Started'!$D$31</f>
        <v>0</v>
      </c>
      <c r="K383" s="74">
        <f>K720*'Get Started'!$D$31</f>
        <v>0</v>
      </c>
      <c r="L383" s="74">
        <f>L720*'Get Started'!$D$31</f>
        <v>0</v>
      </c>
      <c r="M383" s="74">
        <f>M720*'Get Started'!$D$31</f>
        <v>0</v>
      </c>
      <c r="N383" s="74">
        <f>N720*'Get Started'!$D$31</f>
        <v>0</v>
      </c>
      <c r="O383" s="74">
        <f>O720*'Get Started'!$D$31</f>
        <v>0</v>
      </c>
      <c r="P383" s="74">
        <f>P720*'Get Started'!$D$31</f>
        <v>0</v>
      </c>
      <c r="Q383" s="74">
        <f>Q720*'Get Started'!$D$31</f>
        <v>0</v>
      </c>
      <c r="R383" s="74">
        <f>R720*'Get Started'!$D$31</f>
        <v>0</v>
      </c>
      <c r="S383" s="74">
        <f>S720*'Get Started'!$D$31</f>
        <v>0</v>
      </c>
      <c r="T383" s="74">
        <f>T720*'Get Started'!$D$31</f>
        <v>0</v>
      </c>
      <c r="U383" s="74">
        <f>U720*'Get Started'!$D$31</f>
        <v>0</v>
      </c>
      <c r="V383" s="74">
        <f>V720*'Get Started'!$D$31</f>
        <v>0</v>
      </c>
      <c r="W383" s="74">
        <f>W720*'Get Started'!$D$31</f>
        <v>0</v>
      </c>
      <c r="X383" s="74">
        <f>X720*'Get Started'!$D$31</f>
        <v>0</v>
      </c>
      <c r="Y383" s="74">
        <f>Y720*'Get Started'!$D$31</f>
        <v>0</v>
      </c>
      <c r="Z383" s="74">
        <f>Z720*'Get Started'!$D$31</f>
        <v>0</v>
      </c>
    </row>
    <row r="384" hidden="1" outlineLevel="1">
      <c r="B384" s="93">
        <f t="shared" si="189"/>
        <v>14</v>
      </c>
      <c r="C384" s="40"/>
      <c r="D384" s="16" t="s">
        <v>161</v>
      </c>
      <c r="E384" s="74">
        <f t="shared" si="108"/>
        <v>0</v>
      </c>
      <c r="F384" s="74"/>
      <c r="G384" s="74">
        <f>G721*'Get Started'!$D$31</f>
        <v>0</v>
      </c>
      <c r="H384" s="74">
        <f>H721*'Get Started'!$D$31</f>
        <v>0</v>
      </c>
      <c r="I384" s="74">
        <f>I721*'Get Started'!$D$31</f>
        <v>0</v>
      </c>
      <c r="J384" s="74">
        <f>J721*'Get Started'!$D$31</f>
        <v>0</v>
      </c>
      <c r="K384" s="74">
        <f>K721*'Get Started'!$D$31</f>
        <v>0</v>
      </c>
      <c r="L384" s="74">
        <f>L721*'Get Started'!$D$31</f>
        <v>0</v>
      </c>
      <c r="M384" s="74">
        <f>M721*'Get Started'!$D$31</f>
        <v>0</v>
      </c>
      <c r="N384" s="74">
        <f>N721*'Get Started'!$D$31</f>
        <v>0</v>
      </c>
      <c r="O384" s="74">
        <f>O721*'Get Started'!$D$31</f>
        <v>0</v>
      </c>
      <c r="P384" s="74">
        <f>P721*'Get Started'!$D$31</f>
        <v>0</v>
      </c>
      <c r="Q384" s="74">
        <f>Q721*'Get Started'!$D$31</f>
        <v>0</v>
      </c>
      <c r="R384" s="74">
        <f>R721*'Get Started'!$D$31</f>
        <v>0</v>
      </c>
      <c r="S384" s="74">
        <f>S721*'Get Started'!$D$31</f>
        <v>0</v>
      </c>
      <c r="T384" s="74">
        <f>T721*'Get Started'!$D$31</f>
        <v>0</v>
      </c>
      <c r="U384" s="74">
        <f>U721*'Get Started'!$D$31</f>
        <v>0</v>
      </c>
      <c r="V384" s="74">
        <f>V721*'Get Started'!$D$31</f>
        <v>0</v>
      </c>
      <c r="W384" s="74">
        <f>W721*'Get Started'!$D$31</f>
        <v>0</v>
      </c>
      <c r="X384" s="74">
        <f>X721*'Get Started'!$D$31</f>
        <v>0</v>
      </c>
      <c r="Y384" s="74">
        <f>Y721*'Get Started'!$D$31</f>
        <v>0</v>
      </c>
      <c r="Z384" s="74">
        <f>Z721*'Get Started'!$D$31</f>
        <v>0</v>
      </c>
    </row>
    <row r="385" hidden="1" outlineLevel="1">
      <c r="B385" s="93">
        <f t="shared" si="189"/>
        <v>15</v>
      </c>
      <c r="C385" s="40"/>
      <c r="D385" s="16" t="s">
        <v>161</v>
      </c>
      <c r="E385" s="74">
        <f t="shared" si="108"/>
        <v>0</v>
      </c>
      <c r="F385" s="74"/>
      <c r="G385" s="74">
        <f>G722*'Get Started'!$D$31</f>
        <v>0</v>
      </c>
      <c r="H385" s="74">
        <f>H722*'Get Started'!$D$31</f>
        <v>0</v>
      </c>
      <c r="I385" s="74">
        <f>I722*'Get Started'!$D$31</f>
        <v>0</v>
      </c>
      <c r="J385" s="74">
        <f>J722*'Get Started'!$D$31</f>
        <v>0</v>
      </c>
      <c r="K385" s="74">
        <f>K722*'Get Started'!$D$31</f>
        <v>0</v>
      </c>
      <c r="L385" s="74">
        <f>L722*'Get Started'!$D$31</f>
        <v>0</v>
      </c>
      <c r="M385" s="74">
        <f>M722*'Get Started'!$D$31</f>
        <v>0</v>
      </c>
      <c r="N385" s="74">
        <f>N722*'Get Started'!$D$31</f>
        <v>0</v>
      </c>
      <c r="O385" s="74">
        <f>O722*'Get Started'!$D$31</f>
        <v>0</v>
      </c>
      <c r="P385" s="74">
        <f>P722*'Get Started'!$D$31</f>
        <v>0</v>
      </c>
      <c r="Q385" s="74">
        <f>Q722*'Get Started'!$D$31</f>
        <v>0</v>
      </c>
      <c r="R385" s="74">
        <f>R722*'Get Started'!$D$31</f>
        <v>0</v>
      </c>
      <c r="S385" s="74">
        <f>S722*'Get Started'!$D$31</f>
        <v>0</v>
      </c>
      <c r="T385" s="74">
        <f>T722*'Get Started'!$D$31</f>
        <v>0</v>
      </c>
      <c r="U385" s="74">
        <f>U722*'Get Started'!$D$31</f>
        <v>0</v>
      </c>
      <c r="V385" s="74">
        <f>V722*'Get Started'!$D$31</f>
        <v>0</v>
      </c>
      <c r="W385" s="74">
        <f>W722*'Get Started'!$D$31</f>
        <v>0</v>
      </c>
      <c r="X385" s="74">
        <f>X722*'Get Started'!$D$31</f>
        <v>0</v>
      </c>
      <c r="Y385" s="74">
        <f>Y722*'Get Started'!$D$31</f>
        <v>0</v>
      </c>
      <c r="Z385" s="74">
        <f>Z722*'Get Started'!$D$31</f>
        <v>0</v>
      </c>
    </row>
    <row r="386" hidden="1" outlineLevel="1">
      <c r="B386" s="93">
        <f t="shared" si="189"/>
        <v>16</v>
      </c>
      <c r="C386" s="40"/>
      <c r="D386" s="16" t="s">
        <v>161</v>
      </c>
      <c r="E386" s="74">
        <f t="shared" si="108"/>
        <v>0</v>
      </c>
      <c r="F386" s="74"/>
      <c r="G386" s="74">
        <f>G723*'Get Started'!$D$31</f>
        <v>0</v>
      </c>
      <c r="H386" s="74">
        <f>H723*'Get Started'!$D$31</f>
        <v>0</v>
      </c>
      <c r="I386" s="74">
        <f>I723*'Get Started'!$D$31</f>
        <v>0</v>
      </c>
      <c r="J386" s="74">
        <f>J723*'Get Started'!$D$31</f>
        <v>0</v>
      </c>
      <c r="K386" s="74">
        <f>K723*'Get Started'!$D$31</f>
        <v>0</v>
      </c>
      <c r="L386" s="74">
        <f>L723*'Get Started'!$D$31</f>
        <v>0</v>
      </c>
      <c r="M386" s="74">
        <f>M723*'Get Started'!$D$31</f>
        <v>0</v>
      </c>
      <c r="N386" s="74">
        <f>N723*'Get Started'!$D$31</f>
        <v>0</v>
      </c>
      <c r="O386" s="74">
        <f>O723*'Get Started'!$D$31</f>
        <v>0</v>
      </c>
      <c r="P386" s="74">
        <f>P723*'Get Started'!$D$31</f>
        <v>0</v>
      </c>
      <c r="Q386" s="74">
        <f>Q723*'Get Started'!$D$31</f>
        <v>0</v>
      </c>
      <c r="R386" s="74">
        <f>R723*'Get Started'!$D$31</f>
        <v>0</v>
      </c>
      <c r="S386" s="74">
        <f>S723*'Get Started'!$D$31</f>
        <v>0</v>
      </c>
      <c r="T386" s="74">
        <f>T723*'Get Started'!$D$31</f>
        <v>0</v>
      </c>
      <c r="U386" s="74">
        <f>U723*'Get Started'!$D$31</f>
        <v>0</v>
      </c>
      <c r="V386" s="74">
        <f>V723*'Get Started'!$D$31</f>
        <v>0</v>
      </c>
      <c r="W386" s="74">
        <f>W723*'Get Started'!$D$31</f>
        <v>0</v>
      </c>
      <c r="X386" s="74">
        <f>X723*'Get Started'!$D$31</f>
        <v>0</v>
      </c>
      <c r="Y386" s="74">
        <f>Y723*'Get Started'!$D$31</f>
        <v>0</v>
      </c>
      <c r="Z386" s="74">
        <f>Z723*'Get Started'!$D$31</f>
        <v>0</v>
      </c>
    </row>
    <row r="387" hidden="1" outlineLevel="1">
      <c r="B387" s="93">
        <f t="shared" si="189"/>
        <v>17</v>
      </c>
      <c r="C387" s="40"/>
      <c r="D387" s="16" t="s">
        <v>161</v>
      </c>
      <c r="E387" s="74">
        <f t="shared" si="108"/>
        <v>0</v>
      </c>
      <c r="F387" s="74"/>
      <c r="G387" s="74">
        <f>G724*'Get Started'!$D$31</f>
        <v>0</v>
      </c>
      <c r="H387" s="74">
        <f>H724*'Get Started'!$D$31</f>
        <v>0</v>
      </c>
      <c r="I387" s="74">
        <f>I724*'Get Started'!$D$31</f>
        <v>0</v>
      </c>
      <c r="J387" s="74">
        <f>J724*'Get Started'!$D$31</f>
        <v>0</v>
      </c>
      <c r="K387" s="74">
        <f>K724*'Get Started'!$D$31</f>
        <v>0</v>
      </c>
      <c r="L387" s="74">
        <f>L724*'Get Started'!$D$31</f>
        <v>0</v>
      </c>
      <c r="M387" s="74">
        <f>M724*'Get Started'!$D$31</f>
        <v>0</v>
      </c>
      <c r="N387" s="74">
        <f>N724*'Get Started'!$D$31</f>
        <v>0</v>
      </c>
      <c r="O387" s="74">
        <f>O724*'Get Started'!$D$31</f>
        <v>0</v>
      </c>
      <c r="P387" s="74">
        <f>P724*'Get Started'!$D$31</f>
        <v>0</v>
      </c>
      <c r="Q387" s="74">
        <f>Q724*'Get Started'!$D$31</f>
        <v>0</v>
      </c>
      <c r="R387" s="74">
        <f>R724*'Get Started'!$D$31</f>
        <v>0</v>
      </c>
      <c r="S387" s="74">
        <f>S724*'Get Started'!$D$31</f>
        <v>0</v>
      </c>
      <c r="T387" s="74">
        <f>T724*'Get Started'!$D$31</f>
        <v>0</v>
      </c>
      <c r="U387" s="74">
        <f>U724*'Get Started'!$D$31</f>
        <v>0</v>
      </c>
      <c r="V387" s="74">
        <f>V724*'Get Started'!$D$31</f>
        <v>0</v>
      </c>
      <c r="W387" s="74">
        <f>W724*'Get Started'!$D$31</f>
        <v>0</v>
      </c>
      <c r="X387" s="74">
        <f>X724*'Get Started'!$D$31</f>
        <v>0</v>
      </c>
      <c r="Y387" s="74">
        <f>Y724*'Get Started'!$D$31</f>
        <v>0</v>
      </c>
      <c r="Z387" s="74">
        <f>Z724*'Get Started'!$D$31</f>
        <v>0</v>
      </c>
    </row>
    <row r="388" hidden="1" outlineLevel="1">
      <c r="B388" s="93">
        <f t="shared" si="189"/>
        <v>18</v>
      </c>
      <c r="C388" s="40"/>
      <c r="D388" s="16" t="s">
        <v>161</v>
      </c>
      <c r="E388" s="74">
        <f t="shared" si="108"/>
        <v>0</v>
      </c>
      <c r="F388" s="74"/>
      <c r="G388" s="74">
        <f>G725*'Get Started'!$D$31</f>
        <v>0</v>
      </c>
      <c r="H388" s="74">
        <f>H725*'Get Started'!$D$31</f>
        <v>0</v>
      </c>
      <c r="I388" s="74">
        <f>I725*'Get Started'!$D$31</f>
        <v>0</v>
      </c>
      <c r="J388" s="74">
        <f>J725*'Get Started'!$D$31</f>
        <v>0</v>
      </c>
      <c r="K388" s="74">
        <f>K725*'Get Started'!$D$31</f>
        <v>0</v>
      </c>
      <c r="L388" s="74">
        <f>L725*'Get Started'!$D$31</f>
        <v>0</v>
      </c>
      <c r="M388" s="74">
        <f>M725*'Get Started'!$D$31</f>
        <v>0</v>
      </c>
      <c r="N388" s="74">
        <f>N725*'Get Started'!$D$31</f>
        <v>0</v>
      </c>
      <c r="O388" s="74">
        <f>O725*'Get Started'!$D$31</f>
        <v>0</v>
      </c>
      <c r="P388" s="74">
        <f>P725*'Get Started'!$D$31</f>
        <v>0</v>
      </c>
      <c r="Q388" s="74">
        <f>Q725*'Get Started'!$D$31</f>
        <v>0</v>
      </c>
      <c r="R388" s="74">
        <f>R725*'Get Started'!$D$31</f>
        <v>0</v>
      </c>
      <c r="S388" s="74">
        <f>S725*'Get Started'!$D$31</f>
        <v>0</v>
      </c>
      <c r="T388" s="74">
        <f>T725*'Get Started'!$D$31</f>
        <v>0</v>
      </c>
      <c r="U388" s="74">
        <f>U725*'Get Started'!$D$31</f>
        <v>0</v>
      </c>
      <c r="V388" s="74">
        <f>V725*'Get Started'!$D$31</f>
        <v>0</v>
      </c>
      <c r="W388" s="74">
        <f>W725*'Get Started'!$D$31</f>
        <v>0</v>
      </c>
      <c r="X388" s="74">
        <f>X725*'Get Started'!$D$31</f>
        <v>0</v>
      </c>
      <c r="Y388" s="74">
        <f>Y725*'Get Started'!$D$31</f>
        <v>0</v>
      </c>
      <c r="Z388" s="74">
        <f>Z725*'Get Started'!$D$31</f>
        <v>0</v>
      </c>
    </row>
    <row r="389" hidden="1" outlineLevel="1">
      <c r="B389" s="93">
        <f t="shared" si="189"/>
        <v>19</v>
      </c>
      <c r="C389" s="40"/>
      <c r="D389" s="16" t="s">
        <v>161</v>
      </c>
      <c r="E389" s="74">
        <f t="shared" si="108"/>
        <v>0</v>
      </c>
      <c r="F389" s="74"/>
      <c r="G389" s="74">
        <f>G726*'Get Started'!$D$31</f>
        <v>0</v>
      </c>
      <c r="H389" s="74">
        <f>H726*'Get Started'!$D$31</f>
        <v>0</v>
      </c>
      <c r="I389" s="74">
        <f>I726*'Get Started'!$D$31</f>
        <v>0</v>
      </c>
      <c r="J389" s="74">
        <f>J726*'Get Started'!$D$31</f>
        <v>0</v>
      </c>
      <c r="K389" s="74">
        <f>K726*'Get Started'!$D$31</f>
        <v>0</v>
      </c>
      <c r="L389" s="74">
        <f>L726*'Get Started'!$D$31</f>
        <v>0</v>
      </c>
      <c r="M389" s="74">
        <f>M726*'Get Started'!$D$31</f>
        <v>0</v>
      </c>
      <c r="N389" s="74">
        <f>N726*'Get Started'!$D$31</f>
        <v>0</v>
      </c>
      <c r="O389" s="74">
        <f>O726*'Get Started'!$D$31</f>
        <v>0</v>
      </c>
      <c r="P389" s="74">
        <f>P726*'Get Started'!$D$31</f>
        <v>0</v>
      </c>
      <c r="Q389" s="74">
        <f>Q726*'Get Started'!$D$31</f>
        <v>0</v>
      </c>
      <c r="R389" s="74">
        <f>R726*'Get Started'!$D$31</f>
        <v>0</v>
      </c>
      <c r="S389" s="74">
        <f>S726*'Get Started'!$D$31</f>
        <v>0</v>
      </c>
      <c r="T389" s="74">
        <f>T726*'Get Started'!$D$31</f>
        <v>0</v>
      </c>
      <c r="U389" s="74">
        <f>U726*'Get Started'!$D$31</f>
        <v>0</v>
      </c>
      <c r="V389" s="74">
        <f>V726*'Get Started'!$D$31</f>
        <v>0</v>
      </c>
      <c r="W389" s="74">
        <f>W726*'Get Started'!$D$31</f>
        <v>0</v>
      </c>
      <c r="X389" s="74">
        <f>X726*'Get Started'!$D$31</f>
        <v>0</v>
      </c>
      <c r="Y389" s="74">
        <f>Y726*'Get Started'!$D$31</f>
        <v>0</v>
      </c>
      <c r="Z389" s="74">
        <f>Z726*'Get Started'!$D$31</f>
        <v>0</v>
      </c>
    </row>
    <row r="390" hidden="1" outlineLevel="1">
      <c r="B390" s="93">
        <f t="shared" si="189"/>
        <v>20</v>
      </c>
      <c r="C390" s="40"/>
      <c r="D390" s="16" t="s">
        <v>161</v>
      </c>
      <c r="E390" s="74">
        <f t="shared" si="108"/>
        <v>0</v>
      </c>
      <c r="F390" s="74"/>
      <c r="G390" s="74">
        <f>G727*'Get Started'!$D$31</f>
        <v>0</v>
      </c>
      <c r="H390" s="74">
        <f>H727*'Get Started'!$D$31</f>
        <v>0</v>
      </c>
      <c r="I390" s="74">
        <f>I727*'Get Started'!$D$31</f>
        <v>0</v>
      </c>
      <c r="J390" s="74">
        <f>J727*'Get Started'!$D$31</f>
        <v>0</v>
      </c>
      <c r="K390" s="74">
        <f>K727*'Get Started'!$D$31</f>
        <v>0</v>
      </c>
      <c r="L390" s="74">
        <f>L727*'Get Started'!$D$31</f>
        <v>0</v>
      </c>
      <c r="M390" s="74">
        <f>M727*'Get Started'!$D$31</f>
        <v>0</v>
      </c>
      <c r="N390" s="74">
        <f>N727*'Get Started'!$D$31</f>
        <v>0</v>
      </c>
      <c r="O390" s="74">
        <f>O727*'Get Started'!$D$31</f>
        <v>0</v>
      </c>
      <c r="P390" s="74">
        <f>P727*'Get Started'!$D$31</f>
        <v>0</v>
      </c>
      <c r="Q390" s="74">
        <f>Q727*'Get Started'!$D$31</f>
        <v>0</v>
      </c>
      <c r="R390" s="74">
        <f>R727*'Get Started'!$D$31</f>
        <v>0</v>
      </c>
      <c r="S390" s="74">
        <f>S727*'Get Started'!$D$31</f>
        <v>0</v>
      </c>
      <c r="T390" s="74">
        <f>T727*'Get Started'!$D$31</f>
        <v>0</v>
      </c>
      <c r="U390" s="74">
        <f>U727*'Get Started'!$D$31</f>
        <v>0</v>
      </c>
      <c r="V390" s="74">
        <f>V727*'Get Started'!$D$31</f>
        <v>0</v>
      </c>
      <c r="W390" s="74">
        <f>W727*'Get Started'!$D$31</f>
        <v>0</v>
      </c>
      <c r="X390" s="74">
        <f>X727*'Get Started'!$D$31</f>
        <v>0</v>
      </c>
      <c r="Y390" s="74">
        <f>Y727*'Get Started'!$D$31</f>
        <v>0</v>
      </c>
      <c r="Z390" s="74">
        <f>Z727*'Get Started'!$D$31</f>
        <v>0</v>
      </c>
    </row>
    <row r="391" collapsed="1">
      <c r="B391" s="80" t="s">
        <v>142</v>
      </c>
      <c r="C391" s="16"/>
      <c r="D391" s="16" t="s">
        <v>161</v>
      </c>
      <c r="E391" s="74">
        <f t="shared" si="108"/>
        <v>301965840</v>
      </c>
      <c r="F391" s="78"/>
      <c r="G391" s="77">
        <f t="shared" ref="G391:Z391" si="190">sum(G392:G411)</f>
        <v>0</v>
      </c>
      <c r="H391" s="77">
        <f t="shared" si="190"/>
        <v>0</v>
      </c>
      <c r="I391" s="77">
        <f t="shared" si="190"/>
        <v>0</v>
      </c>
      <c r="J391" s="77">
        <f t="shared" si="190"/>
        <v>359342.5</v>
      </c>
      <c r="K391" s="77">
        <f t="shared" si="190"/>
        <v>359342.5</v>
      </c>
      <c r="L391" s="77">
        <f t="shared" si="190"/>
        <v>4302265</v>
      </c>
      <c r="M391" s="77">
        <f t="shared" si="190"/>
        <v>10151835.83</v>
      </c>
      <c r="N391" s="77">
        <f t="shared" si="190"/>
        <v>14032406.67</v>
      </c>
      <c r="O391" s="77">
        <f t="shared" si="190"/>
        <v>36747447</v>
      </c>
      <c r="P391" s="77">
        <f t="shared" si="190"/>
        <v>50407056.33</v>
      </c>
      <c r="Q391" s="77">
        <f t="shared" si="190"/>
        <v>66395008.17</v>
      </c>
      <c r="R391" s="77">
        <f t="shared" si="190"/>
        <v>59605568</v>
      </c>
      <c r="S391" s="77">
        <f t="shared" si="190"/>
        <v>39737045.33</v>
      </c>
      <c r="T391" s="77">
        <f t="shared" si="190"/>
        <v>19868522.67</v>
      </c>
      <c r="U391" s="77">
        <f t="shared" si="190"/>
        <v>0</v>
      </c>
      <c r="V391" s="77">
        <f t="shared" si="190"/>
        <v>0</v>
      </c>
      <c r="W391" s="77">
        <f t="shared" si="190"/>
        <v>0</v>
      </c>
      <c r="X391" s="77">
        <f t="shared" si="190"/>
        <v>0</v>
      </c>
      <c r="Y391" s="77">
        <f t="shared" si="190"/>
        <v>0</v>
      </c>
      <c r="Z391" s="77">
        <f t="shared" si="190"/>
        <v>0</v>
      </c>
    </row>
    <row r="392" hidden="1" outlineLevel="1">
      <c r="A392" s="16"/>
      <c r="B392" s="93">
        <f>G$4</f>
        <v>1</v>
      </c>
      <c r="C392" s="40"/>
      <c r="D392" s="16" t="s">
        <v>161</v>
      </c>
      <c r="E392" s="74">
        <f t="shared" si="108"/>
        <v>100655280</v>
      </c>
      <c r="F392" s="74"/>
      <c r="G392" s="74">
        <f t="shared" ref="G392:Z392" si="191">G645+G708-G371</f>
        <v>0</v>
      </c>
      <c r="H392" s="74">
        <f t="shared" si="191"/>
        <v>0</v>
      </c>
      <c r="I392" s="74">
        <f t="shared" si="191"/>
        <v>0</v>
      </c>
      <c r="J392" s="74">
        <f t="shared" si="191"/>
        <v>359342.5</v>
      </c>
      <c r="K392" s="74">
        <f t="shared" si="191"/>
        <v>0</v>
      </c>
      <c r="L392" s="74">
        <f t="shared" si="191"/>
        <v>3942922.5</v>
      </c>
      <c r="M392" s="74">
        <f t="shared" si="191"/>
        <v>6208913.333</v>
      </c>
      <c r="N392" s="74">
        <f t="shared" si="191"/>
        <v>3880570.833</v>
      </c>
      <c r="O392" s="74">
        <f t="shared" si="191"/>
        <v>26657962.83</v>
      </c>
      <c r="P392" s="74">
        <f t="shared" si="191"/>
        <v>19868522.67</v>
      </c>
      <c r="Q392" s="74">
        <f t="shared" si="191"/>
        <v>19868522.67</v>
      </c>
      <c r="R392" s="74">
        <f t="shared" si="191"/>
        <v>19868522.67</v>
      </c>
      <c r="S392" s="74">
        <f t="shared" si="191"/>
        <v>0</v>
      </c>
      <c r="T392" s="74">
        <f t="shared" si="191"/>
        <v>0</v>
      </c>
      <c r="U392" s="74">
        <f t="shared" si="191"/>
        <v>0</v>
      </c>
      <c r="V392" s="74">
        <f t="shared" si="191"/>
        <v>0</v>
      </c>
      <c r="W392" s="74">
        <f t="shared" si="191"/>
        <v>0</v>
      </c>
      <c r="X392" s="74">
        <f t="shared" si="191"/>
        <v>0</v>
      </c>
      <c r="Y392" s="74">
        <f t="shared" si="191"/>
        <v>0</v>
      </c>
      <c r="Z392" s="74">
        <f t="shared" si="191"/>
        <v>0</v>
      </c>
    </row>
    <row r="393" hidden="1" outlineLevel="1">
      <c r="A393" s="16"/>
      <c r="B393" s="93">
        <f t="shared" ref="B393:B411" si="193">B392+1</f>
        <v>2</v>
      </c>
      <c r="C393" s="40"/>
      <c r="D393" s="16" t="s">
        <v>161</v>
      </c>
      <c r="E393" s="74">
        <f t="shared" si="108"/>
        <v>100655280</v>
      </c>
      <c r="F393" s="74"/>
      <c r="G393" s="74">
        <f t="shared" ref="G393:Z393" si="192">G646+G709-G372</f>
        <v>0</v>
      </c>
      <c r="H393" s="74">
        <f t="shared" si="192"/>
        <v>0</v>
      </c>
      <c r="I393" s="74">
        <f t="shared" si="192"/>
        <v>0</v>
      </c>
      <c r="J393" s="74">
        <f t="shared" si="192"/>
        <v>0</v>
      </c>
      <c r="K393" s="74">
        <f t="shared" si="192"/>
        <v>359342.5</v>
      </c>
      <c r="L393" s="74">
        <f t="shared" si="192"/>
        <v>0</v>
      </c>
      <c r="M393" s="74">
        <f t="shared" si="192"/>
        <v>3942922.5</v>
      </c>
      <c r="N393" s="74">
        <f t="shared" si="192"/>
        <v>6208913.333</v>
      </c>
      <c r="O393" s="74">
        <f t="shared" si="192"/>
        <v>3880570.833</v>
      </c>
      <c r="P393" s="74">
        <f t="shared" si="192"/>
        <v>26657962.83</v>
      </c>
      <c r="Q393" s="74">
        <f t="shared" si="192"/>
        <v>19868522.67</v>
      </c>
      <c r="R393" s="74">
        <f t="shared" si="192"/>
        <v>19868522.67</v>
      </c>
      <c r="S393" s="74">
        <f t="shared" si="192"/>
        <v>19868522.67</v>
      </c>
      <c r="T393" s="74">
        <f t="shared" si="192"/>
        <v>0</v>
      </c>
      <c r="U393" s="74">
        <f t="shared" si="192"/>
        <v>0</v>
      </c>
      <c r="V393" s="74">
        <f t="shared" si="192"/>
        <v>0</v>
      </c>
      <c r="W393" s="74">
        <f t="shared" si="192"/>
        <v>0</v>
      </c>
      <c r="X393" s="74">
        <f t="shared" si="192"/>
        <v>0</v>
      </c>
      <c r="Y393" s="74">
        <f t="shared" si="192"/>
        <v>0</v>
      </c>
      <c r="Z393" s="74">
        <f t="shared" si="192"/>
        <v>0</v>
      </c>
    </row>
    <row r="394" hidden="1" outlineLevel="1">
      <c r="A394" s="16"/>
      <c r="B394" s="93">
        <f t="shared" si="193"/>
        <v>3</v>
      </c>
      <c r="C394" s="40"/>
      <c r="D394" s="16" t="s">
        <v>161</v>
      </c>
      <c r="E394" s="74">
        <f t="shared" si="108"/>
        <v>100655280</v>
      </c>
      <c r="F394" s="74"/>
      <c r="G394" s="74">
        <f t="shared" ref="G394:Z394" si="194">G647+G710-G373</f>
        <v>0</v>
      </c>
      <c r="H394" s="74">
        <f t="shared" si="194"/>
        <v>0</v>
      </c>
      <c r="I394" s="74">
        <f t="shared" si="194"/>
        <v>0</v>
      </c>
      <c r="J394" s="74">
        <f t="shared" si="194"/>
        <v>0</v>
      </c>
      <c r="K394" s="74">
        <f t="shared" si="194"/>
        <v>0</v>
      </c>
      <c r="L394" s="74">
        <f t="shared" si="194"/>
        <v>359342.5</v>
      </c>
      <c r="M394" s="74">
        <f t="shared" si="194"/>
        <v>0</v>
      </c>
      <c r="N394" s="74">
        <f t="shared" si="194"/>
        <v>3942922.5</v>
      </c>
      <c r="O394" s="74">
        <f t="shared" si="194"/>
        <v>6208913.333</v>
      </c>
      <c r="P394" s="74">
        <f t="shared" si="194"/>
        <v>3880570.833</v>
      </c>
      <c r="Q394" s="74">
        <f t="shared" si="194"/>
        <v>26657962.83</v>
      </c>
      <c r="R394" s="74">
        <f t="shared" si="194"/>
        <v>19868522.67</v>
      </c>
      <c r="S394" s="74">
        <f t="shared" si="194"/>
        <v>19868522.67</v>
      </c>
      <c r="T394" s="74">
        <f t="shared" si="194"/>
        <v>19868522.67</v>
      </c>
      <c r="U394" s="74">
        <f t="shared" si="194"/>
        <v>0</v>
      </c>
      <c r="V394" s="74">
        <f t="shared" si="194"/>
        <v>0</v>
      </c>
      <c r="W394" s="74">
        <f t="shared" si="194"/>
        <v>0</v>
      </c>
      <c r="X394" s="74">
        <f t="shared" si="194"/>
        <v>0</v>
      </c>
      <c r="Y394" s="74">
        <f t="shared" si="194"/>
        <v>0</v>
      </c>
      <c r="Z394" s="74">
        <f t="shared" si="194"/>
        <v>0</v>
      </c>
    </row>
    <row r="395" hidden="1" outlineLevel="1">
      <c r="A395" s="16"/>
      <c r="B395" s="93">
        <f t="shared" si="193"/>
        <v>4</v>
      </c>
      <c r="C395" s="40"/>
      <c r="D395" s="16" t="s">
        <v>161</v>
      </c>
      <c r="E395" s="74">
        <f t="shared" si="108"/>
        <v>0</v>
      </c>
      <c r="F395" s="74"/>
      <c r="G395" s="74">
        <f t="shared" ref="G395:Z395" si="195">G648+G711-G374</f>
        <v>0</v>
      </c>
      <c r="H395" s="74">
        <f t="shared" si="195"/>
        <v>0</v>
      </c>
      <c r="I395" s="74">
        <f t="shared" si="195"/>
        <v>0</v>
      </c>
      <c r="J395" s="74">
        <f t="shared" si="195"/>
        <v>0</v>
      </c>
      <c r="K395" s="74">
        <f t="shared" si="195"/>
        <v>0</v>
      </c>
      <c r="L395" s="74">
        <f t="shared" si="195"/>
        <v>0</v>
      </c>
      <c r="M395" s="74">
        <f t="shared" si="195"/>
        <v>0</v>
      </c>
      <c r="N395" s="74">
        <f t="shared" si="195"/>
        <v>0</v>
      </c>
      <c r="O395" s="74">
        <f t="shared" si="195"/>
        <v>0</v>
      </c>
      <c r="P395" s="74">
        <f t="shared" si="195"/>
        <v>0</v>
      </c>
      <c r="Q395" s="74">
        <f t="shared" si="195"/>
        <v>0</v>
      </c>
      <c r="R395" s="74">
        <f t="shared" si="195"/>
        <v>0</v>
      </c>
      <c r="S395" s="74">
        <f t="shared" si="195"/>
        <v>0</v>
      </c>
      <c r="T395" s="74">
        <f t="shared" si="195"/>
        <v>0</v>
      </c>
      <c r="U395" s="74">
        <f t="shared" si="195"/>
        <v>0</v>
      </c>
      <c r="V395" s="74">
        <f t="shared" si="195"/>
        <v>0</v>
      </c>
      <c r="W395" s="74">
        <f t="shared" si="195"/>
        <v>0</v>
      </c>
      <c r="X395" s="74">
        <f t="shared" si="195"/>
        <v>0</v>
      </c>
      <c r="Y395" s="74">
        <f t="shared" si="195"/>
        <v>0</v>
      </c>
      <c r="Z395" s="74">
        <f t="shared" si="195"/>
        <v>0</v>
      </c>
    </row>
    <row r="396" hidden="1" outlineLevel="1">
      <c r="A396" s="16"/>
      <c r="B396" s="93">
        <f t="shared" si="193"/>
        <v>5</v>
      </c>
      <c r="C396" s="40"/>
      <c r="D396" s="16" t="s">
        <v>161</v>
      </c>
      <c r="E396" s="74">
        <f t="shared" si="108"/>
        <v>0</v>
      </c>
      <c r="F396" s="74"/>
      <c r="G396" s="74">
        <f t="shared" ref="G396:Z396" si="196">G649+G712-G375</f>
        <v>0</v>
      </c>
      <c r="H396" s="74">
        <f t="shared" si="196"/>
        <v>0</v>
      </c>
      <c r="I396" s="74">
        <f t="shared" si="196"/>
        <v>0</v>
      </c>
      <c r="J396" s="74">
        <f t="shared" si="196"/>
        <v>0</v>
      </c>
      <c r="K396" s="74">
        <f t="shared" si="196"/>
        <v>0</v>
      </c>
      <c r="L396" s="74">
        <f t="shared" si="196"/>
        <v>0</v>
      </c>
      <c r="M396" s="74">
        <f t="shared" si="196"/>
        <v>0</v>
      </c>
      <c r="N396" s="74">
        <f t="shared" si="196"/>
        <v>0</v>
      </c>
      <c r="O396" s="74">
        <f t="shared" si="196"/>
        <v>0</v>
      </c>
      <c r="P396" s="74">
        <f t="shared" si="196"/>
        <v>0</v>
      </c>
      <c r="Q396" s="74">
        <f t="shared" si="196"/>
        <v>0</v>
      </c>
      <c r="R396" s="74">
        <f t="shared" si="196"/>
        <v>0</v>
      </c>
      <c r="S396" s="74">
        <f t="shared" si="196"/>
        <v>0</v>
      </c>
      <c r="T396" s="74">
        <f t="shared" si="196"/>
        <v>0</v>
      </c>
      <c r="U396" s="74">
        <f t="shared" si="196"/>
        <v>0</v>
      </c>
      <c r="V396" s="74">
        <f t="shared" si="196"/>
        <v>0</v>
      </c>
      <c r="W396" s="74">
        <f t="shared" si="196"/>
        <v>0</v>
      </c>
      <c r="X396" s="74">
        <f t="shared" si="196"/>
        <v>0</v>
      </c>
      <c r="Y396" s="74">
        <f t="shared" si="196"/>
        <v>0</v>
      </c>
      <c r="Z396" s="74">
        <f t="shared" si="196"/>
        <v>0</v>
      </c>
    </row>
    <row r="397" hidden="1" outlineLevel="1">
      <c r="A397" s="16"/>
      <c r="B397" s="93">
        <f t="shared" si="193"/>
        <v>6</v>
      </c>
      <c r="C397" s="40"/>
      <c r="D397" s="16" t="s">
        <v>161</v>
      </c>
      <c r="E397" s="74">
        <f t="shared" si="108"/>
        <v>0</v>
      </c>
      <c r="F397" s="74"/>
      <c r="G397" s="74">
        <f t="shared" ref="G397:Z397" si="197">G650+G713-G376</f>
        <v>0</v>
      </c>
      <c r="H397" s="74">
        <f t="shared" si="197"/>
        <v>0</v>
      </c>
      <c r="I397" s="74">
        <f t="shared" si="197"/>
        <v>0</v>
      </c>
      <c r="J397" s="74">
        <f t="shared" si="197"/>
        <v>0</v>
      </c>
      <c r="K397" s="74">
        <f t="shared" si="197"/>
        <v>0</v>
      </c>
      <c r="L397" s="74">
        <f t="shared" si="197"/>
        <v>0</v>
      </c>
      <c r="M397" s="74">
        <f t="shared" si="197"/>
        <v>0</v>
      </c>
      <c r="N397" s="74">
        <f t="shared" si="197"/>
        <v>0</v>
      </c>
      <c r="O397" s="74">
        <f t="shared" si="197"/>
        <v>0</v>
      </c>
      <c r="P397" s="74">
        <f t="shared" si="197"/>
        <v>0</v>
      </c>
      <c r="Q397" s="74">
        <f t="shared" si="197"/>
        <v>0</v>
      </c>
      <c r="R397" s="74">
        <f t="shared" si="197"/>
        <v>0</v>
      </c>
      <c r="S397" s="74">
        <f t="shared" si="197"/>
        <v>0</v>
      </c>
      <c r="T397" s="74">
        <f t="shared" si="197"/>
        <v>0</v>
      </c>
      <c r="U397" s="74">
        <f t="shared" si="197"/>
        <v>0</v>
      </c>
      <c r="V397" s="74">
        <f t="shared" si="197"/>
        <v>0</v>
      </c>
      <c r="W397" s="74">
        <f t="shared" si="197"/>
        <v>0</v>
      </c>
      <c r="X397" s="74">
        <f t="shared" si="197"/>
        <v>0</v>
      </c>
      <c r="Y397" s="74">
        <f t="shared" si="197"/>
        <v>0</v>
      </c>
      <c r="Z397" s="74">
        <f t="shared" si="197"/>
        <v>0</v>
      </c>
    </row>
    <row r="398" hidden="1" outlineLevel="1">
      <c r="A398" s="16"/>
      <c r="B398" s="93">
        <f t="shared" si="193"/>
        <v>7</v>
      </c>
      <c r="C398" s="40"/>
      <c r="D398" s="16" t="s">
        <v>161</v>
      </c>
      <c r="E398" s="74">
        <f t="shared" si="108"/>
        <v>0</v>
      </c>
      <c r="F398" s="74"/>
      <c r="G398" s="74">
        <f t="shared" ref="G398:Z398" si="198">G651+G714-G377</f>
        <v>0</v>
      </c>
      <c r="H398" s="74">
        <f t="shared" si="198"/>
        <v>0</v>
      </c>
      <c r="I398" s="74">
        <f t="shared" si="198"/>
        <v>0</v>
      </c>
      <c r="J398" s="74">
        <f t="shared" si="198"/>
        <v>0</v>
      </c>
      <c r="K398" s="74">
        <f t="shared" si="198"/>
        <v>0</v>
      </c>
      <c r="L398" s="74">
        <f t="shared" si="198"/>
        <v>0</v>
      </c>
      <c r="M398" s="74">
        <f t="shared" si="198"/>
        <v>0</v>
      </c>
      <c r="N398" s="74">
        <f t="shared" si="198"/>
        <v>0</v>
      </c>
      <c r="O398" s="74">
        <f t="shared" si="198"/>
        <v>0</v>
      </c>
      <c r="P398" s="74">
        <f t="shared" si="198"/>
        <v>0</v>
      </c>
      <c r="Q398" s="74">
        <f t="shared" si="198"/>
        <v>0</v>
      </c>
      <c r="R398" s="74">
        <f t="shared" si="198"/>
        <v>0</v>
      </c>
      <c r="S398" s="74">
        <f t="shared" si="198"/>
        <v>0</v>
      </c>
      <c r="T398" s="74">
        <f t="shared" si="198"/>
        <v>0</v>
      </c>
      <c r="U398" s="74">
        <f t="shared" si="198"/>
        <v>0</v>
      </c>
      <c r="V398" s="74">
        <f t="shared" si="198"/>
        <v>0</v>
      </c>
      <c r="W398" s="74">
        <f t="shared" si="198"/>
        <v>0</v>
      </c>
      <c r="X398" s="74">
        <f t="shared" si="198"/>
        <v>0</v>
      </c>
      <c r="Y398" s="74">
        <f t="shared" si="198"/>
        <v>0</v>
      </c>
      <c r="Z398" s="74">
        <f t="shared" si="198"/>
        <v>0</v>
      </c>
    </row>
    <row r="399" hidden="1" outlineLevel="1">
      <c r="A399" s="16"/>
      <c r="B399" s="93">
        <f t="shared" si="193"/>
        <v>8</v>
      </c>
      <c r="C399" s="40"/>
      <c r="D399" s="16" t="s">
        <v>161</v>
      </c>
      <c r="E399" s="74">
        <f t="shared" si="108"/>
        <v>0</v>
      </c>
      <c r="F399" s="74"/>
      <c r="G399" s="74">
        <f t="shared" ref="G399:Z399" si="199">G652+G715-G378</f>
        <v>0</v>
      </c>
      <c r="H399" s="74">
        <f t="shared" si="199"/>
        <v>0</v>
      </c>
      <c r="I399" s="74">
        <f t="shared" si="199"/>
        <v>0</v>
      </c>
      <c r="J399" s="74">
        <f t="shared" si="199"/>
        <v>0</v>
      </c>
      <c r="K399" s="74">
        <f t="shared" si="199"/>
        <v>0</v>
      </c>
      <c r="L399" s="74">
        <f t="shared" si="199"/>
        <v>0</v>
      </c>
      <c r="M399" s="74">
        <f t="shared" si="199"/>
        <v>0</v>
      </c>
      <c r="N399" s="74">
        <f t="shared" si="199"/>
        <v>0</v>
      </c>
      <c r="O399" s="74">
        <f t="shared" si="199"/>
        <v>0</v>
      </c>
      <c r="P399" s="74">
        <f t="shared" si="199"/>
        <v>0</v>
      </c>
      <c r="Q399" s="74">
        <f t="shared" si="199"/>
        <v>0</v>
      </c>
      <c r="R399" s="74">
        <f t="shared" si="199"/>
        <v>0</v>
      </c>
      <c r="S399" s="74">
        <f t="shared" si="199"/>
        <v>0</v>
      </c>
      <c r="T399" s="74">
        <f t="shared" si="199"/>
        <v>0</v>
      </c>
      <c r="U399" s="74">
        <f t="shared" si="199"/>
        <v>0</v>
      </c>
      <c r="V399" s="74">
        <f t="shared" si="199"/>
        <v>0</v>
      </c>
      <c r="W399" s="74">
        <f t="shared" si="199"/>
        <v>0</v>
      </c>
      <c r="X399" s="74">
        <f t="shared" si="199"/>
        <v>0</v>
      </c>
      <c r="Y399" s="74">
        <f t="shared" si="199"/>
        <v>0</v>
      </c>
      <c r="Z399" s="74">
        <f t="shared" si="199"/>
        <v>0</v>
      </c>
    </row>
    <row r="400" hidden="1" outlineLevel="1">
      <c r="A400" s="16"/>
      <c r="B400" s="93">
        <f t="shared" si="193"/>
        <v>9</v>
      </c>
      <c r="C400" s="40"/>
      <c r="D400" s="16" t="s">
        <v>161</v>
      </c>
      <c r="E400" s="74">
        <f t="shared" si="108"/>
        <v>0</v>
      </c>
      <c r="F400" s="74"/>
      <c r="G400" s="74">
        <f t="shared" ref="G400:Z400" si="200">G653+G716-G379</f>
        <v>0</v>
      </c>
      <c r="H400" s="74">
        <f t="shared" si="200"/>
        <v>0</v>
      </c>
      <c r="I400" s="74">
        <f t="shared" si="200"/>
        <v>0</v>
      </c>
      <c r="J400" s="74">
        <f t="shared" si="200"/>
        <v>0</v>
      </c>
      <c r="K400" s="74">
        <f t="shared" si="200"/>
        <v>0</v>
      </c>
      <c r="L400" s="74">
        <f t="shared" si="200"/>
        <v>0</v>
      </c>
      <c r="M400" s="74">
        <f t="shared" si="200"/>
        <v>0</v>
      </c>
      <c r="N400" s="74">
        <f t="shared" si="200"/>
        <v>0</v>
      </c>
      <c r="O400" s="74">
        <f t="shared" si="200"/>
        <v>0</v>
      </c>
      <c r="P400" s="74">
        <f t="shared" si="200"/>
        <v>0</v>
      </c>
      <c r="Q400" s="74">
        <f t="shared" si="200"/>
        <v>0</v>
      </c>
      <c r="R400" s="74">
        <f t="shared" si="200"/>
        <v>0</v>
      </c>
      <c r="S400" s="74">
        <f t="shared" si="200"/>
        <v>0</v>
      </c>
      <c r="T400" s="74">
        <f t="shared" si="200"/>
        <v>0</v>
      </c>
      <c r="U400" s="74">
        <f t="shared" si="200"/>
        <v>0</v>
      </c>
      <c r="V400" s="74">
        <f t="shared" si="200"/>
        <v>0</v>
      </c>
      <c r="W400" s="74">
        <f t="shared" si="200"/>
        <v>0</v>
      </c>
      <c r="X400" s="74">
        <f t="shared" si="200"/>
        <v>0</v>
      </c>
      <c r="Y400" s="74">
        <f t="shared" si="200"/>
        <v>0</v>
      </c>
      <c r="Z400" s="74">
        <f t="shared" si="200"/>
        <v>0</v>
      </c>
    </row>
    <row r="401" hidden="1" outlineLevel="1">
      <c r="A401" s="16"/>
      <c r="B401" s="93">
        <f t="shared" si="193"/>
        <v>10</v>
      </c>
      <c r="C401" s="40"/>
      <c r="D401" s="16" t="s">
        <v>161</v>
      </c>
      <c r="E401" s="74">
        <f t="shared" si="108"/>
        <v>0</v>
      </c>
      <c r="F401" s="74"/>
      <c r="G401" s="74">
        <f t="shared" ref="G401:Z401" si="201">G654+G717-G380</f>
        <v>0</v>
      </c>
      <c r="H401" s="74">
        <f t="shared" si="201"/>
        <v>0</v>
      </c>
      <c r="I401" s="74">
        <f t="shared" si="201"/>
        <v>0</v>
      </c>
      <c r="J401" s="74">
        <f t="shared" si="201"/>
        <v>0</v>
      </c>
      <c r="K401" s="74">
        <f t="shared" si="201"/>
        <v>0</v>
      </c>
      <c r="L401" s="74">
        <f t="shared" si="201"/>
        <v>0</v>
      </c>
      <c r="M401" s="74">
        <f t="shared" si="201"/>
        <v>0</v>
      </c>
      <c r="N401" s="74">
        <f t="shared" si="201"/>
        <v>0</v>
      </c>
      <c r="O401" s="74">
        <f t="shared" si="201"/>
        <v>0</v>
      </c>
      <c r="P401" s="74">
        <f t="shared" si="201"/>
        <v>0</v>
      </c>
      <c r="Q401" s="74">
        <f t="shared" si="201"/>
        <v>0</v>
      </c>
      <c r="R401" s="74">
        <f t="shared" si="201"/>
        <v>0</v>
      </c>
      <c r="S401" s="74">
        <f t="shared" si="201"/>
        <v>0</v>
      </c>
      <c r="T401" s="74">
        <f t="shared" si="201"/>
        <v>0</v>
      </c>
      <c r="U401" s="74">
        <f t="shared" si="201"/>
        <v>0</v>
      </c>
      <c r="V401" s="74">
        <f t="shared" si="201"/>
        <v>0</v>
      </c>
      <c r="W401" s="74">
        <f t="shared" si="201"/>
        <v>0</v>
      </c>
      <c r="X401" s="74">
        <f t="shared" si="201"/>
        <v>0</v>
      </c>
      <c r="Y401" s="74">
        <f t="shared" si="201"/>
        <v>0</v>
      </c>
      <c r="Z401" s="74">
        <f t="shared" si="201"/>
        <v>0</v>
      </c>
    </row>
    <row r="402" hidden="1" outlineLevel="1">
      <c r="A402" s="16"/>
      <c r="B402" s="93">
        <f t="shared" si="193"/>
        <v>11</v>
      </c>
      <c r="C402" s="40"/>
      <c r="D402" s="16" t="s">
        <v>161</v>
      </c>
      <c r="E402" s="74">
        <f t="shared" si="108"/>
        <v>0</v>
      </c>
      <c r="F402" s="74"/>
      <c r="G402" s="74">
        <f t="shared" ref="G402:Z402" si="202">G655+G718-G381</f>
        <v>0</v>
      </c>
      <c r="H402" s="74">
        <f t="shared" si="202"/>
        <v>0</v>
      </c>
      <c r="I402" s="74">
        <f t="shared" si="202"/>
        <v>0</v>
      </c>
      <c r="J402" s="74">
        <f t="shared" si="202"/>
        <v>0</v>
      </c>
      <c r="K402" s="74">
        <f t="shared" si="202"/>
        <v>0</v>
      </c>
      <c r="L402" s="74">
        <f t="shared" si="202"/>
        <v>0</v>
      </c>
      <c r="M402" s="74">
        <f t="shared" si="202"/>
        <v>0</v>
      </c>
      <c r="N402" s="74">
        <f t="shared" si="202"/>
        <v>0</v>
      </c>
      <c r="O402" s="74">
        <f t="shared" si="202"/>
        <v>0</v>
      </c>
      <c r="P402" s="74">
        <f t="shared" si="202"/>
        <v>0</v>
      </c>
      <c r="Q402" s="74">
        <f t="shared" si="202"/>
        <v>0</v>
      </c>
      <c r="R402" s="74">
        <f t="shared" si="202"/>
        <v>0</v>
      </c>
      <c r="S402" s="74">
        <f t="shared" si="202"/>
        <v>0</v>
      </c>
      <c r="T402" s="74">
        <f t="shared" si="202"/>
        <v>0</v>
      </c>
      <c r="U402" s="74">
        <f t="shared" si="202"/>
        <v>0</v>
      </c>
      <c r="V402" s="74">
        <f t="shared" si="202"/>
        <v>0</v>
      </c>
      <c r="W402" s="74">
        <f t="shared" si="202"/>
        <v>0</v>
      </c>
      <c r="X402" s="74">
        <f t="shared" si="202"/>
        <v>0</v>
      </c>
      <c r="Y402" s="74">
        <f t="shared" si="202"/>
        <v>0</v>
      </c>
      <c r="Z402" s="74">
        <f t="shared" si="202"/>
        <v>0</v>
      </c>
    </row>
    <row r="403" hidden="1" outlineLevel="1">
      <c r="A403" s="16"/>
      <c r="B403" s="93">
        <f t="shared" si="193"/>
        <v>12</v>
      </c>
      <c r="C403" s="40"/>
      <c r="D403" s="16" t="s">
        <v>161</v>
      </c>
      <c r="E403" s="74">
        <f t="shared" si="108"/>
        <v>0</v>
      </c>
      <c r="F403" s="74"/>
      <c r="G403" s="74">
        <f t="shared" ref="G403:Z403" si="203">G656+G719-G382</f>
        <v>0</v>
      </c>
      <c r="H403" s="74">
        <f t="shared" si="203"/>
        <v>0</v>
      </c>
      <c r="I403" s="74">
        <f t="shared" si="203"/>
        <v>0</v>
      </c>
      <c r="J403" s="74">
        <f t="shared" si="203"/>
        <v>0</v>
      </c>
      <c r="K403" s="74">
        <f t="shared" si="203"/>
        <v>0</v>
      </c>
      <c r="L403" s="74">
        <f t="shared" si="203"/>
        <v>0</v>
      </c>
      <c r="M403" s="74">
        <f t="shared" si="203"/>
        <v>0</v>
      </c>
      <c r="N403" s="74">
        <f t="shared" si="203"/>
        <v>0</v>
      </c>
      <c r="O403" s="74">
        <f t="shared" si="203"/>
        <v>0</v>
      </c>
      <c r="P403" s="74">
        <f t="shared" si="203"/>
        <v>0</v>
      </c>
      <c r="Q403" s="74">
        <f t="shared" si="203"/>
        <v>0</v>
      </c>
      <c r="R403" s="74">
        <f t="shared" si="203"/>
        <v>0</v>
      </c>
      <c r="S403" s="74">
        <f t="shared" si="203"/>
        <v>0</v>
      </c>
      <c r="T403" s="74">
        <f t="shared" si="203"/>
        <v>0</v>
      </c>
      <c r="U403" s="74">
        <f t="shared" si="203"/>
        <v>0</v>
      </c>
      <c r="V403" s="74">
        <f t="shared" si="203"/>
        <v>0</v>
      </c>
      <c r="W403" s="74">
        <f t="shared" si="203"/>
        <v>0</v>
      </c>
      <c r="X403" s="74">
        <f t="shared" si="203"/>
        <v>0</v>
      </c>
      <c r="Y403" s="74">
        <f t="shared" si="203"/>
        <v>0</v>
      </c>
      <c r="Z403" s="74">
        <f t="shared" si="203"/>
        <v>0</v>
      </c>
    </row>
    <row r="404" hidden="1" outlineLevel="1">
      <c r="A404" s="16"/>
      <c r="B404" s="93">
        <f t="shared" si="193"/>
        <v>13</v>
      </c>
      <c r="C404" s="40"/>
      <c r="D404" s="16" t="s">
        <v>161</v>
      </c>
      <c r="E404" s="74">
        <f t="shared" si="108"/>
        <v>0</v>
      </c>
      <c r="F404" s="74"/>
      <c r="G404" s="74">
        <f t="shared" ref="G404:Z404" si="204">G657+G720-G383</f>
        <v>0</v>
      </c>
      <c r="H404" s="74">
        <f t="shared" si="204"/>
        <v>0</v>
      </c>
      <c r="I404" s="74">
        <f t="shared" si="204"/>
        <v>0</v>
      </c>
      <c r="J404" s="74">
        <f t="shared" si="204"/>
        <v>0</v>
      </c>
      <c r="K404" s="74">
        <f t="shared" si="204"/>
        <v>0</v>
      </c>
      <c r="L404" s="74">
        <f t="shared" si="204"/>
        <v>0</v>
      </c>
      <c r="M404" s="74">
        <f t="shared" si="204"/>
        <v>0</v>
      </c>
      <c r="N404" s="74">
        <f t="shared" si="204"/>
        <v>0</v>
      </c>
      <c r="O404" s="74">
        <f t="shared" si="204"/>
        <v>0</v>
      </c>
      <c r="P404" s="74">
        <f t="shared" si="204"/>
        <v>0</v>
      </c>
      <c r="Q404" s="74">
        <f t="shared" si="204"/>
        <v>0</v>
      </c>
      <c r="R404" s="74">
        <f t="shared" si="204"/>
        <v>0</v>
      </c>
      <c r="S404" s="74">
        <f t="shared" si="204"/>
        <v>0</v>
      </c>
      <c r="T404" s="74">
        <f t="shared" si="204"/>
        <v>0</v>
      </c>
      <c r="U404" s="74">
        <f t="shared" si="204"/>
        <v>0</v>
      </c>
      <c r="V404" s="74">
        <f t="shared" si="204"/>
        <v>0</v>
      </c>
      <c r="W404" s="74">
        <f t="shared" si="204"/>
        <v>0</v>
      </c>
      <c r="X404" s="74">
        <f t="shared" si="204"/>
        <v>0</v>
      </c>
      <c r="Y404" s="74">
        <f t="shared" si="204"/>
        <v>0</v>
      </c>
      <c r="Z404" s="74">
        <f t="shared" si="204"/>
        <v>0</v>
      </c>
    </row>
    <row r="405" hidden="1" outlineLevel="1">
      <c r="A405" s="16"/>
      <c r="B405" s="93">
        <f t="shared" si="193"/>
        <v>14</v>
      </c>
      <c r="C405" s="40"/>
      <c r="D405" s="16" t="s">
        <v>161</v>
      </c>
      <c r="E405" s="74">
        <f t="shared" si="108"/>
        <v>0</v>
      </c>
      <c r="F405" s="74"/>
      <c r="G405" s="74">
        <f t="shared" ref="G405:Z405" si="205">G658+G721-G384</f>
        <v>0</v>
      </c>
      <c r="H405" s="74">
        <f t="shared" si="205"/>
        <v>0</v>
      </c>
      <c r="I405" s="74">
        <f t="shared" si="205"/>
        <v>0</v>
      </c>
      <c r="J405" s="74">
        <f t="shared" si="205"/>
        <v>0</v>
      </c>
      <c r="K405" s="74">
        <f t="shared" si="205"/>
        <v>0</v>
      </c>
      <c r="L405" s="74">
        <f t="shared" si="205"/>
        <v>0</v>
      </c>
      <c r="M405" s="74">
        <f t="shared" si="205"/>
        <v>0</v>
      </c>
      <c r="N405" s="74">
        <f t="shared" si="205"/>
        <v>0</v>
      </c>
      <c r="O405" s="74">
        <f t="shared" si="205"/>
        <v>0</v>
      </c>
      <c r="P405" s="74">
        <f t="shared" si="205"/>
        <v>0</v>
      </c>
      <c r="Q405" s="74">
        <f t="shared" si="205"/>
        <v>0</v>
      </c>
      <c r="R405" s="74">
        <f t="shared" si="205"/>
        <v>0</v>
      </c>
      <c r="S405" s="74">
        <f t="shared" si="205"/>
        <v>0</v>
      </c>
      <c r="T405" s="74">
        <f t="shared" si="205"/>
        <v>0</v>
      </c>
      <c r="U405" s="74">
        <f t="shared" si="205"/>
        <v>0</v>
      </c>
      <c r="V405" s="74">
        <f t="shared" si="205"/>
        <v>0</v>
      </c>
      <c r="W405" s="74">
        <f t="shared" si="205"/>
        <v>0</v>
      </c>
      <c r="X405" s="74">
        <f t="shared" si="205"/>
        <v>0</v>
      </c>
      <c r="Y405" s="74">
        <f t="shared" si="205"/>
        <v>0</v>
      </c>
      <c r="Z405" s="74">
        <f t="shared" si="205"/>
        <v>0</v>
      </c>
    </row>
    <row r="406" hidden="1" outlineLevel="1">
      <c r="A406" s="16"/>
      <c r="B406" s="93">
        <f t="shared" si="193"/>
        <v>15</v>
      </c>
      <c r="C406" s="40"/>
      <c r="D406" s="16" t="s">
        <v>161</v>
      </c>
      <c r="E406" s="74">
        <f t="shared" si="108"/>
        <v>0</v>
      </c>
      <c r="F406" s="74"/>
      <c r="G406" s="74">
        <f t="shared" ref="G406:Z406" si="206">G659+G722-G385</f>
        <v>0</v>
      </c>
      <c r="H406" s="74">
        <f t="shared" si="206"/>
        <v>0</v>
      </c>
      <c r="I406" s="74">
        <f t="shared" si="206"/>
        <v>0</v>
      </c>
      <c r="J406" s="74">
        <f t="shared" si="206"/>
        <v>0</v>
      </c>
      <c r="K406" s="74">
        <f t="shared" si="206"/>
        <v>0</v>
      </c>
      <c r="L406" s="74">
        <f t="shared" si="206"/>
        <v>0</v>
      </c>
      <c r="M406" s="74">
        <f t="shared" si="206"/>
        <v>0</v>
      </c>
      <c r="N406" s="74">
        <f t="shared" si="206"/>
        <v>0</v>
      </c>
      <c r="O406" s="74">
        <f t="shared" si="206"/>
        <v>0</v>
      </c>
      <c r="P406" s="74">
        <f t="shared" si="206"/>
        <v>0</v>
      </c>
      <c r="Q406" s="74">
        <f t="shared" si="206"/>
        <v>0</v>
      </c>
      <c r="R406" s="74">
        <f t="shared" si="206"/>
        <v>0</v>
      </c>
      <c r="S406" s="74">
        <f t="shared" si="206"/>
        <v>0</v>
      </c>
      <c r="T406" s="74">
        <f t="shared" si="206"/>
        <v>0</v>
      </c>
      <c r="U406" s="74">
        <f t="shared" si="206"/>
        <v>0</v>
      </c>
      <c r="V406" s="74">
        <f t="shared" si="206"/>
        <v>0</v>
      </c>
      <c r="W406" s="74">
        <f t="shared" si="206"/>
        <v>0</v>
      </c>
      <c r="X406" s="74">
        <f t="shared" si="206"/>
        <v>0</v>
      </c>
      <c r="Y406" s="74">
        <f t="shared" si="206"/>
        <v>0</v>
      </c>
      <c r="Z406" s="74">
        <f t="shared" si="206"/>
        <v>0</v>
      </c>
    </row>
    <row r="407" hidden="1" outlineLevel="1">
      <c r="A407" s="16"/>
      <c r="B407" s="93">
        <f t="shared" si="193"/>
        <v>16</v>
      </c>
      <c r="C407" s="40"/>
      <c r="D407" s="16" t="s">
        <v>161</v>
      </c>
      <c r="E407" s="74">
        <f t="shared" si="108"/>
        <v>0</v>
      </c>
      <c r="F407" s="74"/>
      <c r="G407" s="74">
        <f t="shared" ref="G407:Z407" si="207">G660+G723-G386</f>
        <v>0</v>
      </c>
      <c r="H407" s="74">
        <f t="shared" si="207"/>
        <v>0</v>
      </c>
      <c r="I407" s="74">
        <f t="shared" si="207"/>
        <v>0</v>
      </c>
      <c r="J407" s="74">
        <f t="shared" si="207"/>
        <v>0</v>
      </c>
      <c r="K407" s="74">
        <f t="shared" si="207"/>
        <v>0</v>
      </c>
      <c r="L407" s="74">
        <f t="shared" si="207"/>
        <v>0</v>
      </c>
      <c r="M407" s="74">
        <f t="shared" si="207"/>
        <v>0</v>
      </c>
      <c r="N407" s="74">
        <f t="shared" si="207"/>
        <v>0</v>
      </c>
      <c r="O407" s="74">
        <f t="shared" si="207"/>
        <v>0</v>
      </c>
      <c r="P407" s="74">
        <f t="shared" si="207"/>
        <v>0</v>
      </c>
      <c r="Q407" s="74">
        <f t="shared" si="207"/>
        <v>0</v>
      </c>
      <c r="R407" s="74">
        <f t="shared" si="207"/>
        <v>0</v>
      </c>
      <c r="S407" s="74">
        <f t="shared" si="207"/>
        <v>0</v>
      </c>
      <c r="T407" s="74">
        <f t="shared" si="207"/>
        <v>0</v>
      </c>
      <c r="U407" s="74">
        <f t="shared" si="207"/>
        <v>0</v>
      </c>
      <c r="V407" s="74">
        <f t="shared" si="207"/>
        <v>0</v>
      </c>
      <c r="W407" s="74">
        <f t="shared" si="207"/>
        <v>0</v>
      </c>
      <c r="X407" s="74">
        <f t="shared" si="207"/>
        <v>0</v>
      </c>
      <c r="Y407" s="74">
        <f t="shared" si="207"/>
        <v>0</v>
      </c>
      <c r="Z407" s="74">
        <f t="shared" si="207"/>
        <v>0</v>
      </c>
    </row>
    <row r="408" hidden="1" outlineLevel="1">
      <c r="A408" s="16"/>
      <c r="B408" s="93">
        <f t="shared" si="193"/>
        <v>17</v>
      </c>
      <c r="C408" s="40"/>
      <c r="D408" s="16" t="s">
        <v>161</v>
      </c>
      <c r="E408" s="74">
        <f t="shared" si="108"/>
        <v>0</v>
      </c>
      <c r="F408" s="74"/>
      <c r="G408" s="74">
        <f t="shared" ref="G408:Z408" si="208">G661+G724-G387</f>
        <v>0</v>
      </c>
      <c r="H408" s="74">
        <f t="shared" si="208"/>
        <v>0</v>
      </c>
      <c r="I408" s="74">
        <f t="shared" si="208"/>
        <v>0</v>
      </c>
      <c r="J408" s="74">
        <f t="shared" si="208"/>
        <v>0</v>
      </c>
      <c r="K408" s="74">
        <f t="shared" si="208"/>
        <v>0</v>
      </c>
      <c r="L408" s="74">
        <f t="shared" si="208"/>
        <v>0</v>
      </c>
      <c r="M408" s="74">
        <f t="shared" si="208"/>
        <v>0</v>
      </c>
      <c r="N408" s="74">
        <f t="shared" si="208"/>
        <v>0</v>
      </c>
      <c r="O408" s="74">
        <f t="shared" si="208"/>
        <v>0</v>
      </c>
      <c r="P408" s="74">
        <f t="shared" si="208"/>
        <v>0</v>
      </c>
      <c r="Q408" s="74">
        <f t="shared" si="208"/>
        <v>0</v>
      </c>
      <c r="R408" s="74">
        <f t="shared" si="208"/>
        <v>0</v>
      </c>
      <c r="S408" s="74">
        <f t="shared" si="208"/>
        <v>0</v>
      </c>
      <c r="T408" s="74">
        <f t="shared" si="208"/>
        <v>0</v>
      </c>
      <c r="U408" s="74">
        <f t="shared" si="208"/>
        <v>0</v>
      </c>
      <c r="V408" s="74">
        <f t="shared" si="208"/>
        <v>0</v>
      </c>
      <c r="W408" s="74">
        <f t="shared" si="208"/>
        <v>0</v>
      </c>
      <c r="X408" s="74">
        <f t="shared" si="208"/>
        <v>0</v>
      </c>
      <c r="Y408" s="74">
        <f t="shared" si="208"/>
        <v>0</v>
      </c>
      <c r="Z408" s="74">
        <f t="shared" si="208"/>
        <v>0</v>
      </c>
    </row>
    <row r="409" hidden="1" outlineLevel="1">
      <c r="A409" s="16"/>
      <c r="B409" s="93">
        <f t="shared" si="193"/>
        <v>18</v>
      </c>
      <c r="C409" s="40"/>
      <c r="D409" s="16" t="s">
        <v>161</v>
      </c>
      <c r="E409" s="74">
        <f t="shared" si="108"/>
        <v>0</v>
      </c>
      <c r="F409" s="74"/>
      <c r="G409" s="74">
        <f t="shared" ref="G409:Z409" si="209">G662+G725-G388</f>
        <v>0</v>
      </c>
      <c r="H409" s="74">
        <f t="shared" si="209"/>
        <v>0</v>
      </c>
      <c r="I409" s="74">
        <f t="shared" si="209"/>
        <v>0</v>
      </c>
      <c r="J409" s="74">
        <f t="shared" si="209"/>
        <v>0</v>
      </c>
      <c r="K409" s="74">
        <f t="shared" si="209"/>
        <v>0</v>
      </c>
      <c r="L409" s="74">
        <f t="shared" si="209"/>
        <v>0</v>
      </c>
      <c r="M409" s="74">
        <f t="shared" si="209"/>
        <v>0</v>
      </c>
      <c r="N409" s="74">
        <f t="shared" si="209"/>
        <v>0</v>
      </c>
      <c r="O409" s="74">
        <f t="shared" si="209"/>
        <v>0</v>
      </c>
      <c r="P409" s="74">
        <f t="shared" si="209"/>
        <v>0</v>
      </c>
      <c r="Q409" s="74">
        <f t="shared" si="209"/>
        <v>0</v>
      </c>
      <c r="R409" s="74">
        <f t="shared" si="209"/>
        <v>0</v>
      </c>
      <c r="S409" s="74">
        <f t="shared" si="209"/>
        <v>0</v>
      </c>
      <c r="T409" s="74">
        <f t="shared" si="209"/>
        <v>0</v>
      </c>
      <c r="U409" s="74">
        <f t="shared" si="209"/>
        <v>0</v>
      </c>
      <c r="V409" s="74">
        <f t="shared" si="209"/>
        <v>0</v>
      </c>
      <c r="W409" s="74">
        <f t="shared" si="209"/>
        <v>0</v>
      </c>
      <c r="X409" s="74">
        <f t="shared" si="209"/>
        <v>0</v>
      </c>
      <c r="Y409" s="74">
        <f t="shared" si="209"/>
        <v>0</v>
      </c>
      <c r="Z409" s="74">
        <f t="shared" si="209"/>
        <v>0</v>
      </c>
    </row>
    <row r="410" hidden="1" outlineLevel="1">
      <c r="A410" s="16"/>
      <c r="B410" s="93">
        <f t="shared" si="193"/>
        <v>19</v>
      </c>
      <c r="C410" s="40"/>
      <c r="D410" s="16" t="s">
        <v>161</v>
      </c>
      <c r="E410" s="74">
        <f t="shared" si="108"/>
        <v>0</v>
      </c>
      <c r="F410" s="74"/>
      <c r="G410" s="74">
        <f t="shared" ref="G410:Z410" si="210">G663+G726-G389</f>
        <v>0</v>
      </c>
      <c r="H410" s="74">
        <f t="shared" si="210"/>
        <v>0</v>
      </c>
      <c r="I410" s="74">
        <f t="shared" si="210"/>
        <v>0</v>
      </c>
      <c r="J410" s="74">
        <f t="shared" si="210"/>
        <v>0</v>
      </c>
      <c r="K410" s="74">
        <f t="shared" si="210"/>
        <v>0</v>
      </c>
      <c r="L410" s="74">
        <f t="shared" si="210"/>
        <v>0</v>
      </c>
      <c r="M410" s="74">
        <f t="shared" si="210"/>
        <v>0</v>
      </c>
      <c r="N410" s="74">
        <f t="shared" si="210"/>
        <v>0</v>
      </c>
      <c r="O410" s="74">
        <f t="shared" si="210"/>
        <v>0</v>
      </c>
      <c r="P410" s="74">
        <f t="shared" si="210"/>
        <v>0</v>
      </c>
      <c r="Q410" s="74">
        <f t="shared" si="210"/>
        <v>0</v>
      </c>
      <c r="R410" s="74">
        <f t="shared" si="210"/>
        <v>0</v>
      </c>
      <c r="S410" s="74">
        <f t="shared" si="210"/>
        <v>0</v>
      </c>
      <c r="T410" s="74">
        <f t="shared" si="210"/>
        <v>0</v>
      </c>
      <c r="U410" s="74">
        <f t="shared" si="210"/>
        <v>0</v>
      </c>
      <c r="V410" s="74">
        <f t="shared" si="210"/>
        <v>0</v>
      </c>
      <c r="W410" s="74">
        <f t="shared" si="210"/>
        <v>0</v>
      </c>
      <c r="X410" s="74">
        <f t="shared" si="210"/>
        <v>0</v>
      </c>
      <c r="Y410" s="74">
        <f t="shared" si="210"/>
        <v>0</v>
      </c>
      <c r="Z410" s="74">
        <f t="shared" si="210"/>
        <v>0</v>
      </c>
    </row>
    <row r="411" hidden="1" outlineLevel="1">
      <c r="A411" s="16"/>
      <c r="B411" s="93">
        <f t="shared" si="193"/>
        <v>20</v>
      </c>
      <c r="C411" s="40"/>
      <c r="D411" s="16" t="s">
        <v>161</v>
      </c>
      <c r="E411" s="74">
        <f t="shared" si="108"/>
        <v>0</v>
      </c>
      <c r="F411" s="74"/>
      <c r="G411" s="74">
        <f t="shared" ref="G411:Z411" si="211">G664+G727-G390</f>
        <v>0</v>
      </c>
      <c r="H411" s="74">
        <f t="shared" si="211"/>
        <v>0</v>
      </c>
      <c r="I411" s="74">
        <f t="shared" si="211"/>
        <v>0</v>
      </c>
      <c r="J411" s="74">
        <f t="shared" si="211"/>
        <v>0</v>
      </c>
      <c r="K411" s="74">
        <f t="shared" si="211"/>
        <v>0</v>
      </c>
      <c r="L411" s="74">
        <f t="shared" si="211"/>
        <v>0</v>
      </c>
      <c r="M411" s="74">
        <f t="shared" si="211"/>
        <v>0</v>
      </c>
      <c r="N411" s="74">
        <f t="shared" si="211"/>
        <v>0</v>
      </c>
      <c r="O411" s="74">
        <f t="shared" si="211"/>
        <v>0</v>
      </c>
      <c r="P411" s="74">
        <f t="shared" si="211"/>
        <v>0</v>
      </c>
      <c r="Q411" s="74">
        <f t="shared" si="211"/>
        <v>0</v>
      </c>
      <c r="R411" s="74">
        <f t="shared" si="211"/>
        <v>0</v>
      </c>
      <c r="S411" s="74">
        <f t="shared" si="211"/>
        <v>0</v>
      </c>
      <c r="T411" s="74">
        <f t="shared" si="211"/>
        <v>0</v>
      </c>
      <c r="U411" s="74">
        <f t="shared" si="211"/>
        <v>0</v>
      </c>
      <c r="V411" s="74">
        <f t="shared" si="211"/>
        <v>0</v>
      </c>
      <c r="W411" s="74">
        <f t="shared" si="211"/>
        <v>0</v>
      </c>
      <c r="X411" s="74">
        <f t="shared" si="211"/>
        <v>0</v>
      </c>
      <c r="Y411" s="74">
        <f t="shared" si="211"/>
        <v>0</v>
      </c>
      <c r="Z411" s="74">
        <f t="shared" si="211"/>
        <v>0</v>
      </c>
    </row>
    <row r="412">
      <c r="B412" s="80" t="s">
        <v>188</v>
      </c>
      <c r="C412" s="16" t="s">
        <v>233</v>
      </c>
      <c r="D412" s="16" t="s">
        <v>161</v>
      </c>
      <c r="E412" s="74">
        <f t="shared" si="108"/>
        <v>0</v>
      </c>
      <c r="F412" s="74"/>
      <c r="G412" s="74">
        <v>0.0</v>
      </c>
      <c r="H412" s="74">
        <v>0.0</v>
      </c>
      <c r="I412" s="74">
        <v>0.0</v>
      </c>
      <c r="J412" s="74">
        <v>0.0</v>
      </c>
      <c r="K412" s="74">
        <v>0.0</v>
      </c>
      <c r="L412" s="74">
        <v>0.0</v>
      </c>
      <c r="M412" s="74">
        <v>0.0</v>
      </c>
      <c r="N412" s="74">
        <v>0.0</v>
      </c>
      <c r="O412" s="74">
        <v>0.0</v>
      </c>
      <c r="P412" s="74">
        <v>0.0</v>
      </c>
      <c r="Q412" s="74">
        <v>0.0</v>
      </c>
      <c r="R412" s="74">
        <v>0.0</v>
      </c>
      <c r="S412" s="74">
        <v>0.0</v>
      </c>
      <c r="T412" s="74">
        <v>0.0</v>
      </c>
      <c r="U412" s="74">
        <v>0.0</v>
      </c>
      <c r="V412" s="74">
        <v>0.0</v>
      </c>
      <c r="W412" s="74">
        <v>0.0</v>
      </c>
      <c r="X412" s="74">
        <v>0.0</v>
      </c>
      <c r="Y412" s="74">
        <v>0.0</v>
      </c>
      <c r="Z412" s="74">
        <v>0.0</v>
      </c>
    </row>
    <row r="413" collapsed="1">
      <c r="B413" s="80" t="s">
        <v>191</v>
      </c>
      <c r="C413" s="16"/>
      <c r="D413" s="16" t="s">
        <v>161</v>
      </c>
      <c r="E413" s="74">
        <f t="shared" si="108"/>
        <v>-0.00000001676380634</v>
      </c>
      <c r="F413" s="78"/>
      <c r="G413" s="77">
        <f t="shared" ref="G413:Z413" si="212">sum(G414:G433)</f>
        <v>4656685</v>
      </c>
      <c r="H413" s="77">
        <f t="shared" si="212"/>
        <v>12417826.67</v>
      </c>
      <c r="I413" s="77">
        <f t="shared" si="212"/>
        <v>20178968.33</v>
      </c>
      <c r="J413" s="77">
        <f t="shared" si="212"/>
        <v>22701339.38</v>
      </c>
      <c r="K413" s="77">
        <f t="shared" si="212"/>
        <v>17462568.75</v>
      </c>
      <c r="L413" s="77">
        <f t="shared" si="212"/>
        <v>8149198.75</v>
      </c>
      <c r="M413" s="77">
        <f t="shared" si="212"/>
        <v>-582085.625</v>
      </c>
      <c r="N413" s="77">
        <f t="shared" si="212"/>
        <v>-4074599.375</v>
      </c>
      <c r="O413" s="77">
        <f t="shared" si="212"/>
        <v>-9701427.083</v>
      </c>
      <c r="P413" s="77">
        <f t="shared" si="212"/>
        <v>-14358112.08</v>
      </c>
      <c r="Q413" s="77">
        <f t="shared" si="212"/>
        <v>-19596882.71</v>
      </c>
      <c r="R413" s="77">
        <f t="shared" si="212"/>
        <v>-18626740</v>
      </c>
      <c r="S413" s="77">
        <f t="shared" si="212"/>
        <v>-12417826.67</v>
      </c>
      <c r="T413" s="77">
        <f t="shared" si="212"/>
        <v>-6208913.333</v>
      </c>
      <c r="U413" s="77">
        <f t="shared" si="212"/>
        <v>0</v>
      </c>
      <c r="V413" s="77">
        <f t="shared" si="212"/>
        <v>0</v>
      </c>
      <c r="W413" s="77">
        <f t="shared" si="212"/>
        <v>0</v>
      </c>
      <c r="X413" s="77">
        <f t="shared" si="212"/>
        <v>0</v>
      </c>
      <c r="Y413" s="77">
        <f t="shared" si="212"/>
        <v>0</v>
      </c>
      <c r="Z413" s="77">
        <f t="shared" si="212"/>
        <v>0</v>
      </c>
    </row>
    <row r="414" hidden="1" outlineLevel="1">
      <c r="B414" s="93">
        <f>G$4</f>
        <v>1</v>
      </c>
      <c r="C414" s="40"/>
      <c r="D414" s="16" t="s">
        <v>161</v>
      </c>
      <c r="E414" s="74">
        <f t="shared" si="108"/>
        <v>0.000000005587935448</v>
      </c>
      <c r="F414" s="74"/>
      <c r="G414" s="74">
        <f>G243+G348/'Get Started'!$F$47*-1</f>
        <v>4656685</v>
      </c>
      <c r="H414" s="74">
        <f>H243+H348/'Get Started'!$F$47*-1</f>
        <v>7761141.667</v>
      </c>
      <c r="I414" s="74">
        <f>I243+I348/'Get Started'!$F$47*-1</f>
        <v>7761141.667</v>
      </c>
      <c r="J414" s="74">
        <f>J243+J348/'Get Started'!$F$47*-1</f>
        <v>7179056.042</v>
      </c>
      <c r="K414" s="74">
        <f>K243+K348/'Get Started'!$F$47*-1</f>
        <v>2522371.042</v>
      </c>
      <c r="L414" s="74">
        <f>L243+L348/'Get Started'!$F$47*-1</f>
        <v>-1552228.333</v>
      </c>
      <c r="M414" s="74">
        <f>M243+M348/'Get Started'!$F$47*-1</f>
        <v>-1552228.333</v>
      </c>
      <c r="N414" s="74">
        <f>N243+N348/'Get Started'!$F$47*-1</f>
        <v>-970142.7083</v>
      </c>
      <c r="O414" s="74">
        <f>O243+O348/'Get Started'!$F$47*-1</f>
        <v>-7179056.042</v>
      </c>
      <c r="P414" s="74">
        <f>P243+P348/'Get Started'!$F$47*-1</f>
        <v>-6208913.333</v>
      </c>
      <c r="Q414" s="74">
        <f>Q243+Q348/'Get Started'!$F$47*-1</f>
        <v>-6208913.333</v>
      </c>
      <c r="R414" s="74">
        <f>R243+R348/'Get Started'!$F$47*-1</f>
        <v>-6208913.333</v>
      </c>
      <c r="S414" s="74">
        <f>S243+S348/'Get Started'!$F$47*-1</f>
        <v>0</v>
      </c>
      <c r="T414" s="74">
        <f>T243+T348/'Get Started'!$F$47*-1</f>
        <v>0</v>
      </c>
      <c r="U414" s="74">
        <f>U243+U348/'Get Started'!$F$47*-1</f>
        <v>0</v>
      </c>
      <c r="V414" s="74">
        <f>V243+V348/'Get Started'!$F$47*-1</f>
        <v>0</v>
      </c>
      <c r="W414" s="74">
        <f>W243+W348/'Get Started'!$F$47*-1</f>
        <v>0</v>
      </c>
      <c r="X414" s="74">
        <f>X243+X348/'Get Started'!$F$47*-1</f>
        <v>0</v>
      </c>
      <c r="Y414" s="74">
        <f>Y243+Y348/'Get Started'!$F$47*-1</f>
        <v>0</v>
      </c>
      <c r="Z414" s="74">
        <f>Z243+Z348/'Get Started'!$F$47*-1</f>
        <v>0</v>
      </c>
    </row>
    <row r="415" hidden="1" outlineLevel="1">
      <c r="B415" s="93">
        <f t="shared" ref="B415:B433" si="213">B414+1</f>
        <v>2</v>
      </c>
      <c r="C415" s="40"/>
      <c r="D415" s="16" t="s">
        <v>161</v>
      </c>
      <c r="E415" s="74">
        <f t="shared" si="108"/>
        <v>0.000000005587935448</v>
      </c>
      <c r="F415" s="74"/>
      <c r="G415" s="74">
        <f>G244+G349/'Get Started'!$F$47*-1</f>
        <v>0</v>
      </c>
      <c r="H415" s="74">
        <f>H244+H349/'Get Started'!$F$47*-1</f>
        <v>4656685</v>
      </c>
      <c r="I415" s="74">
        <f>I244+I349/'Get Started'!$F$47*-1</f>
        <v>7761141.667</v>
      </c>
      <c r="J415" s="74">
        <f>J244+J349/'Get Started'!$F$47*-1</f>
        <v>7761141.667</v>
      </c>
      <c r="K415" s="74">
        <f>K244+K349/'Get Started'!$F$47*-1</f>
        <v>7179056.042</v>
      </c>
      <c r="L415" s="74">
        <f>L244+L349/'Get Started'!$F$47*-1</f>
        <v>2522371.042</v>
      </c>
      <c r="M415" s="74">
        <f>M244+M349/'Get Started'!$F$47*-1</f>
        <v>-1552228.333</v>
      </c>
      <c r="N415" s="74">
        <f>N244+N349/'Get Started'!$F$47*-1</f>
        <v>-1552228.333</v>
      </c>
      <c r="O415" s="74">
        <f>O244+O349/'Get Started'!$F$47*-1</f>
        <v>-970142.7083</v>
      </c>
      <c r="P415" s="74">
        <f>P244+P349/'Get Started'!$F$47*-1</f>
        <v>-7179056.042</v>
      </c>
      <c r="Q415" s="74">
        <f>Q244+Q349/'Get Started'!$F$47*-1</f>
        <v>-6208913.333</v>
      </c>
      <c r="R415" s="74">
        <f>R244+R349/'Get Started'!$F$47*-1</f>
        <v>-6208913.333</v>
      </c>
      <c r="S415" s="74">
        <f>S244+S349/'Get Started'!$F$47*-1</f>
        <v>-6208913.333</v>
      </c>
      <c r="T415" s="74">
        <f>T244+T349/'Get Started'!$F$47*-1</f>
        <v>0</v>
      </c>
      <c r="U415" s="74">
        <f>U244+U349/'Get Started'!$F$47*-1</f>
        <v>0</v>
      </c>
      <c r="V415" s="74">
        <f>V244+V349/'Get Started'!$F$47*-1</f>
        <v>0</v>
      </c>
      <c r="W415" s="74">
        <f>W244+W349/'Get Started'!$F$47*-1</f>
        <v>0</v>
      </c>
      <c r="X415" s="74">
        <f>X244+X349/'Get Started'!$F$47*-1</f>
        <v>0</v>
      </c>
      <c r="Y415" s="74">
        <f>Y244+Y349/'Get Started'!$F$47*-1</f>
        <v>0</v>
      </c>
      <c r="Z415" s="74">
        <f>Z244+Z349/'Get Started'!$F$47*-1</f>
        <v>0</v>
      </c>
    </row>
    <row r="416" hidden="1" outlineLevel="1">
      <c r="B416" s="93">
        <f t="shared" si="213"/>
        <v>3</v>
      </c>
      <c r="C416" s="40"/>
      <c r="D416" s="16" t="s">
        <v>161</v>
      </c>
      <c r="E416" s="74">
        <f t="shared" si="108"/>
        <v>0.000000005587935448</v>
      </c>
      <c r="F416" s="74"/>
      <c r="G416" s="74">
        <f>G245+G350/'Get Started'!$F$47*-1</f>
        <v>0</v>
      </c>
      <c r="H416" s="74">
        <f>H245+H350/'Get Started'!$F$47*-1</f>
        <v>0</v>
      </c>
      <c r="I416" s="74">
        <f>I245+I350/'Get Started'!$F$47*-1</f>
        <v>4656685</v>
      </c>
      <c r="J416" s="74">
        <f>J245+J350/'Get Started'!$F$47*-1</f>
        <v>7761141.667</v>
      </c>
      <c r="K416" s="74">
        <f>K245+K350/'Get Started'!$F$47*-1</f>
        <v>7761141.667</v>
      </c>
      <c r="L416" s="74">
        <f>L245+L350/'Get Started'!$F$47*-1</f>
        <v>7179056.042</v>
      </c>
      <c r="M416" s="74">
        <f>M245+M350/'Get Started'!$F$47*-1</f>
        <v>2522371.042</v>
      </c>
      <c r="N416" s="74">
        <f>N245+N350/'Get Started'!$F$47*-1</f>
        <v>-1552228.333</v>
      </c>
      <c r="O416" s="74">
        <f>O245+O350/'Get Started'!$F$47*-1</f>
        <v>-1552228.333</v>
      </c>
      <c r="P416" s="74">
        <f>P245+P350/'Get Started'!$F$47*-1</f>
        <v>-970142.7083</v>
      </c>
      <c r="Q416" s="74">
        <f>Q245+Q350/'Get Started'!$F$47*-1</f>
        <v>-7179056.042</v>
      </c>
      <c r="R416" s="74">
        <f>R245+R350/'Get Started'!$F$47*-1</f>
        <v>-6208913.333</v>
      </c>
      <c r="S416" s="74">
        <f>S245+S350/'Get Started'!$F$47*-1</f>
        <v>-6208913.333</v>
      </c>
      <c r="T416" s="74">
        <f>T245+T350/'Get Started'!$F$47*-1</f>
        <v>-6208913.333</v>
      </c>
      <c r="U416" s="74">
        <f>U245+U350/'Get Started'!$F$47*-1</f>
        <v>0</v>
      </c>
      <c r="V416" s="74">
        <f>V245+V350/'Get Started'!$F$47*-1</f>
        <v>0</v>
      </c>
      <c r="W416" s="74">
        <f>W245+W350/'Get Started'!$F$47*-1</f>
        <v>0</v>
      </c>
      <c r="X416" s="74">
        <f>X245+X350/'Get Started'!$F$47*-1</f>
        <v>0</v>
      </c>
      <c r="Y416" s="74">
        <f>Y245+Y350/'Get Started'!$F$47*-1</f>
        <v>0</v>
      </c>
      <c r="Z416" s="74">
        <f>Z245+Z350/'Get Started'!$F$47*-1</f>
        <v>0</v>
      </c>
    </row>
    <row r="417" hidden="1" outlineLevel="1">
      <c r="B417" s="93">
        <f t="shared" si="213"/>
        <v>4</v>
      </c>
      <c r="C417" s="40"/>
      <c r="D417" s="16" t="s">
        <v>161</v>
      </c>
      <c r="E417" s="74">
        <f t="shared" si="108"/>
        <v>0</v>
      </c>
      <c r="F417" s="74"/>
      <c r="G417" s="74">
        <f>G246+G351/'Get Started'!$F$47*-1</f>
        <v>0</v>
      </c>
      <c r="H417" s="74">
        <f>H246+H351/'Get Started'!$F$47*-1</f>
        <v>0</v>
      </c>
      <c r="I417" s="74">
        <f>I246+I351/'Get Started'!$F$47*-1</f>
        <v>0</v>
      </c>
      <c r="J417" s="74">
        <f>J246+J351/'Get Started'!$F$47*-1</f>
        <v>0</v>
      </c>
      <c r="K417" s="74">
        <f>K246+K351/'Get Started'!$F$47*-1</f>
        <v>0</v>
      </c>
      <c r="L417" s="74">
        <f>L246+L351/'Get Started'!$F$47*-1</f>
        <v>0</v>
      </c>
      <c r="M417" s="74">
        <f>M246+M351/'Get Started'!$F$47*-1</f>
        <v>0</v>
      </c>
      <c r="N417" s="74">
        <f>N246+N351/'Get Started'!$F$47*-1</f>
        <v>0</v>
      </c>
      <c r="O417" s="74">
        <f>O246+O351/'Get Started'!$F$47*-1</f>
        <v>0</v>
      </c>
      <c r="P417" s="74">
        <f>P246+P351/'Get Started'!$F$47*-1</f>
        <v>0</v>
      </c>
      <c r="Q417" s="74">
        <f>Q246+Q351/'Get Started'!$F$47*-1</f>
        <v>0</v>
      </c>
      <c r="R417" s="74">
        <f>R246+R351/'Get Started'!$F$47*-1</f>
        <v>0</v>
      </c>
      <c r="S417" s="74">
        <f>S246+S351/'Get Started'!$F$47*-1</f>
        <v>0</v>
      </c>
      <c r="T417" s="74">
        <f>T246+T351/'Get Started'!$F$47*-1</f>
        <v>0</v>
      </c>
      <c r="U417" s="74">
        <f>U246+U351/'Get Started'!$F$47*-1</f>
        <v>0</v>
      </c>
      <c r="V417" s="74">
        <f>V246+V351/'Get Started'!$F$47*-1</f>
        <v>0</v>
      </c>
      <c r="W417" s="74">
        <f>W246+W351/'Get Started'!$F$47*-1</f>
        <v>0</v>
      </c>
      <c r="X417" s="74">
        <f>X246+X351/'Get Started'!$F$47*-1</f>
        <v>0</v>
      </c>
      <c r="Y417" s="74">
        <f>Y246+Y351/'Get Started'!$F$47*-1</f>
        <v>0</v>
      </c>
      <c r="Z417" s="74">
        <f>Z246+Z351/'Get Started'!$F$47*-1</f>
        <v>0</v>
      </c>
    </row>
    <row r="418" hidden="1" outlineLevel="1">
      <c r="B418" s="93">
        <f t="shared" si="213"/>
        <v>5</v>
      </c>
      <c r="C418" s="40"/>
      <c r="D418" s="16" t="s">
        <v>161</v>
      </c>
      <c r="E418" s="74">
        <f t="shared" si="108"/>
        <v>0</v>
      </c>
      <c r="F418" s="74"/>
      <c r="G418" s="74">
        <f>G247+G352/'Get Started'!$F$47*-1</f>
        <v>0</v>
      </c>
      <c r="H418" s="74">
        <f>H247+H352/'Get Started'!$F$47*-1</f>
        <v>0</v>
      </c>
      <c r="I418" s="74">
        <f>I247+I352/'Get Started'!$F$47*-1</f>
        <v>0</v>
      </c>
      <c r="J418" s="74">
        <f>J247+J352/'Get Started'!$F$47*-1</f>
        <v>0</v>
      </c>
      <c r="K418" s="74">
        <f>K247+K352/'Get Started'!$F$47*-1</f>
        <v>0</v>
      </c>
      <c r="L418" s="74">
        <f>L247+L352/'Get Started'!$F$47*-1</f>
        <v>0</v>
      </c>
      <c r="M418" s="74">
        <f>M247+M352/'Get Started'!$F$47*-1</f>
        <v>0</v>
      </c>
      <c r="N418" s="74">
        <f>N247+N352/'Get Started'!$F$47*-1</f>
        <v>0</v>
      </c>
      <c r="O418" s="74">
        <f>O247+O352/'Get Started'!$F$47*-1</f>
        <v>0</v>
      </c>
      <c r="P418" s="74">
        <f>P247+P352/'Get Started'!$F$47*-1</f>
        <v>0</v>
      </c>
      <c r="Q418" s="74">
        <f>Q247+Q352/'Get Started'!$F$47*-1</f>
        <v>0</v>
      </c>
      <c r="R418" s="74">
        <f>R247+R352/'Get Started'!$F$47*-1</f>
        <v>0</v>
      </c>
      <c r="S418" s="74">
        <f>S247+S352/'Get Started'!$F$47*-1</f>
        <v>0</v>
      </c>
      <c r="T418" s="74">
        <f>T247+T352/'Get Started'!$F$47*-1</f>
        <v>0</v>
      </c>
      <c r="U418" s="74">
        <f>U247+U352/'Get Started'!$F$47*-1</f>
        <v>0</v>
      </c>
      <c r="V418" s="74">
        <f>V247+V352/'Get Started'!$F$47*-1</f>
        <v>0</v>
      </c>
      <c r="W418" s="74">
        <f>W247+W352/'Get Started'!$F$47*-1</f>
        <v>0</v>
      </c>
      <c r="X418" s="74">
        <f>X247+X352/'Get Started'!$F$47*-1</f>
        <v>0</v>
      </c>
      <c r="Y418" s="74">
        <f>Y247+Y352/'Get Started'!$F$47*-1</f>
        <v>0</v>
      </c>
      <c r="Z418" s="74">
        <f>Z247+Z352/'Get Started'!$F$47*-1</f>
        <v>0</v>
      </c>
    </row>
    <row r="419" hidden="1" outlineLevel="1">
      <c r="B419" s="93">
        <f t="shared" si="213"/>
        <v>6</v>
      </c>
      <c r="C419" s="40"/>
      <c r="D419" s="16" t="s">
        <v>161</v>
      </c>
      <c r="E419" s="74">
        <f t="shared" si="108"/>
        <v>0</v>
      </c>
      <c r="F419" s="74"/>
      <c r="G419" s="74">
        <f>G248+G353/'Get Started'!$F$47*-1</f>
        <v>0</v>
      </c>
      <c r="H419" s="74">
        <f>H248+H353/'Get Started'!$F$47*-1</f>
        <v>0</v>
      </c>
      <c r="I419" s="74">
        <f>I248+I353/'Get Started'!$F$47*-1</f>
        <v>0</v>
      </c>
      <c r="J419" s="74">
        <f>J248+J353/'Get Started'!$F$47*-1</f>
        <v>0</v>
      </c>
      <c r="K419" s="74">
        <f>K248+K353/'Get Started'!$F$47*-1</f>
        <v>0</v>
      </c>
      <c r="L419" s="74">
        <f>L248+L353/'Get Started'!$F$47*-1</f>
        <v>0</v>
      </c>
      <c r="M419" s="74">
        <f>M248+M353/'Get Started'!$F$47*-1</f>
        <v>0</v>
      </c>
      <c r="N419" s="74">
        <f>N248+N353/'Get Started'!$F$47*-1</f>
        <v>0</v>
      </c>
      <c r="O419" s="74">
        <f>O248+O353/'Get Started'!$F$47*-1</f>
        <v>0</v>
      </c>
      <c r="P419" s="74">
        <f>P248+P353/'Get Started'!$F$47*-1</f>
        <v>0</v>
      </c>
      <c r="Q419" s="74">
        <f>Q248+Q353/'Get Started'!$F$47*-1</f>
        <v>0</v>
      </c>
      <c r="R419" s="74">
        <f>R248+R353/'Get Started'!$F$47*-1</f>
        <v>0</v>
      </c>
      <c r="S419" s="74">
        <f>S248+S353/'Get Started'!$F$47*-1</f>
        <v>0</v>
      </c>
      <c r="T419" s="74">
        <f>T248+T353/'Get Started'!$F$47*-1</f>
        <v>0</v>
      </c>
      <c r="U419" s="74">
        <f>U248+U353/'Get Started'!$F$47*-1</f>
        <v>0</v>
      </c>
      <c r="V419" s="74">
        <f>V248+V353/'Get Started'!$F$47*-1</f>
        <v>0</v>
      </c>
      <c r="W419" s="74">
        <f>W248+W353/'Get Started'!$F$47*-1</f>
        <v>0</v>
      </c>
      <c r="X419" s="74">
        <f>X248+X353/'Get Started'!$F$47*-1</f>
        <v>0</v>
      </c>
      <c r="Y419" s="74">
        <f>Y248+Y353/'Get Started'!$F$47*-1</f>
        <v>0</v>
      </c>
      <c r="Z419" s="74">
        <f>Z248+Z353/'Get Started'!$F$47*-1</f>
        <v>0</v>
      </c>
    </row>
    <row r="420" hidden="1" outlineLevel="1">
      <c r="B420" s="93">
        <f t="shared" si="213"/>
        <v>7</v>
      </c>
      <c r="C420" s="40"/>
      <c r="D420" s="16" t="s">
        <v>161</v>
      </c>
      <c r="E420" s="74">
        <f t="shared" si="108"/>
        <v>0</v>
      </c>
      <c r="F420" s="74"/>
      <c r="G420" s="74">
        <f>G249+G354/'Get Started'!$F$47*-1</f>
        <v>0</v>
      </c>
      <c r="H420" s="74">
        <f>H249+H354/'Get Started'!$F$47*-1</f>
        <v>0</v>
      </c>
      <c r="I420" s="74">
        <f>I249+I354/'Get Started'!$F$47*-1</f>
        <v>0</v>
      </c>
      <c r="J420" s="74">
        <f>J249+J354/'Get Started'!$F$47*-1</f>
        <v>0</v>
      </c>
      <c r="K420" s="74">
        <f>K249+K354/'Get Started'!$F$47*-1</f>
        <v>0</v>
      </c>
      <c r="L420" s="74">
        <f>L249+L354/'Get Started'!$F$47*-1</f>
        <v>0</v>
      </c>
      <c r="M420" s="74">
        <f>M249+M354/'Get Started'!$F$47*-1</f>
        <v>0</v>
      </c>
      <c r="N420" s="74">
        <f>N249+N354/'Get Started'!$F$47*-1</f>
        <v>0</v>
      </c>
      <c r="O420" s="74">
        <f>O249+O354/'Get Started'!$F$47*-1</f>
        <v>0</v>
      </c>
      <c r="P420" s="74">
        <f>P249+P354/'Get Started'!$F$47*-1</f>
        <v>0</v>
      </c>
      <c r="Q420" s="74">
        <f>Q249+Q354/'Get Started'!$F$47*-1</f>
        <v>0</v>
      </c>
      <c r="R420" s="74">
        <f>R249+R354/'Get Started'!$F$47*-1</f>
        <v>0</v>
      </c>
      <c r="S420" s="74">
        <f>S249+S354/'Get Started'!$F$47*-1</f>
        <v>0</v>
      </c>
      <c r="T420" s="74">
        <f>T249+T354/'Get Started'!$F$47*-1</f>
        <v>0</v>
      </c>
      <c r="U420" s="74">
        <f>U249+U354/'Get Started'!$F$47*-1</f>
        <v>0</v>
      </c>
      <c r="V420" s="74">
        <f>V249+V354/'Get Started'!$F$47*-1</f>
        <v>0</v>
      </c>
      <c r="W420" s="74">
        <f>W249+W354/'Get Started'!$F$47*-1</f>
        <v>0</v>
      </c>
      <c r="X420" s="74">
        <f>X249+X354/'Get Started'!$F$47*-1</f>
        <v>0</v>
      </c>
      <c r="Y420" s="74">
        <f>Y249+Y354/'Get Started'!$F$47*-1</f>
        <v>0</v>
      </c>
      <c r="Z420" s="74">
        <f>Z249+Z354/'Get Started'!$F$47*-1</f>
        <v>0</v>
      </c>
    </row>
    <row r="421" hidden="1" outlineLevel="1">
      <c r="B421" s="93">
        <f t="shared" si="213"/>
        <v>8</v>
      </c>
      <c r="C421" s="40"/>
      <c r="D421" s="16" t="s">
        <v>161</v>
      </c>
      <c r="E421" s="74">
        <f t="shared" si="108"/>
        <v>0</v>
      </c>
      <c r="F421" s="74"/>
      <c r="G421" s="74">
        <f>G250+G355/'Get Started'!$F$47*-1</f>
        <v>0</v>
      </c>
      <c r="H421" s="74">
        <f>H250+H355/'Get Started'!$F$47*-1</f>
        <v>0</v>
      </c>
      <c r="I421" s="74">
        <f>I250+I355/'Get Started'!$F$47*-1</f>
        <v>0</v>
      </c>
      <c r="J421" s="74">
        <f>J250+J355/'Get Started'!$F$47*-1</f>
        <v>0</v>
      </c>
      <c r="K421" s="74">
        <f>K250+K355/'Get Started'!$F$47*-1</f>
        <v>0</v>
      </c>
      <c r="L421" s="74">
        <f>L250+L355/'Get Started'!$F$47*-1</f>
        <v>0</v>
      </c>
      <c r="M421" s="74">
        <f>M250+M355/'Get Started'!$F$47*-1</f>
        <v>0</v>
      </c>
      <c r="N421" s="74">
        <f>N250+N355/'Get Started'!$F$47*-1</f>
        <v>0</v>
      </c>
      <c r="O421" s="74">
        <f>O250+O355/'Get Started'!$F$47*-1</f>
        <v>0</v>
      </c>
      <c r="P421" s="74">
        <f>P250+P355/'Get Started'!$F$47*-1</f>
        <v>0</v>
      </c>
      <c r="Q421" s="74">
        <f>Q250+Q355/'Get Started'!$F$47*-1</f>
        <v>0</v>
      </c>
      <c r="R421" s="74">
        <f>R250+R355/'Get Started'!$F$47*-1</f>
        <v>0</v>
      </c>
      <c r="S421" s="74">
        <f>S250+S355/'Get Started'!$F$47*-1</f>
        <v>0</v>
      </c>
      <c r="T421" s="74">
        <f>T250+T355/'Get Started'!$F$47*-1</f>
        <v>0</v>
      </c>
      <c r="U421" s="74">
        <f>U250+U355/'Get Started'!$F$47*-1</f>
        <v>0</v>
      </c>
      <c r="V421" s="74">
        <f>V250+V355/'Get Started'!$F$47*-1</f>
        <v>0</v>
      </c>
      <c r="W421" s="74">
        <f>W250+W355/'Get Started'!$F$47*-1</f>
        <v>0</v>
      </c>
      <c r="X421" s="74">
        <f>X250+X355/'Get Started'!$F$47*-1</f>
        <v>0</v>
      </c>
      <c r="Y421" s="74">
        <f>Y250+Y355/'Get Started'!$F$47*-1</f>
        <v>0</v>
      </c>
      <c r="Z421" s="74">
        <f>Z250+Z355/'Get Started'!$F$47*-1</f>
        <v>0</v>
      </c>
    </row>
    <row r="422" hidden="1" outlineLevel="1">
      <c r="B422" s="93">
        <f t="shared" si="213"/>
        <v>9</v>
      </c>
      <c r="C422" s="40"/>
      <c r="D422" s="16" t="s">
        <v>161</v>
      </c>
      <c r="E422" s="74">
        <f t="shared" si="108"/>
        <v>0</v>
      </c>
      <c r="F422" s="74"/>
      <c r="G422" s="74">
        <f>G251+G356/'Get Started'!$F$47*-1</f>
        <v>0</v>
      </c>
      <c r="H422" s="74">
        <f>H251+H356/'Get Started'!$F$47*-1</f>
        <v>0</v>
      </c>
      <c r="I422" s="74">
        <f>I251+I356/'Get Started'!$F$47*-1</f>
        <v>0</v>
      </c>
      <c r="J422" s="74">
        <f>J251+J356/'Get Started'!$F$47*-1</f>
        <v>0</v>
      </c>
      <c r="K422" s="74">
        <f>K251+K356/'Get Started'!$F$47*-1</f>
        <v>0</v>
      </c>
      <c r="L422" s="74">
        <f>L251+L356/'Get Started'!$F$47*-1</f>
        <v>0</v>
      </c>
      <c r="M422" s="74">
        <f>M251+M356/'Get Started'!$F$47*-1</f>
        <v>0</v>
      </c>
      <c r="N422" s="74">
        <f>N251+N356/'Get Started'!$F$47*-1</f>
        <v>0</v>
      </c>
      <c r="O422" s="74">
        <f>O251+O356/'Get Started'!$F$47*-1</f>
        <v>0</v>
      </c>
      <c r="P422" s="74">
        <f>P251+P356/'Get Started'!$F$47*-1</f>
        <v>0</v>
      </c>
      <c r="Q422" s="74">
        <f>Q251+Q356/'Get Started'!$F$47*-1</f>
        <v>0</v>
      </c>
      <c r="R422" s="74">
        <f>R251+R356/'Get Started'!$F$47*-1</f>
        <v>0</v>
      </c>
      <c r="S422" s="74">
        <f>S251+S356/'Get Started'!$F$47*-1</f>
        <v>0</v>
      </c>
      <c r="T422" s="74">
        <f>T251+T356/'Get Started'!$F$47*-1</f>
        <v>0</v>
      </c>
      <c r="U422" s="74">
        <f>U251+U356/'Get Started'!$F$47*-1</f>
        <v>0</v>
      </c>
      <c r="V422" s="74">
        <f>V251+V356/'Get Started'!$F$47*-1</f>
        <v>0</v>
      </c>
      <c r="W422" s="74">
        <f>W251+W356/'Get Started'!$F$47*-1</f>
        <v>0</v>
      </c>
      <c r="X422" s="74">
        <f>X251+X356/'Get Started'!$F$47*-1</f>
        <v>0</v>
      </c>
      <c r="Y422" s="74">
        <f>Y251+Y356/'Get Started'!$F$47*-1</f>
        <v>0</v>
      </c>
      <c r="Z422" s="74">
        <f>Z251+Z356/'Get Started'!$F$47*-1</f>
        <v>0</v>
      </c>
    </row>
    <row r="423" hidden="1" outlineLevel="1">
      <c r="B423" s="93">
        <f t="shared" si="213"/>
        <v>10</v>
      </c>
      <c r="C423" s="40"/>
      <c r="D423" s="16" t="s">
        <v>161</v>
      </c>
      <c r="E423" s="74">
        <f t="shared" si="108"/>
        <v>0</v>
      </c>
      <c r="F423" s="74"/>
      <c r="G423" s="74">
        <f>G252+G357/'Get Started'!$F$47*-1</f>
        <v>0</v>
      </c>
      <c r="H423" s="74">
        <f>H252+H357/'Get Started'!$F$47*-1</f>
        <v>0</v>
      </c>
      <c r="I423" s="74">
        <f>I252+I357/'Get Started'!$F$47*-1</f>
        <v>0</v>
      </c>
      <c r="J423" s="74">
        <f>J252+J357/'Get Started'!$F$47*-1</f>
        <v>0</v>
      </c>
      <c r="K423" s="74">
        <f>K252+K357/'Get Started'!$F$47*-1</f>
        <v>0</v>
      </c>
      <c r="L423" s="74">
        <f>L252+L357/'Get Started'!$F$47*-1</f>
        <v>0</v>
      </c>
      <c r="M423" s="74">
        <f>M252+M357/'Get Started'!$F$47*-1</f>
        <v>0</v>
      </c>
      <c r="N423" s="74">
        <f>N252+N357/'Get Started'!$F$47*-1</f>
        <v>0</v>
      </c>
      <c r="O423" s="74">
        <f>O252+O357/'Get Started'!$F$47*-1</f>
        <v>0</v>
      </c>
      <c r="P423" s="74">
        <f>P252+P357/'Get Started'!$F$47*-1</f>
        <v>0</v>
      </c>
      <c r="Q423" s="74">
        <f>Q252+Q357/'Get Started'!$F$47*-1</f>
        <v>0</v>
      </c>
      <c r="R423" s="74">
        <f>R252+R357/'Get Started'!$F$47*-1</f>
        <v>0</v>
      </c>
      <c r="S423" s="74">
        <f>S252+S357/'Get Started'!$F$47*-1</f>
        <v>0</v>
      </c>
      <c r="T423" s="74">
        <f>T252+T357/'Get Started'!$F$47*-1</f>
        <v>0</v>
      </c>
      <c r="U423" s="74">
        <f>U252+U357/'Get Started'!$F$47*-1</f>
        <v>0</v>
      </c>
      <c r="V423" s="74">
        <f>V252+V357/'Get Started'!$F$47*-1</f>
        <v>0</v>
      </c>
      <c r="W423" s="74">
        <f>W252+W357/'Get Started'!$F$47*-1</f>
        <v>0</v>
      </c>
      <c r="X423" s="74">
        <f>X252+X357/'Get Started'!$F$47*-1</f>
        <v>0</v>
      </c>
      <c r="Y423" s="74">
        <f>Y252+Y357/'Get Started'!$F$47*-1</f>
        <v>0</v>
      </c>
      <c r="Z423" s="74">
        <f>Z252+Z357/'Get Started'!$F$47*-1</f>
        <v>0</v>
      </c>
    </row>
    <row r="424" hidden="1" outlineLevel="1">
      <c r="B424" s="93">
        <f t="shared" si="213"/>
        <v>11</v>
      </c>
      <c r="C424" s="40"/>
      <c r="D424" s="16" t="s">
        <v>161</v>
      </c>
      <c r="E424" s="74">
        <f t="shared" si="108"/>
        <v>0</v>
      </c>
      <c r="F424" s="74"/>
      <c r="G424" s="74">
        <f>G253+G358/'Get Started'!$F$47*-1</f>
        <v>0</v>
      </c>
      <c r="H424" s="74">
        <f>H253+H358/'Get Started'!$F$47*-1</f>
        <v>0</v>
      </c>
      <c r="I424" s="74">
        <f>I253+I358/'Get Started'!$F$47*-1</f>
        <v>0</v>
      </c>
      <c r="J424" s="74">
        <f>J253+J358/'Get Started'!$F$47*-1</f>
        <v>0</v>
      </c>
      <c r="K424" s="74">
        <f>K253+K358/'Get Started'!$F$47*-1</f>
        <v>0</v>
      </c>
      <c r="L424" s="74">
        <f>L253+L358/'Get Started'!$F$47*-1</f>
        <v>0</v>
      </c>
      <c r="M424" s="74">
        <f>M253+M358/'Get Started'!$F$47*-1</f>
        <v>0</v>
      </c>
      <c r="N424" s="74">
        <f>N253+N358/'Get Started'!$F$47*-1</f>
        <v>0</v>
      </c>
      <c r="O424" s="74">
        <f>O253+O358/'Get Started'!$F$47*-1</f>
        <v>0</v>
      </c>
      <c r="P424" s="74">
        <f>P253+P358/'Get Started'!$F$47*-1</f>
        <v>0</v>
      </c>
      <c r="Q424" s="74">
        <f>Q253+Q358/'Get Started'!$F$47*-1</f>
        <v>0</v>
      </c>
      <c r="R424" s="74">
        <f>R253+R358/'Get Started'!$F$47*-1</f>
        <v>0</v>
      </c>
      <c r="S424" s="74">
        <f>S253+S358/'Get Started'!$F$47*-1</f>
        <v>0</v>
      </c>
      <c r="T424" s="74">
        <f>T253+T358/'Get Started'!$F$47*-1</f>
        <v>0</v>
      </c>
      <c r="U424" s="74">
        <f>U253+U358/'Get Started'!$F$47*-1</f>
        <v>0</v>
      </c>
      <c r="V424" s="74">
        <f>V253+V358/'Get Started'!$F$47*-1</f>
        <v>0</v>
      </c>
      <c r="W424" s="74">
        <f>W253+W358/'Get Started'!$F$47*-1</f>
        <v>0</v>
      </c>
      <c r="X424" s="74">
        <f>X253+X358/'Get Started'!$F$47*-1</f>
        <v>0</v>
      </c>
      <c r="Y424" s="74">
        <f>Y253+Y358/'Get Started'!$F$47*-1</f>
        <v>0</v>
      </c>
      <c r="Z424" s="74">
        <f>Z253+Z358/'Get Started'!$F$47*-1</f>
        <v>0</v>
      </c>
    </row>
    <row r="425" hidden="1" outlineLevel="1">
      <c r="B425" s="93">
        <f t="shared" si="213"/>
        <v>12</v>
      </c>
      <c r="C425" s="40"/>
      <c r="D425" s="16" t="s">
        <v>161</v>
      </c>
      <c r="E425" s="74">
        <f t="shared" si="108"/>
        <v>0</v>
      </c>
      <c r="F425" s="74"/>
      <c r="G425" s="74">
        <f>G254+G359/'Get Started'!$F$47*-1</f>
        <v>0</v>
      </c>
      <c r="H425" s="74">
        <f>H254+H359/'Get Started'!$F$47*-1</f>
        <v>0</v>
      </c>
      <c r="I425" s="74">
        <f>I254+I359/'Get Started'!$F$47*-1</f>
        <v>0</v>
      </c>
      <c r="J425" s="74">
        <f>J254+J359/'Get Started'!$F$47*-1</f>
        <v>0</v>
      </c>
      <c r="K425" s="74">
        <f>K254+K359/'Get Started'!$F$47*-1</f>
        <v>0</v>
      </c>
      <c r="L425" s="74">
        <f>L254+L359/'Get Started'!$F$47*-1</f>
        <v>0</v>
      </c>
      <c r="M425" s="74">
        <f>M254+M359/'Get Started'!$F$47*-1</f>
        <v>0</v>
      </c>
      <c r="N425" s="74">
        <f>N254+N359/'Get Started'!$F$47*-1</f>
        <v>0</v>
      </c>
      <c r="O425" s="74">
        <f>O254+O359/'Get Started'!$F$47*-1</f>
        <v>0</v>
      </c>
      <c r="P425" s="74">
        <f>P254+P359/'Get Started'!$F$47*-1</f>
        <v>0</v>
      </c>
      <c r="Q425" s="74">
        <f>Q254+Q359/'Get Started'!$F$47*-1</f>
        <v>0</v>
      </c>
      <c r="R425" s="74">
        <f>R254+R359/'Get Started'!$F$47*-1</f>
        <v>0</v>
      </c>
      <c r="S425" s="74">
        <f>S254+S359/'Get Started'!$F$47*-1</f>
        <v>0</v>
      </c>
      <c r="T425" s="74">
        <f>T254+T359/'Get Started'!$F$47*-1</f>
        <v>0</v>
      </c>
      <c r="U425" s="74">
        <f>U254+U359/'Get Started'!$F$47*-1</f>
        <v>0</v>
      </c>
      <c r="V425" s="74">
        <f>V254+V359/'Get Started'!$F$47*-1</f>
        <v>0</v>
      </c>
      <c r="W425" s="74">
        <f>W254+W359/'Get Started'!$F$47*-1</f>
        <v>0</v>
      </c>
      <c r="X425" s="74">
        <f>X254+X359/'Get Started'!$F$47*-1</f>
        <v>0</v>
      </c>
      <c r="Y425" s="74">
        <f>Y254+Y359/'Get Started'!$F$47*-1</f>
        <v>0</v>
      </c>
      <c r="Z425" s="74">
        <f>Z254+Z359/'Get Started'!$F$47*-1</f>
        <v>0</v>
      </c>
    </row>
    <row r="426" hidden="1" outlineLevel="1">
      <c r="B426" s="93">
        <f t="shared" si="213"/>
        <v>13</v>
      </c>
      <c r="C426" s="40"/>
      <c r="D426" s="16" t="s">
        <v>161</v>
      </c>
      <c r="E426" s="74">
        <f t="shared" si="108"/>
        <v>0</v>
      </c>
      <c r="F426" s="74"/>
      <c r="G426" s="74">
        <f>G255+G360/'Get Started'!$F$47*-1</f>
        <v>0</v>
      </c>
      <c r="H426" s="74">
        <f>H255+H360/'Get Started'!$F$47*-1</f>
        <v>0</v>
      </c>
      <c r="I426" s="74">
        <f>I255+I360/'Get Started'!$F$47*-1</f>
        <v>0</v>
      </c>
      <c r="J426" s="74">
        <f>J255+J360/'Get Started'!$F$47*-1</f>
        <v>0</v>
      </c>
      <c r="K426" s="74">
        <f>K255+K360/'Get Started'!$F$47*-1</f>
        <v>0</v>
      </c>
      <c r="L426" s="74">
        <f>L255+L360/'Get Started'!$F$47*-1</f>
        <v>0</v>
      </c>
      <c r="M426" s="74">
        <f>M255+M360/'Get Started'!$F$47*-1</f>
        <v>0</v>
      </c>
      <c r="N426" s="74">
        <f>N255+N360/'Get Started'!$F$47*-1</f>
        <v>0</v>
      </c>
      <c r="O426" s="74">
        <f>O255+O360/'Get Started'!$F$47*-1</f>
        <v>0</v>
      </c>
      <c r="P426" s="74">
        <f>P255+P360/'Get Started'!$F$47*-1</f>
        <v>0</v>
      </c>
      <c r="Q426" s="74">
        <f>Q255+Q360/'Get Started'!$F$47*-1</f>
        <v>0</v>
      </c>
      <c r="R426" s="74">
        <f>R255+R360/'Get Started'!$F$47*-1</f>
        <v>0</v>
      </c>
      <c r="S426" s="74">
        <f>S255+S360/'Get Started'!$F$47*-1</f>
        <v>0</v>
      </c>
      <c r="T426" s="74">
        <f>T255+T360/'Get Started'!$F$47*-1</f>
        <v>0</v>
      </c>
      <c r="U426" s="74">
        <f>U255+U360/'Get Started'!$F$47*-1</f>
        <v>0</v>
      </c>
      <c r="V426" s="74">
        <f>V255+V360/'Get Started'!$F$47*-1</f>
        <v>0</v>
      </c>
      <c r="W426" s="74">
        <f>W255+W360/'Get Started'!$F$47*-1</f>
        <v>0</v>
      </c>
      <c r="X426" s="74">
        <f>X255+X360/'Get Started'!$F$47*-1</f>
        <v>0</v>
      </c>
      <c r="Y426" s="74">
        <f>Y255+Y360/'Get Started'!$F$47*-1</f>
        <v>0</v>
      </c>
      <c r="Z426" s="74">
        <f>Z255+Z360/'Get Started'!$F$47*-1</f>
        <v>0</v>
      </c>
    </row>
    <row r="427" hidden="1" outlineLevel="1">
      <c r="B427" s="93">
        <f t="shared" si="213"/>
        <v>14</v>
      </c>
      <c r="C427" s="40"/>
      <c r="D427" s="16" t="s">
        <v>161</v>
      </c>
      <c r="E427" s="74">
        <f t="shared" si="108"/>
        <v>0</v>
      </c>
      <c r="F427" s="74"/>
      <c r="G427" s="74">
        <f>G256+G361/'Get Started'!$F$47*-1</f>
        <v>0</v>
      </c>
      <c r="H427" s="74">
        <f>H256+H361/'Get Started'!$F$47*-1</f>
        <v>0</v>
      </c>
      <c r="I427" s="74">
        <f>I256+I361/'Get Started'!$F$47*-1</f>
        <v>0</v>
      </c>
      <c r="J427" s="74">
        <f>J256+J361/'Get Started'!$F$47*-1</f>
        <v>0</v>
      </c>
      <c r="K427" s="74">
        <f>K256+K361/'Get Started'!$F$47*-1</f>
        <v>0</v>
      </c>
      <c r="L427" s="74">
        <f>L256+L361/'Get Started'!$F$47*-1</f>
        <v>0</v>
      </c>
      <c r="M427" s="74">
        <f>M256+M361/'Get Started'!$F$47*-1</f>
        <v>0</v>
      </c>
      <c r="N427" s="74">
        <f>N256+N361/'Get Started'!$F$47*-1</f>
        <v>0</v>
      </c>
      <c r="O427" s="74">
        <f>O256+O361/'Get Started'!$F$47*-1</f>
        <v>0</v>
      </c>
      <c r="P427" s="74">
        <f>P256+P361/'Get Started'!$F$47*-1</f>
        <v>0</v>
      </c>
      <c r="Q427" s="74">
        <f>Q256+Q361/'Get Started'!$F$47*-1</f>
        <v>0</v>
      </c>
      <c r="R427" s="74">
        <f>R256+R361/'Get Started'!$F$47*-1</f>
        <v>0</v>
      </c>
      <c r="S427" s="74">
        <f>S256+S361/'Get Started'!$F$47*-1</f>
        <v>0</v>
      </c>
      <c r="T427" s="74">
        <f>T256+T361/'Get Started'!$F$47*-1</f>
        <v>0</v>
      </c>
      <c r="U427" s="74">
        <f>U256+U361/'Get Started'!$F$47*-1</f>
        <v>0</v>
      </c>
      <c r="V427" s="74">
        <f>V256+V361/'Get Started'!$F$47*-1</f>
        <v>0</v>
      </c>
      <c r="W427" s="74">
        <f>W256+W361/'Get Started'!$F$47*-1</f>
        <v>0</v>
      </c>
      <c r="X427" s="74">
        <f>X256+X361/'Get Started'!$F$47*-1</f>
        <v>0</v>
      </c>
      <c r="Y427" s="74">
        <f>Y256+Y361/'Get Started'!$F$47*-1</f>
        <v>0</v>
      </c>
      <c r="Z427" s="74">
        <f>Z256+Z361/'Get Started'!$F$47*-1</f>
        <v>0</v>
      </c>
    </row>
    <row r="428" hidden="1" outlineLevel="1">
      <c r="B428" s="93">
        <f t="shared" si="213"/>
        <v>15</v>
      </c>
      <c r="C428" s="40"/>
      <c r="D428" s="16" t="s">
        <v>161</v>
      </c>
      <c r="E428" s="74">
        <f t="shared" si="108"/>
        <v>0</v>
      </c>
      <c r="F428" s="74"/>
      <c r="G428" s="74">
        <f>G257+G362/'Get Started'!$F$47*-1</f>
        <v>0</v>
      </c>
      <c r="H428" s="74">
        <f>H257+H362/'Get Started'!$F$47*-1</f>
        <v>0</v>
      </c>
      <c r="I428" s="74">
        <f>I257+I362/'Get Started'!$F$47*-1</f>
        <v>0</v>
      </c>
      <c r="J428" s="74">
        <f>J257+J362/'Get Started'!$F$47*-1</f>
        <v>0</v>
      </c>
      <c r="K428" s="74">
        <f>K257+K362/'Get Started'!$F$47*-1</f>
        <v>0</v>
      </c>
      <c r="L428" s="74">
        <f>L257+L362/'Get Started'!$F$47*-1</f>
        <v>0</v>
      </c>
      <c r="M428" s="74">
        <f>M257+M362/'Get Started'!$F$47*-1</f>
        <v>0</v>
      </c>
      <c r="N428" s="74">
        <f>N257+N362/'Get Started'!$F$47*-1</f>
        <v>0</v>
      </c>
      <c r="O428" s="74">
        <f>O257+O362/'Get Started'!$F$47*-1</f>
        <v>0</v>
      </c>
      <c r="P428" s="74">
        <f>P257+P362/'Get Started'!$F$47*-1</f>
        <v>0</v>
      </c>
      <c r="Q428" s="74">
        <f>Q257+Q362/'Get Started'!$F$47*-1</f>
        <v>0</v>
      </c>
      <c r="R428" s="74">
        <f>R257+R362/'Get Started'!$F$47*-1</f>
        <v>0</v>
      </c>
      <c r="S428" s="74">
        <f>S257+S362/'Get Started'!$F$47*-1</f>
        <v>0</v>
      </c>
      <c r="T428" s="74">
        <f>T257+T362/'Get Started'!$F$47*-1</f>
        <v>0</v>
      </c>
      <c r="U428" s="74">
        <f>U257+U362/'Get Started'!$F$47*-1</f>
        <v>0</v>
      </c>
      <c r="V428" s="74">
        <f>V257+V362/'Get Started'!$F$47*-1</f>
        <v>0</v>
      </c>
      <c r="W428" s="74">
        <f>W257+W362/'Get Started'!$F$47*-1</f>
        <v>0</v>
      </c>
      <c r="X428" s="74">
        <f>X257+X362/'Get Started'!$F$47*-1</f>
        <v>0</v>
      </c>
      <c r="Y428" s="74">
        <f>Y257+Y362/'Get Started'!$F$47*-1</f>
        <v>0</v>
      </c>
      <c r="Z428" s="74">
        <f>Z257+Z362/'Get Started'!$F$47*-1</f>
        <v>0</v>
      </c>
    </row>
    <row r="429" hidden="1" outlineLevel="1">
      <c r="B429" s="93">
        <f t="shared" si="213"/>
        <v>16</v>
      </c>
      <c r="C429" s="40"/>
      <c r="D429" s="16" t="s">
        <v>161</v>
      </c>
      <c r="E429" s="74">
        <f t="shared" si="108"/>
        <v>0</v>
      </c>
      <c r="F429" s="74"/>
      <c r="G429" s="74">
        <f>G258+G363/'Get Started'!$F$47*-1</f>
        <v>0</v>
      </c>
      <c r="H429" s="74">
        <f>H258+H363/'Get Started'!$F$47*-1</f>
        <v>0</v>
      </c>
      <c r="I429" s="74">
        <f>I258+I363/'Get Started'!$F$47*-1</f>
        <v>0</v>
      </c>
      <c r="J429" s="74">
        <f>J258+J363/'Get Started'!$F$47*-1</f>
        <v>0</v>
      </c>
      <c r="K429" s="74">
        <f>K258+K363/'Get Started'!$F$47*-1</f>
        <v>0</v>
      </c>
      <c r="L429" s="74">
        <f>L258+L363/'Get Started'!$F$47*-1</f>
        <v>0</v>
      </c>
      <c r="M429" s="74">
        <f>M258+M363/'Get Started'!$F$47*-1</f>
        <v>0</v>
      </c>
      <c r="N429" s="74">
        <f>N258+N363/'Get Started'!$F$47*-1</f>
        <v>0</v>
      </c>
      <c r="O429" s="74">
        <f>O258+O363/'Get Started'!$F$47*-1</f>
        <v>0</v>
      </c>
      <c r="P429" s="74">
        <f>P258+P363/'Get Started'!$F$47*-1</f>
        <v>0</v>
      </c>
      <c r="Q429" s="74">
        <f>Q258+Q363/'Get Started'!$F$47*-1</f>
        <v>0</v>
      </c>
      <c r="R429" s="74">
        <f>R258+R363/'Get Started'!$F$47*-1</f>
        <v>0</v>
      </c>
      <c r="S429" s="74">
        <f>S258+S363/'Get Started'!$F$47*-1</f>
        <v>0</v>
      </c>
      <c r="T429" s="74">
        <f>T258+T363/'Get Started'!$F$47*-1</f>
        <v>0</v>
      </c>
      <c r="U429" s="74">
        <f>U258+U363/'Get Started'!$F$47*-1</f>
        <v>0</v>
      </c>
      <c r="V429" s="74">
        <f>V258+V363/'Get Started'!$F$47*-1</f>
        <v>0</v>
      </c>
      <c r="W429" s="74">
        <f>W258+W363/'Get Started'!$F$47*-1</f>
        <v>0</v>
      </c>
      <c r="X429" s="74">
        <f>X258+X363/'Get Started'!$F$47*-1</f>
        <v>0</v>
      </c>
      <c r="Y429" s="74">
        <f>Y258+Y363/'Get Started'!$F$47*-1</f>
        <v>0</v>
      </c>
      <c r="Z429" s="74">
        <f>Z258+Z363/'Get Started'!$F$47*-1</f>
        <v>0</v>
      </c>
    </row>
    <row r="430" hidden="1" outlineLevel="1">
      <c r="B430" s="93">
        <f t="shared" si="213"/>
        <v>17</v>
      </c>
      <c r="C430" s="40"/>
      <c r="D430" s="16" t="s">
        <v>161</v>
      </c>
      <c r="E430" s="74">
        <f t="shared" si="108"/>
        <v>0</v>
      </c>
      <c r="F430" s="74"/>
      <c r="G430" s="74">
        <f>G259+G364/'Get Started'!$F$47*-1</f>
        <v>0</v>
      </c>
      <c r="H430" s="74">
        <f>H259+H364/'Get Started'!$F$47*-1</f>
        <v>0</v>
      </c>
      <c r="I430" s="74">
        <f>I259+I364/'Get Started'!$F$47*-1</f>
        <v>0</v>
      </c>
      <c r="J430" s="74">
        <f>J259+J364/'Get Started'!$F$47*-1</f>
        <v>0</v>
      </c>
      <c r="K430" s="74">
        <f>K259+K364/'Get Started'!$F$47*-1</f>
        <v>0</v>
      </c>
      <c r="L430" s="74">
        <f>L259+L364/'Get Started'!$F$47*-1</f>
        <v>0</v>
      </c>
      <c r="M430" s="74">
        <f>M259+M364/'Get Started'!$F$47*-1</f>
        <v>0</v>
      </c>
      <c r="N430" s="74">
        <f>N259+N364/'Get Started'!$F$47*-1</f>
        <v>0</v>
      </c>
      <c r="O430" s="74">
        <f>O259+O364/'Get Started'!$F$47*-1</f>
        <v>0</v>
      </c>
      <c r="P430" s="74">
        <f>P259+P364/'Get Started'!$F$47*-1</f>
        <v>0</v>
      </c>
      <c r="Q430" s="74">
        <f>Q259+Q364/'Get Started'!$F$47*-1</f>
        <v>0</v>
      </c>
      <c r="R430" s="74">
        <f>R259+R364/'Get Started'!$F$47*-1</f>
        <v>0</v>
      </c>
      <c r="S430" s="74">
        <f>S259+S364/'Get Started'!$F$47*-1</f>
        <v>0</v>
      </c>
      <c r="T430" s="74">
        <f>T259+T364/'Get Started'!$F$47*-1</f>
        <v>0</v>
      </c>
      <c r="U430" s="74">
        <f>U259+U364/'Get Started'!$F$47*-1</f>
        <v>0</v>
      </c>
      <c r="V430" s="74">
        <f>V259+V364/'Get Started'!$F$47*-1</f>
        <v>0</v>
      </c>
      <c r="W430" s="74">
        <f>W259+W364/'Get Started'!$F$47*-1</f>
        <v>0</v>
      </c>
      <c r="X430" s="74">
        <f>X259+X364/'Get Started'!$F$47*-1</f>
        <v>0</v>
      </c>
      <c r="Y430" s="74">
        <f>Y259+Y364/'Get Started'!$F$47*-1</f>
        <v>0</v>
      </c>
      <c r="Z430" s="74">
        <f>Z259+Z364/'Get Started'!$F$47*-1</f>
        <v>0</v>
      </c>
    </row>
    <row r="431" hidden="1" outlineLevel="1">
      <c r="B431" s="93">
        <f t="shared" si="213"/>
        <v>18</v>
      </c>
      <c r="C431" s="40"/>
      <c r="D431" s="16" t="s">
        <v>161</v>
      </c>
      <c r="E431" s="74">
        <f t="shared" si="108"/>
        <v>0</v>
      </c>
      <c r="F431" s="74"/>
      <c r="G431" s="74">
        <f>G260+G365/'Get Started'!$F$47*-1</f>
        <v>0</v>
      </c>
      <c r="H431" s="74">
        <f>H260+H365/'Get Started'!$F$47*-1</f>
        <v>0</v>
      </c>
      <c r="I431" s="74">
        <f>I260+I365/'Get Started'!$F$47*-1</f>
        <v>0</v>
      </c>
      <c r="J431" s="74">
        <f>J260+J365/'Get Started'!$F$47*-1</f>
        <v>0</v>
      </c>
      <c r="K431" s="74">
        <f>K260+K365/'Get Started'!$F$47*-1</f>
        <v>0</v>
      </c>
      <c r="L431" s="74">
        <f>L260+L365/'Get Started'!$F$47*-1</f>
        <v>0</v>
      </c>
      <c r="M431" s="74">
        <f>M260+M365/'Get Started'!$F$47*-1</f>
        <v>0</v>
      </c>
      <c r="N431" s="74">
        <f>N260+N365/'Get Started'!$F$47*-1</f>
        <v>0</v>
      </c>
      <c r="O431" s="74">
        <f>O260+O365/'Get Started'!$F$47*-1</f>
        <v>0</v>
      </c>
      <c r="P431" s="74">
        <f>P260+P365/'Get Started'!$F$47*-1</f>
        <v>0</v>
      </c>
      <c r="Q431" s="74">
        <f>Q260+Q365/'Get Started'!$F$47*-1</f>
        <v>0</v>
      </c>
      <c r="R431" s="74">
        <f>R260+R365/'Get Started'!$F$47*-1</f>
        <v>0</v>
      </c>
      <c r="S431" s="74">
        <f>S260+S365/'Get Started'!$F$47*-1</f>
        <v>0</v>
      </c>
      <c r="T431" s="74">
        <f>T260+T365/'Get Started'!$F$47*-1</f>
        <v>0</v>
      </c>
      <c r="U431" s="74">
        <f>U260+U365/'Get Started'!$F$47*-1</f>
        <v>0</v>
      </c>
      <c r="V431" s="74">
        <f>V260+V365/'Get Started'!$F$47*-1</f>
        <v>0</v>
      </c>
      <c r="W431" s="74">
        <f>W260+W365/'Get Started'!$F$47*-1</f>
        <v>0</v>
      </c>
      <c r="X431" s="74">
        <f>X260+X365/'Get Started'!$F$47*-1</f>
        <v>0</v>
      </c>
      <c r="Y431" s="74">
        <f>Y260+Y365/'Get Started'!$F$47*-1</f>
        <v>0</v>
      </c>
      <c r="Z431" s="74">
        <f>Z260+Z365/'Get Started'!$F$47*-1</f>
        <v>0</v>
      </c>
    </row>
    <row r="432" hidden="1" outlineLevel="1">
      <c r="B432" s="93">
        <f t="shared" si="213"/>
        <v>19</v>
      </c>
      <c r="C432" s="40"/>
      <c r="D432" s="16" t="s">
        <v>161</v>
      </c>
      <c r="E432" s="74">
        <f t="shared" si="108"/>
        <v>0</v>
      </c>
      <c r="F432" s="74"/>
      <c r="G432" s="74">
        <f>G261+G366/'Get Started'!$F$47*-1</f>
        <v>0</v>
      </c>
      <c r="H432" s="74">
        <f>H261+H366/'Get Started'!$F$47*-1</f>
        <v>0</v>
      </c>
      <c r="I432" s="74">
        <f>I261+I366/'Get Started'!$F$47*-1</f>
        <v>0</v>
      </c>
      <c r="J432" s="74">
        <f>J261+J366/'Get Started'!$F$47*-1</f>
        <v>0</v>
      </c>
      <c r="K432" s="74">
        <f>K261+K366/'Get Started'!$F$47*-1</f>
        <v>0</v>
      </c>
      <c r="L432" s="74">
        <f>L261+L366/'Get Started'!$F$47*-1</f>
        <v>0</v>
      </c>
      <c r="M432" s="74">
        <f>M261+M366/'Get Started'!$F$47*-1</f>
        <v>0</v>
      </c>
      <c r="N432" s="74">
        <f>N261+N366/'Get Started'!$F$47*-1</f>
        <v>0</v>
      </c>
      <c r="O432" s="74">
        <f>O261+O366/'Get Started'!$F$47*-1</f>
        <v>0</v>
      </c>
      <c r="P432" s="74">
        <f>P261+P366/'Get Started'!$F$47*-1</f>
        <v>0</v>
      </c>
      <c r="Q432" s="74">
        <f>Q261+Q366/'Get Started'!$F$47*-1</f>
        <v>0</v>
      </c>
      <c r="R432" s="74">
        <f>R261+R366/'Get Started'!$F$47*-1</f>
        <v>0</v>
      </c>
      <c r="S432" s="74">
        <f>S261+S366/'Get Started'!$F$47*-1</f>
        <v>0</v>
      </c>
      <c r="T432" s="74">
        <f>T261+T366/'Get Started'!$F$47*-1</f>
        <v>0</v>
      </c>
      <c r="U432" s="74">
        <f>U261+U366/'Get Started'!$F$47*-1</f>
        <v>0</v>
      </c>
      <c r="V432" s="74">
        <f>V261+V366/'Get Started'!$F$47*-1</f>
        <v>0</v>
      </c>
      <c r="W432" s="74">
        <f>W261+W366/'Get Started'!$F$47*-1</f>
        <v>0</v>
      </c>
      <c r="X432" s="74">
        <f>X261+X366/'Get Started'!$F$47*-1</f>
        <v>0</v>
      </c>
      <c r="Y432" s="74">
        <f>Y261+Y366/'Get Started'!$F$47*-1</f>
        <v>0</v>
      </c>
      <c r="Z432" s="74">
        <f>Z261+Z366/'Get Started'!$F$47*-1</f>
        <v>0</v>
      </c>
    </row>
    <row r="433" hidden="1" outlineLevel="1">
      <c r="B433" s="93">
        <f t="shared" si="213"/>
        <v>20</v>
      </c>
      <c r="C433" s="40"/>
      <c r="D433" s="16" t="s">
        <v>161</v>
      </c>
      <c r="E433" s="74">
        <f t="shared" si="108"/>
        <v>0</v>
      </c>
      <c r="F433" s="74"/>
      <c r="G433" s="74">
        <f>G262+G367/'Get Started'!$F$47*-1</f>
        <v>0</v>
      </c>
      <c r="H433" s="74">
        <f>H262+H367/'Get Started'!$F$47*-1</f>
        <v>0</v>
      </c>
      <c r="I433" s="74">
        <f>I262+I367/'Get Started'!$F$47*-1</f>
        <v>0</v>
      </c>
      <c r="J433" s="74">
        <f>J262+J367/'Get Started'!$F$47*-1</f>
        <v>0</v>
      </c>
      <c r="K433" s="74">
        <f>K262+K367/'Get Started'!$F$47*-1</f>
        <v>0</v>
      </c>
      <c r="L433" s="74">
        <f>L262+L367/'Get Started'!$F$47*-1</f>
        <v>0</v>
      </c>
      <c r="M433" s="74">
        <f>M262+M367/'Get Started'!$F$47*-1</f>
        <v>0</v>
      </c>
      <c r="N433" s="74">
        <f>N262+N367/'Get Started'!$F$47*-1</f>
        <v>0</v>
      </c>
      <c r="O433" s="74">
        <f>O262+O367/'Get Started'!$F$47*-1</f>
        <v>0</v>
      </c>
      <c r="P433" s="74">
        <f>P262+P367/'Get Started'!$F$47*-1</f>
        <v>0</v>
      </c>
      <c r="Q433" s="74">
        <f>Q262+Q367/'Get Started'!$F$47*-1</f>
        <v>0</v>
      </c>
      <c r="R433" s="74">
        <f>R262+R367/'Get Started'!$F$47*-1</f>
        <v>0</v>
      </c>
      <c r="S433" s="74">
        <f>S262+S367/'Get Started'!$F$47*-1</f>
        <v>0</v>
      </c>
      <c r="T433" s="74">
        <f>T262+T367/'Get Started'!$F$47*-1</f>
        <v>0</v>
      </c>
      <c r="U433" s="74">
        <f>U262+U367/'Get Started'!$F$47*-1</f>
        <v>0</v>
      </c>
      <c r="V433" s="74">
        <f>V262+V367/'Get Started'!$F$47*-1</f>
        <v>0</v>
      </c>
      <c r="W433" s="74">
        <f>W262+W367/'Get Started'!$F$47*-1</f>
        <v>0</v>
      </c>
      <c r="X433" s="74">
        <f>X262+X367/'Get Started'!$F$47*-1</f>
        <v>0</v>
      </c>
      <c r="Y433" s="74">
        <f>Y262+Y367/'Get Started'!$F$47*-1</f>
        <v>0</v>
      </c>
      <c r="Z433" s="74">
        <f>Z262+Z367/'Get Started'!$F$47*-1</f>
        <v>0</v>
      </c>
    </row>
    <row r="434" collapsed="1">
      <c r="B434" s="80" t="s">
        <v>193</v>
      </c>
      <c r="C434" s="16"/>
      <c r="D434" s="16" t="s">
        <v>161</v>
      </c>
      <c r="E434" s="74">
        <f t="shared" si="108"/>
        <v>0</v>
      </c>
      <c r="F434" s="78"/>
      <c r="G434" s="77">
        <f t="shared" ref="G434:Z434" si="214">sum(G435:G454)</f>
        <v>0</v>
      </c>
      <c r="H434" s="77">
        <f t="shared" si="214"/>
        <v>2917903.572</v>
      </c>
      <c r="I434" s="77">
        <f t="shared" si="214"/>
        <v>4741596.248</v>
      </c>
      <c r="J434" s="77">
        <f t="shared" si="214"/>
        <v>5334295.008</v>
      </c>
      <c r="K434" s="77">
        <f t="shared" si="214"/>
        <v>4103307.479</v>
      </c>
      <c r="L434" s="77">
        <f t="shared" si="214"/>
        <v>1914876.924</v>
      </c>
      <c r="M434" s="77">
        <f t="shared" si="214"/>
        <v>-136778.3012</v>
      </c>
      <c r="N434" s="77">
        <f t="shared" si="214"/>
        <v>-957438.0016</v>
      </c>
      <c r="O434" s="77">
        <f t="shared" si="214"/>
        <v>-2279607.136</v>
      </c>
      <c r="P434" s="77">
        <f t="shared" si="214"/>
        <v>-3373830.477</v>
      </c>
      <c r="Q434" s="77">
        <f t="shared" si="214"/>
        <v>-4604817.946</v>
      </c>
      <c r="R434" s="77">
        <f t="shared" si="214"/>
        <v>-3282647.007</v>
      </c>
      <c r="S434" s="77">
        <f t="shared" si="214"/>
        <v>-2917910.341</v>
      </c>
      <c r="T434" s="77">
        <f t="shared" si="214"/>
        <v>-1458950.019</v>
      </c>
      <c r="U434" s="77">
        <f t="shared" si="214"/>
        <v>0</v>
      </c>
      <c r="V434" s="77">
        <f t="shared" si="214"/>
        <v>0</v>
      </c>
      <c r="W434" s="77">
        <f t="shared" si="214"/>
        <v>0</v>
      </c>
      <c r="X434" s="77">
        <f t="shared" si="214"/>
        <v>0</v>
      </c>
      <c r="Y434" s="77">
        <f t="shared" si="214"/>
        <v>0</v>
      </c>
      <c r="Z434" s="77">
        <f t="shared" si="214"/>
        <v>0</v>
      </c>
    </row>
    <row r="435" hidden="1" outlineLevel="1">
      <c r="B435" s="93">
        <f>G$4</f>
        <v>1</v>
      </c>
      <c r="C435" s="40"/>
      <c r="D435" s="16" t="s">
        <v>161</v>
      </c>
      <c r="E435" s="74">
        <f t="shared" si="108"/>
        <v>0</v>
      </c>
      <c r="F435" s="74"/>
      <c r="G435" s="74">
        <f t="shared" ref="G435:Z435" si="215">if(index($G$131:$Z$131,,$B435)&gt;0,if(sum($G392:G392)=$E392,sum(F435:$G435)*-1,if(G$4&lt;&gt;1,G414*index($E$792:$E$811,$B435),0)),0)</f>
        <v>0</v>
      </c>
      <c r="H435" s="74">
        <f t="shared" si="215"/>
        <v>1823683.331</v>
      </c>
      <c r="I435" s="74">
        <f t="shared" si="215"/>
        <v>1823683.331</v>
      </c>
      <c r="J435" s="74">
        <f t="shared" si="215"/>
        <v>1686907.081</v>
      </c>
      <c r="K435" s="74">
        <f t="shared" si="215"/>
        <v>592697.0827</v>
      </c>
      <c r="L435" s="74">
        <f t="shared" si="215"/>
        <v>-364736.6662</v>
      </c>
      <c r="M435" s="74">
        <f t="shared" si="215"/>
        <v>-364736.6662</v>
      </c>
      <c r="N435" s="74">
        <f t="shared" si="215"/>
        <v>-227960.4164</v>
      </c>
      <c r="O435" s="74">
        <f t="shared" si="215"/>
        <v>-1686907.081</v>
      </c>
      <c r="P435" s="74">
        <f t="shared" si="215"/>
        <v>-1458946.665</v>
      </c>
      <c r="Q435" s="74">
        <f t="shared" si="215"/>
        <v>-1458946.665</v>
      </c>
      <c r="R435" s="74">
        <f t="shared" si="215"/>
        <v>-364736.6662</v>
      </c>
      <c r="S435" s="74">
        <f t="shared" si="215"/>
        <v>0</v>
      </c>
      <c r="T435" s="74">
        <f t="shared" si="215"/>
        <v>0</v>
      </c>
      <c r="U435" s="74">
        <f t="shared" si="215"/>
        <v>0</v>
      </c>
      <c r="V435" s="74">
        <f t="shared" si="215"/>
        <v>0</v>
      </c>
      <c r="W435" s="74">
        <f t="shared" si="215"/>
        <v>0</v>
      </c>
      <c r="X435" s="74">
        <f t="shared" si="215"/>
        <v>0</v>
      </c>
      <c r="Y435" s="74">
        <f t="shared" si="215"/>
        <v>0</v>
      </c>
      <c r="Z435" s="74">
        <f t="shared" si="215"/>
        <v>0</v>
      </c>
    </row>
    <row r="436" hidden="1" outlineLevel="1">
      <c r="B436" s="93">
        <f t="shared" ref="B436:B454" si="217">B435+1</f>
        <v>2</v>
      </c>
      <c r="C436" s="40"/>
      <c r="D436" s="16" t="s">
        <v>161</v>
      </c>
      <c r="E436" s="74">
        <f t="shared" si="108"/>
        <v>0</v>
      </c>
      <c r="F436" s="74"/>
      <c r="G436" s="74">
        <f t="shared" ref="G436:Z436" si="216">if(index($G$131:$Z$131,,$B436)&gt;0,if(sum($G393:G393)=$E393,sum(F436:$G436)*-1,if(G$4&lt;&gt;1,G415*index($E$792:$E$811,$B436),0)),0)</f>
        <v>0</v>
      </c>
      <c r="H436" s="74">
        <f t="shared" si="216"/>
        <v>1094220.241</v>
      </c>
      <c r="I436" s="74">
        <f t="shared" si="216"/>
        <v>1823700.402</v>
      </c>
      <c r="J436" s="74">
        <f t="shared" si="216"/>
        <v>1823700.402</v>
      </c>
      <c r="K436" s="74">
        <f t="shared" si="216"/>
        <v>1686922.872</v>
      </c>
      <c r="L436" s="74">
        <f t="shared" si="216"/>
        <v>592702.6306</v>
      </c>
      <c r="M436" s="74">
        <f t="shared" si="216"/>
        <v>-364740.0804</v>
      </c>
      <c r="N436" s="74">
        <f t="shared" si="216"/>
        <v>-364740.0804</v>
      </c>
      <c r="O436" s="74">
        <f t="shared" si="216"/>
        <v>-227962.5502</v>
      </c>
      <c r="P436" s="74">
        <f t="shared" si="216"/>
        <v>-1686922.872</v>
      </c>
      <c r="Q436" s="74">
        <f t="shared" si="216"/>
        <v>-1458960.322</v>
      </c>
      <c r="R436" s="74">
        <f t="shared" si="216"/>
        <v>-1458960.322</v>
      </c>
      <c r="S436" s="74">
        <f t="shared" si="216"/>
        <v>-1458960.322</v>
      </c>
      <c r="T436" s="74">
        <f t="shared" si="216"/>
        <v>0</v>
      </c>
      <c r="U436" s="74">
        <f t="shared" si="216"/>
        <v>0</v>
      </c>
      <c r="V436" s="74">
        <f t="shared" si="216"/>
        <v>0</v>
      </c>
      <c r="W436" s="74">
        <f t="shared" si="216"/>
        <v>0</v>
      </c>
      <c r="X436" s="74">
        <f t="shared" si="216"/>
        <v>0</v>
      </c>
      <c r="Y436" s="74">
        <f t="shared" si="216"/>
        <v>0</v>
      </c>
      <c r="Z436" s="74">
        <f t="shared" si="216"/>
        <v>0</v>
      </c>
    </row>
    <row r="437" hidden="1" outlineLevel="1">
      <c r="B437" s="93">
        <f t="shared" si="217"/>
        <v>3</v>
      </c>
      <c r="C437" s="40"/>
      <c r="D437" s="16" t="s">
        <v>161</v>
      </c>
      <c r="E437" s="74">
        <f t="shared" si="108"/>
        <v>0</v>
      </c>
      <c r="F437" s="74"/>
      <c r="G437" s="74">
        <f t="shared" ref="G437:Z437" si="218">if(index($G$131:$Z$131,,$B437)&gt;0,if(sum($G394:G394)=$E394,sum(F437:$G437)*-1,if(G$4&lt;&gt;1,G416*index($E$792:$E$811,$B437),0)),0)</f>
        <v>0</v>
      </c>
      <c r="H437" s="74">
        <f t="shared" si="218"/>
        <v>0</v>
      </c>
      <c r="I437" s="74">
        <f t="shared" si="218"/>
        <v>1094212.515</v>
      </c>
      <c r="J437" s="74">
        <f t="shared" si="218"/>
        <v>1823687.524</v>
      </c>
      <c r="K437" s="74">
        <f t="shared" si="218"/>
        <v>1823687.524</v>
      </c>
      <c r="L437" s="74">
        <f t="shared" si="218"/>
        <v>1686910.96</v>
      </c>
      <c r="M437" s="74">
        <f t="shared" si="218"/>
        <v>592698.4454</v>
      </c>
      <c r="N437" s="74">
        <f t="shared" si="218"/>
        <v>-364737.5049</v>
      </c>
      <c r="O437" s="74">
        <f t="shared" si="218"/>
        <v>-364737.5049</v>
      </c>
      <c r="P437" s="74">
        <f t="shared" si="218"/>
        <v>-227960.9405</v>
      </c>
      <c r="Q437" s="74">
        <f t="shared" si="218"/>
        <v>-1686910.96</v>
      </c>
      <c r="R437" s="74">
        <f t="shared" si="218"/>
        <v>-1458950.019</v>
      </c>
      <c r="S437" s="74">
        <f t="shared" si="218"/>
        <v>-1458950.019</v>
      </c>
      <c r="T437" s="74">
        <f t="shared" si="218"/>
        <v>-1458950.019</v>
      </c>
      <c r="U437" s="74">
        <f t="shared" si="218"/>
        <v>0</v>
      </c>
      <c r="V437" s="74">
        <f t="shared" si="218"/>
        <v>0</v>
      </c>
      <c r="W437" s="74">
        <f t="shared" si="218"/>
        <v>0</v>
      </c>
      <c r="X437" s="74">
        <f t="shared" si="218"/>
        <v>0</v>
      </c>
      <c r="Y437" s="74">
        <f t="shared" si="218"/>
        <v>0</v>
      </c>
      <c r="Z437" s="74">
        <f t="shared" si="218"/>
        <v>0</v>
      </c>
    </row>
    <row r="438" hidden="1" outlineLevel="1">
      <c r="B438" s="93">
        <f t="shared" si="217"/>
        <v>4</v>
      </c>
      <c r="C438" s="40"/>
      <c r="D438" s="16" t="s">
        <v>161</v>
      </c>
      <c r="E438" s="74">
        <f t="shared" si="108"/>
        <v>0</v>
      </c>
      <c r="F438" s="74"/>
      <c r="G438" s="74">
        <f t="shared" ref="G438:Z438" si="219">if(index($G$131:$Z$131,,$B438)&gt;0,if(sum($G395:G395)=$E395,sum(F438:$G438)*-1,if(G$4&lt;&gt;1,G417*index($E$792:$E$811,$B438),0)),0)</f>
        <v>0</v>
      </c>
      <c r="H438" s="74">
        <f t="shared" si="219"/>
        <v>0</v>
      </c>
      <c r="I438" s="74">
        <f t="shared" si="219"/>
        <v>0</v>
      </c>
      <c r="J438" s="74">
        <f t="shared" si="219"/>
        <v>0</v>
      </c>
      <c r="K438" s="74">
        <f t="shared" si="219"/>
        <v>0</v>
      </c>
      <c r="L438" s="74">
        <f t="shared" si="219"/>
        <v>0</v>
      </c>
      <c r="M438" s="74">
        <f t="shared" si="219"/>
        <v>0</v>
      </c>
      <c r="N438" s="74">
        <f t="shared" si="219"/>
        <v>0</v>
      </c>
      <c r="O438" s="74">
        <f t="shared" si="219"/>
        <v>0</v>
      </c>
      <c r="P438" s="74">
        <f t="shared" si="219"/>
        <v>0</v>
      </c>
      <c r="Q438" s="74">
        <f t="shared" si="219"/>
        <v>0</v>
      </c>
      <c r="R438" s="74">
        <f t="shared" si="219"/>
        <v>0</v>
      </c>
      <c r="S438" s="74">
        <f t="shared" si="219"/>
        <v>0</v>
      </c>
      <c r="T438" s="74">
        <f t="shared" si="219"/>
        <v>0</v>
      </c>
      <c r="U438" s="74">
        <f t="shared" si="219"/>
        <v>0</v>
      </c>
      <c r="V438" s="74">
        <f t="shared" si="219"/>
        <v>0</v>
      </c>
      <c r="W438" s="74">
        <f t="shared" si="219"/>
        <v>0</v>
      </c>
      <c r="X438" s="74">
        <f t="shared" si="219"/>
        <v>0</v>
      </c>
      <c r="Y438" s="74">
        <f t="shared" si="219"/>
        <v>0</v>
      </c>
      <c r="Z438" s="74">
        <f t="shared" si="219"/>
        <v>0</v>
      </c>
    </row>
    <row r="439" hidden="1" outlineLevel="1">
      <c r="B439" s="93">
        <f t="shared" si="217"/>
        <v>5</v>
      </c>
      <c r="C439" s="40"/>
      <c r="D439" s="16" t="s">
        <v>161</v>
      </c>
      <c r="E439" s="74">
        <f t="shared" si="108"/>
        <v>0</v>
      </c>
      <c r="F439" s="74"/>
      <c r="G439" s="74">
        <f t="shared" ref="G439:Z439" si="220">if(index($G$131:$Z$131,,$B439)&gt;0,if(sum($G396:G396)=$E396,sum(F439:$G439)*-1,if(G$4&lt;&gt;1,G418*index($E$792:$E$811,$B439),0)),0)</f>
        <v>0</v>
      </c>
      <c r="H439" s="74">
        <f t="shared" si="220"/>
        <v>0</v>
      </c>
      <c r="I439" s="74">
        <f t="shared" si="220"/>
        <v>0</v>
      </c>
      <c r="J439" s="74">
        <f t="shared" si="220"/>
        <v>0</v>
      </c>
      <c r="K439" s="74">
        <f t="shared" si="220"/>
        <v>0</v>
      </c>
      <c r="L439" s="74">
        <f t="shared" si="220"/>
        <v>0</v>
      </c>
      <c r="M439" s="74">
        <f t="shared" si="220"/>
        <v>0</v>
      </c>
      <c r="N439" s="74">
        <f t="shared" si="220"/>
        <v>0</v>
      </c>
      <c r="O439" s="74">
        <f t="shared" si="220"/>
        <v>0</v>
      </c>
      <c r="P439" s="74">
        <f t="shared" si="220"/>
        <v>0</v>
      </c>
      <c r="Q439" s="74">
        <f t="shared" si="220"/>
        <v>0</v>
      </c>
      <c r="R439" s="74">
        <f t="shared" si="220"/>
        <v>0</v>
      </c>
      <c r="S439" s="74">
        <f t="shared" si="220"/>
        <v>0</v>
      </c>
      <c r="T439" s="74">
        <f t="shared" si="220"/>
        <v>0</v>
      </c>
      <c r="U439" s="74">
        <f t="shared" si="220"/>
        <v>0</v>
      </c>
      <c r="V439" s="74">
        <f t="shared" si="220"/>
        <v>0</v>
      </c>
      <c r="W439" s="74">
        <f t="shared" si="220"/>
        <v>0</v>
      </c>
      <c r="X439" s="74">
        <f t="shared" si="220"/>
        <v>0</v>
      </c>
      <c r="Y439" s="74">
        <f t="shared" si="220"/>
        <v>0</v>
      </c>
      <c r="Z439" s="74">
        <f t="shared" si="220"/>
        <v>0</v>
      </c>
    </row>
    <row r="440" hidden="1" outlineLevel="1">
      <c r="B440" s="93">
        <f t="shared" si="217"/>
        <v>6</v>
      </c>
      <c r="C440" s="40"/>
      <c r="D440" s="16" t="s">
        <v>161</v>
      </c>
      <c r="E440" s="74">
        <f t="shared" si="108"/>
        <v>0</v>
      </c>
      <c r="F440" s="74"/>
      <c r="G440" s="74">
        <f t="shared" ref="G440:Z440" si="221">if(index($G$131:$Z$131,,$B440)&gt;0,if(sum($G397:G397)=$E397,sum(F440:$G440)*-1,if(G$4&lt;&gt;1,G419*index($E$792:$E$811,$B440),0)),0)</f>
        <v>0</v>
      </c>
      <c r="H440" s="74">
        <f t="shared" si="221"/>
        <v>0</v>
      </c>
      <c r="I440" s="74">
        <f t="shared" si="221"/>
        <v>0</v>
      </c>
      <c r="J440" s="74">
        <f t="shared" si="221"/>
        <v>0</v>
      </c>
      <c r="K440" s="74">
        <f t="shared" si="221"/>
        <v>0</v>
      </c>
      <c r="L440" s="74">
        <f t="shared" si="221"/>
        <v>0</v>
      </c>
      <c r="M440" s="74">
        <f t="shared" si="221"/>
        <v>0</v>
      </c>
      <c r="N440" s="74">
        <f t="shared" si="221"/>
        <v>0</v>
      </c>
      <c r="O440" s="74">
        <f t="shared" si="221"/>
        <v>0</v>
      </c>
      <c r="P440" s="74">
        <f t="shared" si="221"/>
        <v>0</v>
      </c>
      <c r="Q440" s="74">
        <f t="shared" si="221"/>
        <v>0</v>
      </c>
      <c r="R440" s="74">
        <f t="shared" si="221"/>
        <v>0</v>
      </c>
      <c r="S440" s="74">
        <f t="shared" si="221"/>
        <v>0</v>
      </c>
      <c r="T440" s="74">
        <f t="shared" si="221"/>
        <v>0</v>
      </c>
      <c r="U440" s="74">
        <f t="shared" si="221"/>
        <v>0</v>
      </c>
      <c r="V440" s="74">
        <f t="shared" si="221"/>
        <v>0</v>
      </c>
      <c r="W440" s="74">
        <f t="shared" si="221"/>
        <v>0</v>
      </c>
      <c r="X440" s="74">
        <f t="shared" si="221"/>
        <v>0</v>
      </c>
      <c r="Y440" s="74">
        <f t="shared" si="221"/>
        <v>0</v>
      </c>
      <c r="Z440" s="74">
        <f t="shared" si="221"/>
        <v>0</v>
      </c>
    </row>
    <row r="441" hidden="1" outlineLevel="1">
      <c r="B441" s="93">
        <f t="shared" si="217"/>
        <v>7</v>
      </c>
      <c r="C441" s="40"/>
      <c r="D441" s="16" t="s">
        <v>161</v>
      </c>
      <c r="E441" s="74">
        <f t="shared" si="108"/>
        <v>0</v>
      </c>
      <c r="F441" s="74"/>
      <c r="G441" s="74">
        <f t="shared" ref="G441:Z441" si="222">if(index($G$131:$Z$131,,$B441)&gt;0,if(sum($G398:G398)=$E398,sum(F441:$G441)*-1,if(G$4&lt;&gt;1,G420*index($E$792:$E$811,$B441),0)),0)</f>
        <v>0</v>
      </c>
      <c r="H441" s="74">
        <f t="shared" si="222"/>
        <v>0</v>
      </c>
      <c r="I441" s="74">
        <f t="shared" si="222"/>
        <v>0</v>
      </c>
      <c r="J441" s="74">
        <f t="shared" si="222"/>
        <v>0</v>
      </c>
      <c r="K441" s="74">
        <f t="shared" si="222"/>
        <v>0</v>
      </c>
      <c r="L441" s="74">
        <f t="shared" si="222"/>
        <v>0</v>
      </c>
      <c r="M441" s="74">
        <f t="shared" si="222"/>
        <v>0</v>
      </c>
      <c r="N441" s="74">
        <f t="shared" si="222"/>
        <v>0</v>
      </c>
      <c r="O441" s="74">
        <f t="shared" si="222"/>
        <v>0</v>
      </c>
      <c r="P441" s="74">
        <f t="shared" si="222"/>
        <v>0</v>
      </c>
      <c r="Q441" s="74">
        <f t="shared" si="222"/>
        <v>0</v>
      </c>
      <c r="R441" s="74">
        <f t="shared" si="222"/>
        <v>0</v>
      </c>
      <c r="S441" s="74">
        <f t="shared" si="222"/>
        <v>0</v>
      </c>
      <c r="T441" s="74">
        <f t="shared" si="222"/>
        <v>0</v>
      </c>
      <c r="U441" s="74">
        <f t="shared" si="222"/>
        <v>0</v>
      </c>
      <c r="V441" s="74">
        <f t="shared" si="222"/>
        <v>0</v>
      </c>
      <c r="W441" s="74">
        <f t="shared" si="222"/>
        <v>0</v>
      </c>
      <c r="X441" s="74">
        <f t="shared" si="222"/>
        <v>0</v>
      </c>
      <c r="Y441" s="74">
        <f t="shared" si="222"/>
        <v>0</v>
      </c>
      <c r="Z441" s="74">
        <f t="shared" si="222"/>
        <v>0</v>
      </c>
    </row>
    <row r="442" hidden="1" outlineLevel="1">
      <c r="B442" s="93">
        <f t="shared" si="217"/>
        <v>8</v>
      </c>
      <c r="C442" s="40"/>
      <c r="D442" s="16" t="s">
        <v>161</v>
      </c>
      <c r="E442" s="74">
        <f t="shared" si="108"/>
        <v>0</v>
      </c>
      <c r="F442" s="74"/>
      <c r="G442" s="74">
        <f t="shared" ref="G442:Z442" si="223">if(index($G$131:$Z$131,,$B442)&gt;0,if(sum($G399:G399)=$E399,sum(F442:$G442)*-1,if(G$4&lt;&gt;1,G421*index($E$792:$E$811,$B442),0)),0)</f>
        <v>0</v>
      </c>
      <c r="H442" s="74">
        <f t="shared" si="223"/>
        <v>0</v>
      </c>
      <c r="I442" s="74">
        <f t="shared" si="223"/>
        <v>0</v>
      </c>
      <c r="J442" s="74">
        <f t="shared" si="223"/>
        <v>0</v>
      </c>
      <c r="K442" s="74">
        <f t="shared" si="223"/>
        <v>0</v>
      </c>
      <c r="L442" s="74">
        <f t="shared" si="223"/>
        <v>0</v>
      </c>
      <c r="M442" s="74">
        <f t="shared" si="223"/>
        <v>0</v>
      </c>
      <c r="N442" s="74">
        <f t="shared" si="223"/>
        <v>0</v>
      </c>
      <c r="O442" s="74">
        <f t="shared" si="223"/>
        <v>0</v>
      </c>
      <c r="P442" s="74">
        <f t="shared" si="223"/>
        <v>0</v>
      </c>
      <c r="Q442" s="74">
        <f t="shared" si="223"/>
        <v>0</v>
      </c>
      <c r="R442" s="74">
        <f t="shared" si="223"/>
        <v>0</v>
      </c>
      <c r="S442" s="74">
        <f t="shared" si="223"/>
        <v>0</v>
      </c>
      <c r="T442" s="74">
        <f t="shared" si="223"/>
        <v>0</v>
      </c>
      <c r="U442" s="74">
        <f t="shared" si="223"/>
        <v>0</v>
      </c>
      <c r="V442" s="74">
        <f t="shared" si="223"/>
        <v>0</v>
      </c>
      <c r="W442" s="74">
        <f t="shared" si="223"/>
        <v>0</v>
      </c>
      <c r="X442" s="74">
        <f t="shared" si="223"/>
        <v>0</v>
      </c>
      <c r="Y442" s="74">
        <f t="shared" si="223"/>
        <v>0</v>
      </c>
      <c r="Z442" s="74">
        <f t="shared" si="223"/>
        <v>0</v>
      </c>
    </row>
    <row r="443" hidden="1" outlineLevel="1">
      <c r="B443" s="93">
        <f t="shared" si="217"/>
        <v>9</v>
      </c>
      <c r="C443" s="40"/>
      <c r="D443" s="16" t="s">
        <v>161</v>
      </c>
      <c r="E443" s="74">
        <f t="shared" si="108"/>
        <v>0</v>
      </c>
      <c r="F443" s="74"/>
      <c r="G443" s="74">
        <f t="shared" ref="G443:Z443" si="224">if(index($G$131:$Z$131,,$B443)&gt;0,if(sum($G400:G400)=$E400,sum(F443:$G443)*-1,if(G$4&lt;&gt;1,G422*index($E$792:$E$811,$B443),0)),0)</f>
        <v>0</v>
      </c>
      <c r="H443" s="74">
        <f t="shared" si="224"/>
        <v>0</v>
      </c>
      <c r="I443" s="74">
        <f t="shared" si="224"/>
        <v>0</v>
      </c>
      <c r="J443" s="74">
        <f t="shared" si="224"/>
        <v>0</v>
      </c>
      <c r="K443" s="74">
        <f t="shared" si="224"/>
        <v>0</v>
      </c>
      <c r="L443" s="74">
        <f t="shared" si="224"/>
        <v>0</v>
      </c>
      <c r="M443" s="74">
        <f t="shared" si="224"/>
        <v>0</v>
      </c>
      <c r="N443" s="74">
        <f t="shared" si="224"/>
        <v>0</v>
      </c>
      <c r="O443" s="74">
        <f t="shared" si="224"/>
        <v>0</v>
      </c>
      <c r="P443" s="74">
        <f t="shared" si="224"/>
        <v>0</v>
      </c>
      <c r="Q443" s="74">
        <f t="shared" si="224"/>
        <v>0</v>
      </c>
      <c r="R443" s="74">
        <f t="shared" si="224"/>
        <v>0</v>
      </c>
      <c r="S443" s="74">
        <f t="shared" si="224"/>
        <v>0</v>
      </c>
      <c r="T443" s="74">
        <f t="shared" si="224"/>
        <v>0</v>
      </c>
      <c r="U443" s="74">
        <f t="shared" si="224"/>
        <v>0</v>
      </c>
      <c r="V443" s="74">
        <f t="shared" si="224"/>
        <v>0</v>
      </c>
      <c r="W443" s="74">
        <f t="shared" si="224"/>
        <v>0</v>
      </c>
      <c r="X443" s="74">
        <f t="shared" si="224"/>
        <v>0</v>
      </c>
      <c r="Y443" s="74">
        <f t="shared" si="224"/>
        <v>0</v>
      </c>
      <c r="Z443" s="74">
        <f t="shared" si="224"/>
        <v>0</v>
      </c>
    </row>
    <row r="444" hidden="1" outlineLevel="1">
      <c r="B444" s="93">
        <f t="shared" si="217"/>
        <v>10</v>
      </c>
      <c r="C444" s="40"/>
      <c r="D444" s="16" t="s">
        <v>161</v>
      </c>
      <c r="E444" s="74">
        <f t="shared" si="108"/>
        <v>0</v>
      </c>
      <c r="F444" s="74"/>
      <c r="G444" s="74">
        <f t="shared" ref="G444:Z444" si="225">if(index($G$131:$Z$131,,$B444)&gt;0,if(sum($G401:G401)=$E401,sum(F444:$G444)*-1,if(G$4&lt;&gt;1,G423*index($E$792:$E$811,$B444),0)),0)</f>
        <v>0</v>
      </c>
      <c r="H444" s="74">
        <f t="shared" si="225"/>
        <v>0</v>
      </c>
      <c r="I444" s="74">
        <f t="shared" si="225"/>
        <v>0</v>
      </c>
      <c r="J444" s="74">
        <f t="shared" si="225"/>
        <v>0</v>
      </c>
      <c r="K444" s="74">
        <f t="shared" si="225"/>
        <v>0</v>
      </c>
      <c r="L444" s="74">
        <f t="shared" si="225"/>
        <v>0</v>
      </c>
      <c r="M444" s="74">
        <f t="shared" si="225"/>
        <v>0</v>
      </c>
      <c r="N444" s="74">
        <f t="shared" si="225"/>
        <v>0</v>
      </c>
      <c r="O444" s="74">
        <f t="shared" si="225"/>
        <v>0</v>
      </c>
      <c r="P444" s="74">
        <f t="shared" si="225"/>
        <v>0</v>
      </c>
      <c r="Q444" s="74">
        <f t="shared" si="225"/>
        <v>0</v>
      </c>
      <c r="R444" s="74">
        <f t="shared" si="225"/>
        <v>0</v>
      </c>
      <c r="S444" s="74">
        <f t="shared" si="225"/>
        <v>0</v>
      </c>
      <c r="T444" s="74">
        <f t="shared" si="225"/>
        <v>0</v>
      </c>
      <c r="U444" s="74">
        <f t="shared" si="225"/>
        <v>0</v>
      </c>
      <c r="V444" s="74">
        <f t="shared" si="225"/>
        <v>0</v>
      </c>
      <c r="W444" s="74">
        <f t="shared" si="225"/>
        <v>0</v>
      </c>
      <c r="X444" s="74">
        <f t="shared" si="225"/>
        <v>0</v>
      </c>
      <c r="Y444" s="74">
        <f t="shared" si="225"/>
        <v>0</v>
      </c>
      <c r="Z444" s="74">
        <f t="shared" si="225"/>
        <v>0</v>
      </c>
    </row>
    <row r="445" hidden="1" outlineLevel="1">
      <c r="B445" s="93">
        <f t="shared" si="217"/>
        <v>11</v>
      </c>
      <c r="C445" s="40"/>
      <c r="D445" s="16" t="s">
        <v>161</v>
      </c>
      <c r="E445" s="74">
        <f t="shared" si="108"/>
        <v>0</v>
      </c>
      <c r="F445" s="74"/>
      <c r="G445" s="74">
        <f t="shared" ref="G445:Z445" si="226">if(index($G$131:$Z$131,,$B445)&gt;0,if(sum($G402:G402)=$E402,sum(F445:$G445)*-1,if(G$4&lt;&gt;1,G424*index($E$792:$E$811,$B445),0)),0)</f>
        <v>0</v>
      </c>
      <c r="H445" s="74">
        <f t="shared" si="226"/>
        <v>0</v>
      </c>
      <c r="I445" s="74">
        <f t="shared" si="226"/>
        <v>0</v>
      </c>
      <c r="J445" s="74">
        <f t="shared" si="226"/>
        <v>0</v>
      </c>
      <c r="K445" s="74">
        <f t="shared" si="226"/>
        <v>0</v>
      </c>
      <c r="L445" s="74">
        <f t="shared" si="226"/>
        <v>0</v>
      </c>
      <c r="M445" s="74">
        <f t="shared" si="226"/>
        <v>0</v>
      </c>
      <c r="N445" s="74">
        <f t="shared" si="226"/>
        <v>0</v>
      </c>
      <c r="O445" s="74">
        <f t="shared" si="226"/>
        <v>0</v>
      </c>
      <c r="P445" s="74">
        <f t="shared" si="226"/>
        <v>0</v>
      </c>
      <c r="Q445" s="74">
        <f t="shared" si="226"/>
        <v>0</v>
      </c>
      <c r="R445" s="74">
        <f t="shared" si="226"/>
        <v>0</v>
      </c>
      <c r="S445" s="74">
        <f t="shared" si="226"/>
        <v>0</v>
      </c>
      <c r="T445" s="74">
        <f t="shared" si="226"/>
        <v>0</v>
      </c>
      <c r="U445" s="74">
        <f t="shared" si="226"/>
        <v>0</v>
      </c>
      <c r="V445" s="74">
        <f t="shared" si="226"/>
        <v>0</v>
      </c>
      <c r="W445" s="74">
        <f t="shared" si="226"/>
        <v>0</v>
      </c>
      <c r="X445" s="74">
        <f t="shared" si="226"/>
        <v>0</v>
      </c>
      <c r="Y445" s="74">
        <f t="shared" si="226"/>
        <v>0</v>
      </c>
      <c r="Z445" s="74">
        <f t="shared" si="226"/>
        <v>0</v>
      </c>
    </row>
    <row r="446" hidden="1" outlineLevel="1">
      <c r="B446" s="93">
        <f t="shared" si="217"/>
        <v>12</v>
      </c>
      <c r="C446" s="40"/>
      <c r="D446" s="16" t="s">
        <v>161</v>
      </c>
      <c r="E446" s="74">
        <f t="shared" si="108"/>
        <v>0</v>
      </c>
      <c r="F446" s="74"/>
      <c r="G446" s="74">
        <f t="shared" ref="G446:Z446" si="227">if(index($G$131:$Z$131,,$B446)&gt;0,if(sum($G403:G403)=$E403,sum(F446:$G446)*-1,if(G$4&lt;&gt;1,G425*index($E$792:$E$811,$B446),0)),0)</f>
        <v>0</v>
      </c>
      <c r="H446" s="74">
        <f t="shared" si="227"/>
        <v>0</v>
      </c>
      <c r="I446" s="74">
        <f t="shared" si="227"/>
        <v>0</v>
      </c>
      <c r="J446" s="74">
        <f t="shared" si="227"/>
        <v>0</v>
      </c>
      <c r="K446" s="74">
        <f t="shared" si="227"/>
        <v>0</v>
      </c>
      <c r="L446" s="74">
        <f t="shared" si="227"/>
        <v>0</v>
      </c>
      <c r="M446" s="74">
        <f t="shared" si="227"/>
        <v>0</v>
      </c>
      <c r="N446" s="74">
        <f t="shared" si="227"/>
        <v>0</v>
      </c>
      <c r="O446" s="74">
        <f t="shared" si="227"/>
        <v>0</v>
      </c>
      <c r="P446" s="74">
        <f t="shared" si="227"/>
        <v>0</v>
      </c>
      <c r="Q446" s="74">
        <f t="shared" si="227"/>
        <v>0</v>
      </c>
      <c r="R446" s="74">
        <f t="shared" si="227"/>
        <v>0</v>
      </c>
      <c r="S446" s="74">
        <f t="shared" si="227"/>
        <v>0</v>
      </c>
      <c r="T446" s="74">
        <f t="shared" si="227"/>
        <v>0</v>
      </c>
      <c r="U446" s="74">
        <f t="shared" si="227"/>
        <v>0</v>
      </c>
      <c r="V446" s="74">
        <f t="shared" si="227"/>
        <v>0</v>
      </c>
      <c r="W446" s="74">
        <f t="shared" si="227"/>
        <v>0</v>
      </c>
      <c r="X446" s="74">
        <f t="shared" si="227"/>
        <v>0</v>
      </c>
      <c r="Y446" s="74">
        <f t="shared" si="227"/>
        <v>0</v>
      </c>
      <c r="Z446" s="74">
        <f t="shared" si="227"/>
        <v>0</v>
      </c>
    </row>
    <row r="447" hidden="1" outlineLevel="1">
      <c r="B447" s="93">
        <f t="shared" si="217"/>
        <v>13</v>
      </c>
      <c r="C447" s="40"/>
      <c r="D447" s="16" t="s">
        <v>161</v>
      </c>
      <c r="E447" s="74">
        <f t="shared" si="108"/>
        <v>0</v>
      </c>
      <c r="F447" s="74"/>
      <c r="G447" s="74">
        <f t="shared" ref="G447:Z447" si="228">if(index($G$131:$Z$131,,$B447)&gt;0,if(sum($G404:G404)=$E404,sum(F447:$G447)*-1,if(G$4&lt;&gt;1,G426*index($E$792:$E$811,$B447),0)),0)</f>
        <v>0</v>
      </c>
      <c r="H447" s="74">
        <f t="shared" si="228"/>
        <v>0</v>
      </c>
      <c r="I447" s="74">
        <f t="shared" si="228"/>
        <v>0</v>
      </c>
      <c r="J447" s="74">
        <f t="shared" si="228"/>
        <v>0</v>
      </c>
      <c r="K447" s="74">
        <f t="shared" si="228"/>
        <v>0</v>
      </c>
      <c r="L447" s="74">
        <f t="shared" si="228"/>
        <v>0</v>
      </c>
      <c r="M447" s="74">
        <f t="shared" si="228"/>
        <v>0</v>
      </c>
      <c r="N447" s="74">
        <f t="shared" si="228"/>
        <v>0</v>
      </c>
      <c r="O447" s="74">
        <f t="shared" si="228"/>
        <v>0</v>
      </c>
      <c r="P447" s="74">
        <f t="shared" si="228"/>
        <v>0</v>
      </c>
      <c r="Q447" s="74">
        <f t="shared" si="228"/>
        <v>0</v>
      </c>
      <c r="R447" s="74">
        <f t="shared" si="228"/>
        <v>0</v>
      </c>
      <c r="S447" s="74">
        <f t="shared" si="228"/>
        <v>0</v>
      </c>
      <c r="T447" s="74">
        <f t="shared" si="228"/>
        <v>0</v>
      </c>
      <c r="U447" s="74">
        <f t="shared" si="228"/>
        <v>0</v>
      </c>
      <c r="V447" s="74">
        <f t="shared" si="228"/>
        <v>0</v>
      </c>
      <c r="W447" s="74">
        <f t="shared" si="228"/>
        <v>0</v>
      </c>
      <c r="X447" s="74">
        <f t="shared" si="228"/>
        <v>0</v>
      </c>
      <c r="Y447" s="74">
        <f t="shared" si="228"/>
        <v>0</v>
      </c>
      <c r="Z447" s="74">
        <f t="shared" si="228"/>
        <v>0</v>
      </c>
    </row>
    <row r="448" hidden="1" outlineLevel="1">
      <c r="B448" s="93">
        <f t="shared" si="217"/>
        <v>14</v>
      </c>
      <c r="C448" s="40"/>
      <c r="D448" s="16" t="s">
        <v>161</v>
      </c>
      <c r="E448" s="74">
        <f t="shared" si="108"/>
        <v>0</v>
      </c>
      <c r="F448" s="74"/>
      <c r="G448" s="74">
        <f t="shared" ref="G448:Z448" si="229">if(index($G$131:$Z$131,,$B448)&gt;0,if(sum($G405:G405)=$E405,sum(F448:$G448)*-1,if(G$4&lt;&gt;1,G427*index($E$792:$E$811,$B448),0)),0)</f>
        <v>0</v>
      </c>
      <c r="H448" s="74">
        <f t="shared" si="229"/>
        <v>0</v>
      </c>
      <c r="I448" s="74">
        <f t="shared" si="229"/>
        <v>0</v>
      </c>
      <c r="J448" s="74">
        <f t="shared" si="229"/>
        <v>0</v>
      </c>
      <c r="K448" s="74">
        <f t="shared" si="229"/>
        <v>0</v>
      </c>
      <c r="L448" s="74">
        <f t="shared" si="229"/>
        <v>0</v>
      </c>
      <c r="M448" s="74">
        <f t="shared" si="229"/>
        <v>0</v>
      </c>
      <c r="N448" s="74">
        <f t="shared" si="229"/>
        <v>0</v>
      </c>
      <c r="O448" s="74">
        <f t="shared" si="229"/>
        <v>0</v>
      </c>
      <c r="P448" s="74">
        <f t="shared" si="229"/>
        <v>0</v>
      </c>
      <c r="Q448" s="74">
        <f t="shared" si="229"/>
        <v>0</v>
      </c>
      <c r="R448" s="74">
        <f t="shared" si="229"/>
        <v>0</v>
      </c>
      <c r="S448" s="74">
        <f t="shared" si="229"/>
        <v>0</v>
      </c>
      <c r="T448" s="74">
        <f t="shared" si="229"/>
        <v>0</v>
      </c>
      <c r="U448" s="74">
        <f t="shared" si="229"/>
        <v>0</v>
      </c>
      <c r="V448" s="74">
        <f t="shared" si="229"/>
        <v>0</v>
      </c>
      <c r="W448" s="74">
        <f t="shared" si="229"/>
        <v>0</v>
      </c>
      <c r="X448" s="74">
        <f t="shared" si="229"/>
        <v>0</v>
      </c>
      <c r="Y448" s="74">
        <f t="shared" si="229"/>
        <v>0</v>
      </c>
      <c r="Z448" s="74">
        <f t="shared" si="229"/>
        <v>0</v>
      </c>
    </row>
    <row r="449" hidden="1" outlineLevel="1">
      <c r="B449" s="93">
        <f t="shared" si="217"/>
        <v>15</v>
      </c>
      <c r="C449" s="40"/>
      <c r="D449" s="16" t="s">
        <v>161</v>
      </c>
      <c r="E449" s="74">
        <f t="shared" si="108"/>
        <v>0</v>
      </c>
      <c r="F449" s="74"/>
      <c r="G449" s="74">
        <f t="shared" ref="G449:Z449" si="230">if(index($G$131:$Z$131,,$B449)&gt;0,if(sum($G406:G406)=$E406,sum(F449:$G449)*-1,if(G$4&lt;&gt;1,G428*index($E$792:$E$811,$B449),0)),0)</f>
        <v>0</v>
      </c>
      <c r="H449" s="74">
        <f t="shared" si="230"/>
        <v>0</v>
      </c>
      <c r="I449" s="74">
        <f t="shared" si="230"/>
        <v>0</v>
      </c>
      <c r="J449" s="74">
        <f t="shared" si="230"/>
        <v>0</v>
      </c>
      <c r="K449" s="74">
        <f t="shared" si="230"/>
        <v>0</v>
      </c>
      <c r="L449" s="74">
        <f t="shared" si="230"/>
        <v>0</v>
      </c>
      <c r="M449" s="74">
        <f t="shared" si="230"/>
        <v>0</v>
      </c>
      <c r="N449" s="74">
        <f t="shared" si="230"/>
        <v>0</v>
      </c>
      <c r="O449" s="74">
        <f t="shared" si="230"/>
        <v>0</v>
      </c>
      <c r="P449" s="74">
        <f t="shared" si="230"/>
        <v>0</v>
      </c>
      <c r="Q449" s="74">
        <f t="shared" si="230"/>
        <v>0</v>
      </c>
      <c r="R449" s="74">
        <f t="shared" si="230"/>
        <v>0</v>
      </c>
      <c r="S449" s="74">
        <f t="shared" si="230"/>
        <v>0</v>
      </c>
      <c r="T449" s="74">
        <f t="shared" si="230"/>
        <v>0</v>
      </c>
      <c r="U449" s="74">
        <f t="shared" si="230"/>
        <v>0</v>
      </c>
      <c r="V449" s="74">
        <f t="shared" si="230"/>
        <v>0</v>
      </c>
      <c r="W449" s="74">
        <f t="shared" si="230"/>
        <v>0</v>
      </c>
      <c r="X449" s="74">
        <f t="shared" si="230"/>
        <v>0</v>
      </c>
      <c r="Y449" s="74">
        <f t="shared" si="230"/>
        <v>0</v>
      </c>
      <c r="Z449" s="74">
        <f t="shared" si="230"/>
        <v>0</v>
      </c>
    </row>
    <row r="450" hidden="1" outlineLevel="1">
      <c r="B450" s="93">
        <f t="shared" si="217"/>
        <v>16</v>
      </c>
      <c r="C450" s="40"/>
      <c r="D450" s="16" t="s">
        <v>161</v>
      </c>
      <c r="E450" s="74">
        <f t="shared" si="108"/>
        <v>0</v>
      </c>
      <c r="F450" s="74"/>
      <c r="G450" s="74">
        <f t="shared" ref="G450:Z450" si="231">if(index($G$131:$Z$131,,$B450)&gt;0,if(sum($G407:G407)=$E407,sum(F450:$G450)*-1,if(G$4&lt;&gt;1,G429*index($E$792:$E$811,$B450),0)),0)</f>
        <v>0</v>
      </c>
      <c r="H450" s="74">
        <f t="shared" si="231"/>
        <v>0</v>
      </c>
      <c r="I450" s="74">
        <f t="shared" si="231"/>
        <v>0</v>
      </c>
      <c r="J450" s="74">
        <f t="shared" si="231"/>
        <v>0</v>
      </c>
      <c r="K450" s="74">
        <f t="shared" si="231"/>
        <v>0</v>
      </c>
      <c r="L450" s="74">
        <f t="shared" si="231"/>
        <v>0</v>
      </c>
      <c r="M450" s="74">
        <f t="shared" si="231"/>
        <v>0</v>
      </c>
      <c r="N450" s="74">
        <f t="shared" si="231"/>
        <v>0</v>
      </c>
      <c r="O450" s="74">
        <f t="shared" si="231"/>
        <v>0</v>
      </c>
      <c r="P450" s="74">
        <f t="shared" si="231"/>
        <v>0</v>
      </c>
      <c r="Q450" s="74">
        <f t="shared" si="231"/>
        <v>0</v>
      </c>
      <c r="R450" s="74">
        <f t="shared" si="231"/>
        <v>0</v>
      </c>
      <c r="S450" s="74">
        <f t="shared" si="231"/>
        <v>0</v>
      </c>
      <c r="T450" s="74">
        <f t="shared" si="231"/>
        <v>0</v>
      </c>
      <c r="U450" s="74">
        <f t="shared" si="231"/>
        <v>0</v>
      </c>
      <c r="V450" s="74">
        <f t="shared" si="231"/>
        <v>0</v>
      </c>
      <c r="W450" s="74">
        <f t="shared" si="231"/>
        <v>0</v>
      </c>
      <c r="X450" s="74">
        <f t="shared" si="231"/>
        <v>0</v>
      </c>
      <c r="Y450" s="74">
        <f t="shared" si="231"/>
        <v>0</v>
      </c>
      <c r="Z450" s="74">
        <f t="shared" si="231"/>
        <v>0</v>
      </c>
    </row>
    <row r="451" hidden="1" outlineLevel="1">
      <c r="B451" s="93">
        <f t="shared" si="217"/>
        <v>17</v>
      </c>
      <c r="C451" s="40"/>
      <c r="D451" s="16" t="s">
        <v>161</v>
      </c>
      <c r="E451" s="74">
        <f t="shared" si="108"/>
        <v>0</v>
      </c>
      <c r="F451" s="74"/>
      <c r="G451" s="74">
        <f t="shared" ref="G451:Z451" si="232">if(index($G$131:$Z$131,,$B451)&gt;0,if(sum($G408:G408)=$E408,sum(F451:$G451)*-1,if(G$4&lt;&gt;1,G430*index($E$792:$E$811,$B451),0)),0)</f>
        <v>0</v>
      </c>
      <c r="H451" s="74">
        <f t="shared" si="232"/>
        <v>0</v>
      </c>
      <c r="I451" s="74">
        <f t="shared" si="232"/>
        <v>0</v>
      </c>
      <c r="J451" s="74">
        <f t="shared" si="232"/>
        <v>0</v>
      </c>
      <c r="K451" s="74">
        <f t="shared" si="232"/>
        <v>0</v>
      </c>
      <c r="L451" s="74">
        <f t="shared" si="232"/>
        <v>0</v>
      </c>
      <c r="M451" s="74">
        <f t="shared" si="232"/>
        <v>0</v>
      </c>
      <c r="N451" s="74">
        <f t="shared" si="232"/>
        <v>0</v>
      </c>
      <c r="O451" s="74">
        <f t="shared" si="232"/>
        <v>0</v>
      </c>
      <c r="P451" s="74">
        <f t="shared" si="232"/>
        <v>0</v>
      </c>
      <c r="Q451" s="74">
        <f t="shared" si="232"/>
        <v>0</v>
      </c>
      <c r="R451" s="74">
        <f t="shared" si="232"/>
        <v>0</v>
      </c>
      <c r="S451" s="74">
        <f t="shared" si="232"/>
        <v>0</v>
      </c>
      <c r="T451" s="74">
        <f t="shared" si="232"/>
        <v>0</v>
      </c>
      <c r="U451" s="74">
        <f t="shared" si="232"/>
        <v>0</v>
      </c>
      <c r="V451" s="74">
        <f t="shared" si="232"/>
        <v>0</v>
      </c>
      <c r="W451" s="74">
        <f t="shared" si="232"/>
        <v>0</v>
      </c>
      <c r="X451" s="74">
        <f t="shared" si="232"/>
        <v>0</v>
      </c>
      <c r="Y451" s="74">
        <f t="shared" si="232"/>
        <v>0</v>
      </c>
      <c r="Z451" s="74">
        <f t="shared" si="232"/>
        <v>0</v>
      </c>
    </row>
    <row r="452" hidden="1" outlineLevel="1">
      <c r="B452" s="93">
        <f t="shared" si="217"/>
        <v>18</v>
      </c>
      <c r="C452" s="40"/>
      <c r="D452" s="16" t="s">
        <v>161</v>
      </c>
      <c r="E452" s="74">
        <f t="shared" si="108"/>
        <v>0</v>
      </c>
      <c r="F452" s="74"/>
      <c r="G452" s="74">
        <f t="shared" ref="G452:Z452" si="233">if(index($G$131:$Z$131,,$B452)&gt;0,if(sum($G409:G409)=$E409,sum(F452:$G452)*-1,if(G$4&lt;&gt;1,G431*index($E$792:$E$811,$B452),0)),0)</f>
        <v>0</v>
      </c>
      <c r="H452" s="74">
        <f t="shared" si="233"/>
        <v>0</v>
      </c>
      <c r="I452" s="74">
        <f t="shared" si="233"/>
        <v>0</v>
      </c>
      <c r="J452" s="74">
        <f t="shared" si="233"/>
        <v>0</v>
      </c>
      <c r="K452" s="74">
        <f t="shared" si="233"/>
        <v>0</v>
      </c>
      <c r="L452" s="74">
        <f t="shared" si="233"/>
        <v>0</v>
      </c>
      <c r="M452" s="74">
        <f t="shared" si="233"/>
        <v>0</v>
      </c>
      <c r="N452" s="74">
        <f t="shared" si="233"/>
        <v>0</v>
      </c>
      <c r="O452" s="74">
        <f t="shared" si="233"/>
        <v>0</v>
      </c>
      <c r="P452" s="74">
        <f t="shared" si="233"/>
        <v>0</v>
      </c>
      <c r="Q452" s="74">
        <f t="shared" si="233"/>
        <v>0</v>
      </c>
      <c r="R452" s="74">
        <f t="shared" si="233"/>
        <v>0</v>
      </c>
      <c r="S452" s="74">
        <f t="shared" si="233"/>
        <v>0</v>
      </c>
      <c r="T452" s="74">
        <f t="shared" si="233"/>
        <v>0</v>
      </c>
      <c r="U452" s="74">
        <f t="shared" si="233"/>
        <v>0</v>
      </c>
      <c r="V452" s="74">
        <f t="shared" si="233"/>
        <v>0</v>
      </c>
      <c r="W452" s="74">
        <f t="shared" si="233"/>
        <v>0</v>
      </c>
      <c r="X452" s="74">
        <f t="shared" si="233"/>
        <v>0</v>
      </c>
      <c r="Y452" s="74">
        <f t="shared" si="233"/>
        <v>0</v>
      </c>
      <c r="Z452" s="74">
        <f t="shared" si="233"/>
        <v>0</v>
      </c>
    </row>
    <row r="453" hidden="1" outlineLevel="1">
      <c r="B453" s="93">
        <f t="shared" si="217"/>
        <v>19</v>
      </c>
      <c r="C453" s="40"/>
      <c r="D453" s="16" t="s">
        <v>161</v>
      </c>
      <c r="E453" s="74">
        <f t="shared" si="108"/>
        <v>0</v>
      </c>
      <c r="F453" s="74"/>
      <c r="G453" s="74">
        <f t="shared" ref="G453:Z453" si="234">if(index($G$131:$Z$131,,$B453)&gt;0,if(sum($G410:G410)=$E410,sum(F453:$G453)*-1,if(G$4&lt;&gt;1,G432*index($E$792:$E$811,$B453),0)),0)</f>
        <v>0</v>
      </c>
      <c r="H453" s="74">
        <f t="shared" si="234"/>
        <v>0</v>
      </c>
      <c r="I453" s="74">
        <f t="shared" si="234"/>
        <v>0</v>
      </c>
      <c r="J453" s="74">
        <f t="shared" si="234"/>
        <v>0</v>
      </c>
      <c r="K453" s="74">
        <f t="shared" si="234"/>
        <v>0</v>
      </c>
      <c r="L453" s="74">
        <f t="shared" si="234"/>
        <v>0</v>
      </c>
      <c r="M453" s="74">
        <f t="shared" si="234"/>
        <v>0</v>
      </c>
      <c r="N453" s="74">
        <f t="shared" si="234"/>
        <v>0</v>
      </c>
      <c r="O453" s="74">
        <f t="shared" si="234"/>
        <v>0</v>
      </c>
      <c r="P453" s="74">
        <f t="shared" si="234"/>
        <v>0</v>
      </c>
      <c r="Q453" s="74">
        <f t="shared" si="234"/>
        <v>0</v>
      </c>
      <c r="R453" s="74">
        <f t="shared" si="234"/>
        <v>0</v>
      </c>
      <c r="S453" s="74">
        <f t="shared" si="234"/>
        <v>0</v>
      </c>
      <c r="T453" s="74">
        <f t="shared" si="234"/>
        <v>0</v>
      </c>
      <c r="U453" s="74">
        <f t="shared" si="234"/>
        <v>0</v>
      </c>
      <c r="V453" s="74">
        <f t="shared" si="234"/>
        <v>0</v>
      </c>
      <c r="W453" s="74">
        <f t="shared" si="234"/>
        <v>0</v>
      </c>
      <c r="X453" s="74">
        <f t="shared" si="234"/>
        <v>0</v>
      </c>
      <c r="Y453" s="74">
        <f t="shared" si="234"/>
        <v>0</v>
      </c>
      <c r="Z453" s="74">
        <f t="shared" si="234"/>
        <v>0</v>
      </c>
    </row>
    <row r="454" hidden="1" outlineLevel="1">
      <c r="B454" s="93">
        <f t="shared" si="217"/>
        <v>20</v>
      </c>
      <c r="C454" s="40"/>
      <c r="D454" s="16" t="s">
        <v>161</v>
      </c>
      <c r="E454" s="74">
        <f t="shared" si="108"/>
        <v>0</v>
      </c>
      <c r="F454" s="74"/>
      <c r="G454" s="74">
        <f t="shared" ref="G454:Z454" si="235">if(index($G$131:$Z$131,,$B454)&gt;0,if(sum($G411:G411)=$E411,sum(F454:$G454)*-1,if(G$4&lt;&gt;1,G433*index($E$792:$E$811,$B454),0)),0)</f>
        <v>0</v>
      </c>
      <c r="H454" s="74">
        <f t="shared" si="235"/>
        <v>0</v>
      </c>
      <c r="I454" s="74">
        <f t="shared" si="235"/>
        <v>0</v>
      </c>
      <c r="J454" s="74">
        <f t="shared" si="235"/>
        <v>0</v>
      </c>
      <c r="K454" s="74">
        <f t="shared" si="235"/>
        <v>0</v>
      </c>
      <c r="L454" s="74">
        <f t="shared" si="235"/>
        <v>0</v>
      </c>
      <c r="M454" s="74">
        <f t="shared" si="235"/>
        <v>0</v>
      </c>
      <c r="N454" s="74">
        <f t="shared" si="235"/>
        <v>0</v>
      </c>
      <c r="O454" s="74">
        <f t="shared" si="235"/>
        <v>0</v>
      </c>
      <c r="P454" s="74">
        <f t="shared" si="235"/>
        <v>0</v>
      </c>
      <c r="Q454" s="74">
        <f t="shared" si="235"/>
        <v>0</v>
      </c>
      <c r="R454" s="74">
        <f t="shared" si="235"/>
        <v>0</v>
      </c>
      <c r="S454" s="74">
        <f t="shared" si="235"/>
        <v>0</v>
      </c>
      <c r="T454" s="74">
        <f t="shared" si="235"/>
        <v>0</v>
      </c>
      <c r="U454" s="74">
        <f t="shared" si="235"/>
        <v>0</v>
      </c>
      <c r="V454" s="74">
        <f t="shared" si="235"/>
        <v>0</v>
      </c>
      <c r="W454" s="74">
        <f t="shared" si="235"/>
        <v>0</v>
      </c>
      <c r="X454" s="74">
        <f t="shared" si="235"/>
        <v>0</v>
      </c>
      <c r="Y454" s="74">
        <f t="shared" si="235"/>
        <v>0</v>
      </c>
      <c r="Z454" s="74">
        <f t="shared" si="235"/>
        <v>0</v>
      </c>
    </row>
    <row r="455" collapsed="1">
      <c r="B455" s="80" t="s">
        <v>195</v>
      </c>
      <c r="C455" s="16"/>
      <c r="D455" s="16" t="s">
        <v>161</v>
      </c>
      <c r="E455" s="74">
        <f t="shared" si="108"/>
        <v>-0.00000003911554813</v>
      </c>
      <c r="F455" s="78"/>
      <c r="G455" s="77">
        <f t="shared" ref="G455:Z455" si="236">sum(G456:G475)</f>
        <v>4656685</v>
      </c>
      <c r="H455" s="77">
        <f t="shared" si="236"/>
        <v>15335730.24</v>
      </c>
      <c r="I455" s="77">
        <f t="shared" si="236"/>
        <v>24920564.58</v>
      </c>
      <c r="J455" s="77">
        <f t="shared" si="236"/>
        <v>28035634.38</v>
      </c>
      <c r="K455" s="77">
        <f t="shared" si="236"/>
        <v>21565876.23</v>
      </c>
      <c r="L455" s="77">
        <f t="shared" si="236"/>
        <v>10064075.67</v>
      </c>
      <c r="M455" s="77">
        <f t="shared" si="236"/>
        <v>-718863.9262</v>
      </c>
      <c r="N455" s="77">
        <f t="shared" si="236"/>
        <v>-5032037.377</v>
      </c>
      <c r="O455" s="77">
        <f t="shared" si="236"/>
        <v>-11981034.22</v>
      </c>
      <c r="P455" s="77">
        <f t="shared" si="236"/>
        <v>-17731942.56</v>
      </c>
      <c r="Q455" s="77">
        <f t="shared" si="236"/>
        <v>-24201700.65</v>
      </c>
      <c r="R455" s="77">
        <f t="shared" si="236"/>
        <v>-21909387.01</v>
      </c>
      <c r="S455" s="77">
        <f t="shared" si="236"/>
        <v>-15335737.01</v>
      </c>
      <c r="T455" s="77">
        <f t="shared" si="236"/>
        <v>-7667863.353</v>
      </c>
      <c r="U455" s="77">
        <f t="shared" si="236"/>
        <v>0</v>
      </c>
      <c r="V455" s="77">
        <f t="shared" si="236"/>
        <v>0</v>
      </c>
      <c r="W455" s="77">
        <f t="shared" si="236"/>
        <v>0</v>
      </c>
      <c r="X455" s="77">
        <f t="shared" si="236"/>
        <v>0</v>
      </c>
      <c r="Y455" s="77">
        <f t="shared" si="236"/>
        <v>0</v>
      </c>
      <c r="Z455" s="77">
        <f t="shared" si="236"/>
        <v>0</v>
      </c>
    </row>
    <row r="456" hidden="1" outlineLevel="1">
      <c r="B456" s="93">
        <f>G$4</f>
        <v>1</v>
      </c>
      <c r="C456" s="40"/>
      <c r="D456" s="16" t="s">
        <v>161</v>
      </c>
      <c r="E456" s="74">
        <f t="shared" si="108"/>
        <v>-0.000000002793967724</v>
      </c>
      <c r="F456" s="74"/>
      <c r="G456" s="74">
        <f t="shared" ref="G456:Z456" si="237">G435+G414</f>
        <v>4656685</v>
      </c>
      <c r="H456" s="74">
        <f t="shared" si="237"/>
        <v>9584824.998</v>
      </c>
      <c r="I456" s="74">
        <f t="shared" si="237"/>
        <v>9584824.998</v>
      </c>
      <c r="J456" s="74">
        <f t="shared" si="237"/>
        <v>8865963.123</v>
      </c>
      <c r="K456" s="74">
        <f t="shared" si="237"/>
        <v>3115068.124</v>
      </c>
      <c r="L456" s="74">
        <f t="shared" si="237"/>
        <v>-1916965</v>
      </c>
      <c r="M456" s="74">
        <f t="shared" si="237"/>
        <v>-1916965</v>
      </c>
      <c r="N456" s="74">
        <f t="shared" si="237"/>
        <v>-1198103.125</v>
      </c>
      <c r="O456" s="74">
        <f t="shared" si="237"/>
        <v>-8865963.123</v>
      </c>
      <c r="P456" s="74">
        <f t="shared" si="237"/>
        <v>-7667859.998</v>
      </c>
      <c r="Q456" s="74">
        <f t="shared" si="237"/>
        <v>-7667859.998</v>
      </c>
      <c r="R456" s="74">
        <f t="shared" si="237"/>
        <v>-6573650</v>
      </c>
      <c r="S456" s="74">
        <f t="shared" si="237"/>
        <v>0</v>
      </c>
      <c r="T456" s="74">
        <f t="shared" si="237"/>
        <v>0</v>
      </c>
      <c r="U456" s="74">
        <f t="shared" si="237"/>
        <v>0</v>
      </c>
      <c r="V456" s="74">
        <f t="shared" si="237"/>
        <v>0</v>
      </c>
      <c r="W456" s="74">
        <f t="shared" si="237"/>
        <v>0</v>
      </c>
      <c r="X456" s="74">
        <f t="shared" si="237"/>
        <v>0</v>
      </c>
      <c r="Y456" s="74">
        <f t="shared" si="237"/>
        <v>0</v>
      </c>
      <c r="Z456" s="74">
        <f t="shared" si="237"/>
        <v>0</v>
      </c>
    </row>
    <row r="457" hidden="1" outlineLevel="1">
      <c r="B457" s="93">
        <f t="shared" ref="B457:B475" si="239">B456+1</f>
        <v>2</v>
      </c>
      <c r="C457" s="40"/>
      <c r="D457" s="16" t="s">
        <v>161</v>
      </c>
      <c r="E457" s="74">
        <f t="shared" si="108"/>
        <v>-0.00000001955777407</v>
      </c>
      <c r="F457" s="74"/>
      <c r="G457" s="74">
        <f t="shared" ref="G457:Z457" si="238">G436+G415</f>
        <v>0</v>
      </c>
      <c r="H457" s="74">
        <f t="shared" si="238"/>
        <v>5750905.241</v>
      </c>
      <c r="I457" s="74">
        <f t="shared" si="238"/>
        <v>9584842.069</v>
      </c>
      <c r="J457" s="74">
        <f t="shared" si="238"/>
        <v>9584842.069</v>
      </c>
      <c r="K457" s="74">
        <f t="shared" si="238"/>
        <v>8865978.913</v>
      </c>
      <c r="L457" s="74">
        <f t="shared" si="238"/>
        <v>3115073.672</v>
      </c>
      <c r="M457" s="74">
        <f t="shared" si="238"/>
        <v>-1916968.414</v>
      </c>
      <c r="N457" s="74">
        <f t="shared" si="238"/>
        <v>-1916968.414</v>
      </c>
      <c r="O457" s="74">
        <f t="shared" si="238"/>
        <v>-1198105.259</v>
      </c>
      <c r="P457" s="74">
        <f t="shared" si="238"/>
        <v>-8865978.913</v>
      </c>
      <c r="Q457" s="74">
        <f t="shared" si="238"/>
        <v>-7667873.655</v>
      </c>
      <c r="R457" s="74">
        <f t="shared" si="238"/>
        <v>-7667873.655</v>
      </c>
      <c r="S457" s="74">
        <f t="shared" si="238"/>
        <v>-7667873.655</v>
      </c>
      <c r="T457" s="74">
        <f t="shared" si="238"/>
        <v>0</v>
      </c>
      <c r="U457" s="74">
        <f t="shared" si="238"/>
        <v>0</v>
      </c>
      <c r="V457" s="74">
        <f t="shared" si="238"/>
        <v>0</v>
      </c>
      <c r="W457" s="74">
        <f t="shared" si="238"/>
        <v>0</v>
      </c>
      <c r="X457" s="74">
        <f t="shared" si="238"/>
        <v>0</v>
      </c>
      <c r="Y457" s="74">
        <f t="shared" si="238"/>
        <v>0</v>
      </c>
      <c r="Z457" s="74">
        <f t="shared" si="238"/>
        <v>0</v>
      </c>
    </row>
    <row r="458" hidden="1" outlineLevel="1">
      <c r="B458" s="93">
        <f t="shared" si="239"/>
        <v>3</v>
      </c>
      <c r="C458" s="40"/>
      <c r="D458" s="16" t="s">
        <v>161</v>
      </c>
      <c r="E458" s="74">
        <f t="shared" si="108"/>
        <v>-0.000000009313225746</v>
      </c>
      <c r="F458" s="74"/>
      <c r="G458" s="74">
        <f t="shared" ref="G458:Z458" si="240">G437+G416</f>
        <v>0</v>
      </c>
      <c r="H458" s="74">
        <f t="shared" si="240"/>
        <v>0</v>
      </c>
      <c r="I458" s="74">
        <f t="shared" si="240"/>
        <v>5750897.515</v>
      </c>
      <c r="J458" s="74">
        <f t="shared" si="240"/>
        <v>9584829.191</v>
      </c>
      <c r="K458" s="74">
        <f t="shared" si="240"/>
        <v>9584829.191</v>
      </c>
      <c r="L458" s="74">
        <f t="shared" si="240"/>
        <v>8865967.002</v>
      </c>
      <c r="M458" s="74">
        <f t="shared" si="240"/>
        <v>3115069.487</v>
      </c>
      <c r="N458" s="74">
        <f t="shared" si="240"/>
        <v>-1916965.838</v>
      </c>
      <c r="O458" s="74">
        <f t="shared" si="240"/>
        <v>-1916965.838</v>
      </c>
      <c r="P458" s="74">
        <f t="shared" si="240"/>
        <v>-1198103.649</v>
      </c>
      <c r="Q458" s="74">
        <f t="shared" si="240"/>
        <v>-8865967.002</v>
      </c>
      <c r="R458" s="74">
        <f t="shared" si="240"/>
        <v>-7667863.353</v>
      </c>
      <c r="S458" s="74">
        <f t="shared" si="240"/>
        <v>-7667863.353</v>
      </c>
      <c r="T458" s="74">
        <f t="shared" si="240"/>
        <v>-7667863.353</v>
      </c>
      <c r="U458" s="74">
        <f t="shared" si="240"/>
        <v>0</v>
      </c>
      <c r="V458" s="74">
        <f t="shared" si="240"/>
        <v>0</v>
      </c>
      <c r="W458" s="74">
        <f t="shared" si="240"/>
        <v>0</v>
      </c>
      <c r="X458" s="74">
        <f t="shared" si="240"/>
        <v>0</v>
      </c>
      <c r="Y458" s="74">
        <f t="shared" si="240"/>
        <v>0</v>
      </c>
      <c r="Z458" s="74">
        <f t="shared" si="240"/>
        <v>0</v>
      </c>
    </row>
    <row r="459" hidden="1" outlineLevel="1">
      <c r="B459" s="93">
        <f t="shared" si="239"/>
        <v>4</v>
      </c>
      <c r="C459" s="40"/>
      <c r="D459" s="16" t="s">
        <v>161</v>
      </c>
      <c r="E459" s="74">
        <f t="shared" si="108"/>
        <v>0</v>
      </c>
      <c r="F459" s="74"/>
      <c r="G459" s="74">
        <f t="shared" ref="G459:Z459" si="241">G438+G417</f>
        <v>0</v>
      </c>
      <c r="H459" s="74">
        <f t="shared" si="241"/>
        <v>0</v>
      </c>
      <c r="I459" s="74">
        <f t="shared" si="241"/>
        <v>0</v>
      </c>
      <c r="J459" s="74">
        <f t="shared" si="241"/>
        <v>0</v>
      </c>
      <c r="K459" s="74">
        <f t="shared" si="241"/>
        <v>0</v>
      </c>
      <c r="L459" s="74">
        <f t="shared" si="241"/>
        <v>0</v>
      </c>
      <c r="M459" s="74">
        <f t="shared" si="241"/>
        <v>0</v>
      </c>
      <c r="N459" s="74">
        <f t="shared" si="241"/>
        <v>0</v>
      </c>
      <c r="O459" s="74">
        <f t="shared" si="241"/>
        <v>0</v>
      </c>
      <c r="P459" s="74">
        <f t="shared" si="241"/>
        <v>0</v>
      </c>
      <c r="Q459" s="74">
        <f t="shared" si="241"/>
        <v>0</v>
      </c>
      <c r="R459" s="74">
        <f t="shared" si="241"/>
        <v>0</v>
      </c>
      <c r="S459" s="74">
        <f t="shared" si="241"/>
        <v>0</v>
      </c>
      <c r="T459" s="74">
        <f t="shared" si="241"/>
        <v>0</v>
      </c>
      <c r="U459" s="74">
        <f t="shared" si="241"/>
        <v>0</v>
      </c>
      <c r="V459" s="74">
        <f t="shared" si="241"/>
        <v>0</v>
      </c>
      <c r="W459" s="74">
        <f t="shared" si="241"/>
        <v>0</v>
      </c>
      <c r="X459" s="74">
        <f t="shared" si="241"/>
        <v>0</v>
      </c>
      <c r="Y459" s="74">
        <f t="shared" si="241"/>
        <v>0</v>
      </c>
      <c r="Z459" s="74">
        <f t="shared" si="241"/>
        <v>0</v>
      </c>
    </row>
    <row r="460" hidden="1" outlineLevel="1">
      <c r="B460" s="93">
        <f t="shared" si="239"/>
        <v>5</v>
      </c>
      <c r="C460" s="40"/>
      <c r="D460" s="16" t="s">
        <v>161</v>
      </c>
      <c r="E460" s="74">
        <f t="shared" si="108"/>
        <v>0</v>
      </c>
      <c r="F460" s="74"/>
      <c r="G460" s="74">
        <f t="shared" ref="G460:Z460" si="242">G439+G418</f>
        <v>0</v>
      </c>
      <c r="H460" s="74">
        <f t="shared" si="242"/>
        <v>0</v>
      </c>
      <c r="I460" s="74">
        <f t="shared" si="242"/>
        <v>0</v>
      </c>
      <c r="J460" s="74">
        <f t="shared" si="242"/>
        <v>0</v>
      </c>
      <c r="K460" s="74">
        <f t="shared" si="242"/>
        <v>0</v>
      </c>
      <c r="L460" s="74">
        <f t="shared" si="242"/>
        <v>0</v>
      </c>
      <c r="M460" s="74">
        <f t="shared" si="242"/>
        <v>0</v>
      </c>
      <c r="N460" s="74">
        <f t="shared" si="242"/>
        <v>0</v>
      </c>
      <c r="O460" s="74">
        <f t="shared" si="242"/>
        <v>0</v>
      </c>
      <c r="P460" s="74">
        <f t="shared" si="242"/>
        <v>0</v>
      </c>
      <c r="Q460" s="74">
        <f t="shared" si="242"/>
        <v>0</v>
      </c>
      <c r="R460" s="74">
        <f t="shared" si="242"/>
        <v>0</v>
      </c>
      <c r="S460" s="74">
        <f t="shared" si="242"/>
        <v>0</v>
      </c>
      <c r="T460" s="74">
        <f t="shared" si="242"/>
        <v>0</v>
      </c>
      <c r="U460" s="74">
        <f t="shared" si="242"/>
        <v>0</v>
      </c>
      <c r="V460" s="74">
        <f t="shared" si="242"/>
        <v>0</v>
      </c>
      <c r="W460" s="74">
        <f t="shared" si="242"/>
        <v>0</v>
      </c>
      <c r="X460" s="74">
        <f t="shared" si="242"/>
        <v>0</v>
      </c>
      <c r="Y460" s="74">
        <f t="shared" si="242"/>
        <v>0</v>
      </c>
      <c r="Z460" s="74">
        <f t="shared" si="242"/>
        <v>0</v>
      </c>
    </row>
    <row r="461" hidden="1" outlineLevel="1">
      <c r="B461" s="93">
        <f t="shared" si="239"/>
        <v>6</v>
      </c>
      <c r="C461" s="40"/>
      <c r="D461" s="16" t="s">
        <v>161</v>
      </c>
      <c r="E461" s="74">
        <f t="shared" si="108"/>
        <v>0</v>
      </c>
      <c r="F461" s="74"/>
      <c r="G461" s="74">
        <f t="shared" ref="G461:Z461" si="243">G440+G419</f>
        <v>0</v>
      </c>
      <c r="H461" s="74">
        <f t="shared" si="243"/>
        <v>0</v>
      </c>
      <c r="I461" s="74">
        <f t="shared" si="243"/>
        <v>0</v>
      </c>
      <c r="J461" s="74">
        <f t="shared" si="243"/>
        <v>0</v>
      </c>
      <c r="K461" s="74">
        <f t="shared" si="243"/>
        <v>0</v>
      </c>
      <c r="L461" s="74">
        <f t="shared" si="243"/>
        <v>0</v>
      </c>
      <c r="M461" s="74">
        <f t="shared" si="243"/>
        <v>0</v>
      </c>
      <c r="N461" s="74">
        <f t="shared" si="243"/>
        <v>0</v>
      </c>
      <c r="O461" s="74">
        <f t="shared" si="243"/>
        <v>0</v>
      </c>
      <c r="P461" s="74">
        <f t="shared" si="243"/>
        <v>0</v>
      </c>
      <c r="Q461" s="74">
        <f t="shared" si="243"/>
        <v>0</v>
      </c>
      <c r="R461" s="74">
        <f t="shared" si="243"/>
        <v>0</v>
      </c>
      <c r="S461" s="74">
        <f t="shared" si="243"/>
        <v>0</v>
      </c>
      <c r="T461" s="74">
        <f t="shared" si="243"/>
        <v>0</v>
      </c>
      <c r="U461" s="74">
        <f t="shared" si="243"/>
        <v>0</v>
      </c>
      <c r="V461" s="74">
        <f t="shared" si="243"/>
        <v>0</v>
      </c>
      <c r="W461" s="74">
        <f t="shared" si="243"/>
        <v>0</v>
      </c>
      <c r="X461" s="74">
        <f t="shared" si="243"/>
        <v>0</v>
      </c>
      <c r="Y461" s="74">
        <f t="shared" si="243"/>
        <v>0</v>
      </c>
      <c r="Z461" s="74">
        <f t="shared" si="243"/>
        <v>0</v>
      </c>
    </row>
    <row r="462" hidden="1" outlineLevel="1">
      <c r="B462" s="93">
        <f t="shared" si="239"/>
        <v>7</v>
      </c>
      <c r="C462" s="40"/>
      <c r="D462" s="16" t="s">
        <v>161</v>
      </c>
      <c r="E462" s="74">
        <f t="shared" si="108"/>
        <v>0</v>
      </c>
      <c r="F462" s="74"/>
      <c r="G462" s="74">
        <f t="shared" ref="G462:Z462" si="244">G441+G420</f>
        <v>0</v>
      </c>
      <c r="H462" s="74">
        <f t="shared" si="244"/>
        <v>0</v>
      </c>
      <c r="I462" s="74">
        <f t="shared" si="244"/>
        <v>0</v>
      </c>
      <c r="J462" s="74">
        <f t="shared" si="244"/>
        <v>0</v>
      </c>
      <c r="K462" s="74">
        <f t="shared" si="244"/>
        <v>0</v>
      </c>
      <c r="L462" s="74">
        <f t="shared" si="244"/>
        <v>0</v>
      </c>
      <c r="M462" s="74">
        <f t="shared" si="244"/>
        <v>0</v>
      </c>
      <c r="N462" s="74">
        <f t="shared" si="244"/>
        <v>0</v>
      </c>
      <c r="O462" s="74">
        <f t="shared" si="244"/>
        <v>0</v>
      </c>
      <c r="P462" s="74">
        <f t="shared" si="244"/>
        <v>0</v>
      </c>
      <c r="Q462" s="74">
        <f t="shared" si="244"/>
        <v>0</v>
      </c>
      <c r="R462" s="74">
        <f t="shared" si="244"/>
        <v>0</v>
      </c>
      <c r="S462" s="74">
        <f t="shared" si="244"/>
        <v>0</v>
      </c>
      <c r="T462" s="74">
        <f t="shared" si="244"/>
        <v>0</v>
      </c>
      <c r="U462" s="74">
        <f t="shared" si="244"/>
        <v>0</v>
      </c>
      <c r="V462" s="74">
        <f t="shared" si="244"/>
        <v>0</v>
      </c>
      <c r="W462" s="74">
        <f t="shared" si="244"/>
        <v>0</v>
      </c>
      <c r="X462" s="74">
        <f t="shared" si="244"/>
        <v>0</v>
      </c>
      <c r="Y462" s="74">
        <f t="shared" si="244"/>
        <v>0</v>
      </c>
      <c r="Z462" s="74">
        <f t="shared" si="244"/>
        <v>0</v>
      </c>
    </row>
    <row r="463" hidden="1" outlineLevel="1">
      <c r="B463" s="93">
        <f t="shared" si="239"/>
        <v>8</v>
      </c>
      <c r="C463" s="40"/>
      <c r="D463" s="16" t="s">
        <v>161</v>
      </c>
      <c r="E463" s="74">
        <f t="shared" si="108"/>
        <v>0</v>
      </c>
      <c r="F463" s="74"/>
      <c r="G463" s="74">
        <f t="shared" ref="G463:Z463" si="245">G442+G421</f>
        <v>0</v>
      </c>
      <c r="H463" s="74">
        <f t="shared" si="245"/>
        <v>0</v>
      </c>
      <c r="I463" s="74">
        <f t="shared" si="245"/>
        <v>0</v>
      </c>
      <c r="J463" s="74">
        <f t="shared" si="245"/>
        <v>0</v>
      </c>
      <c r="K463" s="74">
        <f t="shared" si="245"/>
        <v>0</v>
      </c>
      <c r="L463" s="74">
        <f t="shared" si="245"/>
        <v>0</v>
      </c>
      <c r="M463" s="74">
        <f t="shared" si="245"/>
        <v>0</v>
      </c>
      <c r="N463" s="74">
        <f t="shared" si="245"/>
        <v>0</v>
      </c>
      <c r="O463" s="74">
        <f t="shared" si="245"/>
        <v>0</v>
      </c>
      <c r="P463" s="74">
        <f t="shared" si="245"/>
        <v>0</v>
      </c>
      <c r="Q463" s="74">
        <f t="shared" si="245"/>
        <v>0</v>
      </c>
      <c r="R463" s="74">
        <f t="shared" si="245"/>
        <v>0</v>
      </c>
      <c r="S463" s="74">
        <f t="shared" si="245"/>
        <v>0</v>
      </c>
      <c r="T463" s="74">
        <f t="shared" si="245"/>
        <v>0</v>
      </c>
      <c r="U463" s="74">
        <f t="shared" si="245"/>
        <v>0</v>
      </c>
      <c r="V463" s="74">
        <f t="shared" si="245"/>
        <v>0</v>
      </c>
      <c r="W463" s="74">
        <f t="shared" si="245"/>
        <v>0</v>
      </c>
      <c r="X463" s="74">
        <f t="shared" si="245"/>
        <v>0</v>
      </c>
      <c r="Y463" s="74">
        <f t="shared" si="245"/>
        <v>0</v>
      </c>
      <c r="Z463" s="74">
        <f t="shared" si="245"/>
        <v>0</v>
      </c>
    </row>
    <row r="464" hidden="1" outlineLevel="1">
      <c r="B464" s="93">
        <f t="shared" si="239"/>
        <v>9</v>
      </c>
      <c r="C464" s="40"/>
      <c r="D464" s="16" t="s">
        <v>161</v>
      </c>
      <c r="E464" s="74">
        <f t="shared" si="108"/>
        <v>0</v>
      </c>
      <c r="F464" s="74"/>
      <c r="G464" s="74">
        <f t="shared" ref="G464:Z464" si="246">G443+G422</f>
        <v>0</v>
      </c>
      <c r="H464" s="74">
        <f t="shared" si="246"/>
        <v>0</v>
      </c>
      <c r="I464" s="74">
        <f t="shared" si="246"/>
        <v>0</v>
      </c>
      <c r="J464" s="74">
        <f t="shared" si="246"/>
        <v>0</v>
      </c>
      <c r="K464" s="74">
        <f t="shared" si="246"/>
        <v>0</v>
      </c>
      <c r="L464" s="74">
        <f t="shared" si="246"/>
        <v>0</v>
      </c>
      <c r="M464" s="74">
        <f t="shared" si="246"/>
        <v>0</v>
      </c>
      <c r="N464" s="74">
        <f t="shared" si="246"/>
        <v>0</v>
      </c>
      <c r="O464" s="74">
        <f t="shared" si="246"/>
        <v>0</v>
      </c>
      <c r="P464" s="74">
        <f t="shared" si="246"/>
        <v>0</v>
      </c>
      <c r="Q464" s="74">
        <f t="shared" si="246"/>
        <v>0</v>
      </c>
      <c r="R464" s="74">
        <f t="shared" si="246"/>
        <v>0</v>
      </c>
      <c r="S464" s="74">
        <f t="shared" si="246"/>
        <v>0</v>
      </c>
      <c r="T464" s="74">
        <f t="shared" si="246"/>
        <v>0</v>
      </c>
      <c r="U464" s="74">
        <f t="shared" si="246"/>
        <v>0</v>
      </c>
      <c r="V464" s="74">
        <f t="shared" si="246"/>
        <v>0</v>
      </c>
      <c r="W464" s="74">
        <f t="shared" si="246"/>
        <v>0</v>
      </c>
      <c r="X464" s="74">
        <f t="shared" si="246"/>
        <v>0</v>
      </c>
      <c r="Y464" s="74">
        <f t="shared" si="246"/>
        <v>0</v>
      </c>
      <c r="Z464" s="74">
        <f t="shared" si="246"/>
        <v>0</v>
      </c>
    </row>
    <row r="465" hidden="1" outlineLevel="1">
      <c r="B465" s="93">
        <f t="shared" si="239"/>
        <v>10</v>
      </c>
      <c r="C465" s="40"/>
      <c r="D465" s="16" t="s">
        <v>161</v>
      </c>
      <c r="E465" s="74">
        <f t="shared" si="108"/>
        <v>0</v>
      </c>
      <c r="F465" s="74"/>
      <c r="G465" s="74">
        <f t="shared" ref="G465:Z465" si="247">G444+G423</f>
        <v>0</v>
      </c>
      <c r="H465" s="74">
        <f t="shared" si="247"/>
        <v>0</v>
      </c>
      <c r="I465" s="74">
        <f t="shared" si="247"/>
        <v>0</v>
      </c>
      <c r="J465" s="74">
        <f t="shared" si="247"/>
        <v>0</v>
      </c>
      <c r="K465" s="74">
        <f t="shared" si="247"/>
        <v>0</v>
      </c>
      <c r="L465" s="74">
        <f t="shared" si="247"/>
        <v>0</v>
      </c>
      <c r="M465" s="74">
        <f t="shared" si="247"/>
        <v>0</v>
      </c>
      <c r="N465" s="74">
        <f t="shared" si="247"/>
        <v>0</v>
      </c>
      <c r="O465" s="74">
        <f t="shared" si="247"/>
        <v>0</v>
      </c>
      <c r="P465" s="74">
        <f t="shared" si="247"/>
        <v>0</v>
      </c>
      <c r="Q465" s="74">
        <f t="shared" si="247"/>
        <v>0</v>
      </c>
      <c r="R465" s="74">
        <f t="shared" si="247"/>
        <v>0</v>
      </c>
      <c r="S465" s="74">
        <f t="shared" si="247"/>
        <v>0</v>
      </c>
      <c r="T465" s="74">
        <f t="shared" si="247"/>
        <v>0</v>
      </c>
      <c r="U465" s="74">
        <f t="shared" si="247"/>
        <v>0</v>
      </c>
      <c r="V465" s="74">
        <f t="shared" si="247"/>
        <v>0</v>
      </c>
      <c r="W465" s="74">
        <f t="shared" si="247"/>
        <v>0</v>
      </c>
      <c r="X465" s="74">
        <f t="shared" si="247"/>
        <v>0</v>
      </c>
      <c r="Y465" s="74">
        <f t="shared" si="247"/>
        <v>0</v>
      </c>
      <c r="Z465" s="74">
        <f t="shared" si="247"/>
        <v>0</v>
      </c>
    </row>
    <row r="466" hidden="1" outlineLevel="1">
      <c r="B466" s="93">
        <f t="shared" si="239"/>
        <v>11</v>
      </c>
      <c r="C466" s="40"/>
      <c r="D466" s="16" t="s">
        <v>161</v>
      </c>
      <c r="E466" s="74">
        <f t="shared" si="108"/>
        <v>0</v>
      </c>
      <c r="F466" s="74"/>
      <c r="G466" s="74">
        <f t="shared" ref="G466:Z466" si="248">G445+G424</f>
        <v>0</v>
      </c>
      <c r="H466" s="74">
        <f t="shared" si="248"/>
        <v>0</v>
      </c>
      <c r="I466" s="74">
        <f t="shared" si="248"/>
        <v>0</v>
      </c>
      <c r="J466" s="74">
        <f t="shared" si="248"/>
        <v>0</v>
      </c>
      <c r="K466" s="74">
        <f t="shared" si="248"/>
        <v>0</v>
      </c>
      <c r="L466" s="74">
        <f t="shared" si="248"/>
        <v>0</v>
      </c>
      <c r="M466" s="74">
        <f t="shared" si="248"/>
        <v>0</v>
      </c>
      <c r="N466" s="74">
        <f t="shared" si="248"/>
        <v>0</v>
      </c>
      <c r="O466" s="74">
        <f t="shared" si="248"/>
        <v>0</v>
      </c>
      <c r="P466" s="74">
        <f t="shared" si="248"/>
        <v>0</v>
      </c>
      <c r="Q466" s="74">
        <f t="shared" si="248"/>
        <v>0</v>
      </c>
      <c r="R466" s="74">
        <f t="shared" si="248"/>
        <v>0</v>
      </c>
      <c r="S466" s="74">
        <f t="shared" si="248"/>
        <v>0</v>
      </c>
      <c r="T466" s="74">
        <f t="shared" si="248"/>
        <v>0</v>
      </c>
      <c r="U466" s="74">
        <f t="shared" si="248"/>
        <v>0</v>
      </c>
      <c r="V466" s="74">
        <f t="shared" si="248"/>
        <v>0</v>
      </c>
      <c r="W466" s="74">
        <f t="shared" si="248"/>
        <v>0</v>
      </c>
      <c r="X466" s="74">
        <f t="shared" si="248"/>
        <v>0</v>
      </c>
      <c r="Y466" s="74">
        <f t="shared" si="248"/>
        <v>0</v>
      </c>
      <c r="Z466" s="74">
        <f t="shared" si="248"/>
        <v>0</v>
      </c>
    </row>
    <row r="467" hidden="1" outlineLevel="1">
      <c r="B467" s="93">
        <f t="shared" si="239"/>
        <v>12</v>
      </c>
      <c r="C467" s="40"/>
      <c r="D467" s="16" t="s">
        <v>161</v>
      </c>
      <c r="E467" s="74">
        <f t="shared" si="108"/>
        <v>0</v>
      </c>
      <c r="F467" s="74"/>
      <c r="G467" s="74">
        <f t="shared" ref="G467:Z467" si="249">G446+G425</f>
        <v>0</v>
      </c>
      <c r="H467" s="74">
        <f t="shared" si="249"/>
        <v>0</v>
      </c>
      <c r="I467" s="74">
        <f t="shared" si="249"/>
        <v>0</v>
      </c>
      <c r="J467" s="74">
        <f t="shared" si="249"/>
        <v>0</v>
      </c>
      <c r="K467" s="74">
        <f t="shared" si="249"/>
        <v>0</v>
      </c>
      <c r="L467" s="74">
        <f t="shared" si="249"/>
        <v>0</v>
      </c>
      <c r="M467" s="74">
        <f t="shared" si="249"/>
        <v>0</v>
      </c>
      <c r="N467" s="74">
        <f t="shared" si="249"/>
        <v>0</v>
      </c>
      <c r="O467" s="74">
        <f t="shared" si="249"/>
        <v>0</v>
      </c>
      <c r="P467" s="74">
        <f t="shared" si="249"/>
        <v>0</v>
      </c>
      <c r="Q467" s="74">
        <f t="shared" si="249"/>
        <v>0</v>
      </c>
      <c r="R467" s="74">
        <f t="shared" si="249"/>
        <v>0</v>
      </c>
      <c r="S467" s="74">
        <f t="shared" si="249"/>
        <v>0</v>
      </c>
      <c r="T467" s="74">
        <f t="shared" si="249"/>
        <v>0</v>
      </c>
      <c r="U467" s="74">
        <f t="shared" si="249"/>
        <v>0</v>
      </c>
      <c r="V467" s="74">
        <f t="shared" si="249"/>
        <v>0</v>
      </c>
      <c r="W467" s="74">
        <f t="shared" si="249"/>
        <v>0</v>
      </c>
      <c r="X467" s="74">
        <f t="shared" si="249"/>
        <v>0</v>
      </c>
      <c r="Y467" s="74">
        <f t="shared" si="249"/>
        <v>0</v>
      </c>
      <c r="Z467" s="74">
        <f t="shared" si="249"/>
        <v>0</v>
      </c>
    </row>
    <row r="468" hidden="1" outlineLevel="1">
      <c r="B468" s="93">
        <f t="shared" si="239"/>
        <v>13</v>
      </c>
      <c r="C468" s="40"/>
      <c r="D468" s="16" t="s">
        <v>161</v>
      </c>
      <c r="E468" s="74">
        <f t="shared" si="108"/>
        <v>0</v>
      </c>
      <c r="F468" s="74"/>
      <c r="G468" s="74">
        <f t="shared" ref="G468:Z468" si="250">G447+G426</f>
        <v>0</v>
      </c>
      <c r="H468" s="74">
        <f t="shared" si="250"/>
        <v>0</v>
      </c>
      <c r="I468" s="74">
        <f t="shared" si="250"/>
        <v>0</v>
      </c>
      <c r="J468" s="74">
        <f t="shared" si="250"/>
        <v>0</v>
      </c>
      <c r="K468" s="74">
        <f t="shared" si="250"/>
        <v>0</v>
      </c>
      <c r="L468" s="74">
        <f t="shared" si="250"/>
        <v>0</v>
      </c>
      <c r="M468" s="74">
        <f t="shared" si="250"/>
        <v>0</v>
      </c>
      <c r="N468" s="74">
        <f t="shared" si="250"/>
        <v>0</v>
      </c>
      <c r="O468" s="74">
        <f t="shared" si="250"/>
        <v>0</v>
      </c>
      <c r="P468" s="74">
        <f t="shared" si="250"/>
        <v>0</v>
      </c>
      <c r="Q468" s="74">
        <f t="shared" si="250"/>
        <v>0</v>
      </c>
      <c r="R468" s="74">
        <f t="shared" si="250"/>
        <v>0</v>
      </c>
      <c r="S468" s="74">
        <f t="shared" si="250"/>
        <v>0</v>
      </c>
      <c r="T468" s="74">
        <f t="shared" si="250"/>
        <v>0</v>
      </c>
      <c r="U468" s="74">
        <f t="shared" si="250"/>
        <v>0</v>
      </c>
      <c r="V468" s="74">
        <f t="shared" si="250"/>
        <v>0</v>
      </c>
      <c r="W468" s="74">
        <f t="shared" si="250"/>
        <v>0</v>
      </c>
      <c r="X468" s="74">
        <f t="shared" si="250"/>
        <v>0</v>
      </c>
      <c r="Y468" s="74">
        <f t="shared" si="250"/>
        <v>0</v>
      </c>
      <c r="Z468" s="74">
        <f t="shared" si="250"/>
        <v>0</v>
      </c>
    </row>
    <row r="469" hidden="1" outlineLevel="1">
      <c r="B469" s="93">
        <f t="shared" si="239"/>
        <v>14</v>
      </c>
      <c r="C469" s="40"/>
      <c r="D469" s="16" t="s">
        <v>161</v>
      </c>
      <c r="E469" s="74">
        <f t="shared" si="108"/>
        <v>0</v>
      </c>
      <c r="F469" s="74"/>
      <c r="G469" s="74">
        <f t="shared" ref="G469:Z469" si="251">G448+G427</f>
        <v>0</v>
      </c>
      <c r="H469" s="74">
        <f t="shared" si="251"/>
        <v>0</v>
      </c>
      <c r="I469" s="74">
        <f t="shared" si="251"/>
        <v>0</v>
      </c>
      <c r="J469" s="74">
        <f t="shared" si="251"/>
        <v>0</v>
      </c>
      <c r="K469" s="74">
        <f t="shared" si="251"/>
        <v>0</v>
      </c>
      <c r="L469" s="74">
        <f t="shared" si="251"/>
        <v>0</v>
      </c>
      <c r="M469" s="74">
        <f t="shared" si="251"/>
        <v>0</v>
      </c>
      <c r="N469" s="74">
        <f t="shared" si="251"/>
        <v>0</v>
      </c>
      <c r="O469" s="74">
        <f t="shared" si="251"/>
        <v>0</v>
      </c>
      <c r="P469" s="74">
        <f t="shared" si="251"/>
        <v>0</v>
      </c>
      <c r="Q469" s="74">
        <f t="shared" si="251"/>
        <v>0</v>
      </c>
      <c r="R469" s="74">
        <f t="shared" si="251"/>
        <v>0</v>
      </c>
      <c r="S469" s="74">
        <f t="shared" si="251"/>
        <v>0</v>
      </c>
      <c r="T469" s="74">
        <f t="shared" si="251"/>
        <v>0</v>
      </c>
      <c r="U469" s="74">
        <f t="shared" si="251"/>
        <v>0</v>
      </c>
      <c r="V469" s="74">
        <f t="shared" si="251"/>
        <v>0</v>
      </c>
      <c r="W469" s="74">
        <f t="shared" si="251"/>
        <v>0</v>
      </c>
      <c r="X469" s="74">
        <f t="shared" si="251"/>
        <v>0</v>
      </c>
      <c r="Y469" s="74">
        <f t="shared" si="251"/>
        <v>0</v>
      </c>
      <c r="Z469" s="74">
        <f t="shared" si="251"/>
        <v>0</v>
      </c>
    </row>
    <row r="470" hidden="1" outlineLevel="1">
      <c r="B470" s="93">
        <f t="shared" si="239"/>
        <v>15</v>
      </c>
      <c r="C470" s="40"/>
      <c r="D470" s="16" t="s">
        <v>161</v>
      </c>
      <c r="E470" s="74">
        <f t="shared" si="108"/>
        <v>0</v>
      </c>
      <c r="F470" s="74"/>
      <c r="G470" s="74">
        <f t="shared" ref="G470:Z470" si="252">G449+G428</f>
        <v>0</v>
      </c>
      <c r="H470" s="74">
        <f t="shared" si="252"/>
        <v>0</v>
      </c>
      <c r="I470" s="74">
        <f t="shared" si="252"/>
        <v>0</v>
      </c>
      <c r="J470" s="74">
        <f t="shared" si="252"/>
        <v>0</v>
      </c>
      <c r="K470" s="74">
        <f t="shared" si="252"/>
        <v>0</v>
      </c>
      <c r="L470" s="74">
        <f t="shared" si="252"/>
        <v>0</v>
      </c>
      <c r="M470" s="74">
        <f t="shared" si="252"/>
        <v>0</v>
      </c>
      <c r="N470" s="74">
        <f t="shared" si="252"/>
        <v>0</v>
      </c>
      <c r="O470" s="74">
        <f t="shared" si="252"/>
        <v>0</v>
      </c>
      <c r="P470" s="74">
        <f t="shared" si="252"/>
        <v>0</v>
      </c>
      <c r="Q470" s="74">
        <f t="shared" si="252"/>
        <v>0</v>
      </c>
      <c r="R470" s="74">
        <f t="shared" si="252"/>
        <v>0</v>
      </c>
      <c r="S470" s="74">
        <f t="shared" si="252"/>
        <v>0</v>
      </c>
      <c r="T470" s="74">
        <f t="shared" si="252"/>
        <v>0</v>
      </c>
      <c r="U470" s="74">
        <f t="shared" si="252"/>
        <v>0</v>
      </c>
      <c r="V470" s="74">
        <f t="shared" si="252"/>
        <v>0</v>
      </c>
      <c r="W470" s="74">
        <f t="shared" si="252"/>
        <v>0</v>
      </c>
      <c r="X470" s="74">
        <f t="shared" si="252"/>
        <v>0</v>
      </c>
      <c r="Y470" s="74">
        <f t="shared" si="252"/>
        <v>0</v>
      </c>
      <c r="Z470" s="74">
        <f t="shared" si="252"/>
        <v>0</v>
      </c>
    </row>
    <row r="471" hidden="1" outlineLevel="1">
      <c r="B471" s="93">
        <f t="shared" si="239"/>
        <v>16</v>
      </c>
      <c r="C471" s="40"/>
      <c r="D471" s="16" t="s">
        <v>161</v>
      </c>
      <c r="E471" s="74">
        <f t="shared" si="108"/>
        <v>0</v>
      </c>
      <c r="F471" s="74"/>
      <c r="G471" s="74">
        <f t="shared" ref="G471:Z471" si="253">G450+G429</f>
        <v>0</v>
      </c>
      <c r="H471" s="74">
        <f t="shared" si="253"/>
        <v>0</v>
      </c>
      <c r="I471" s="74">
        <f t="shared" si="253"/>
        <v>0</v>
      </c>
      <c r="J471" s="74">
        <f t="shared" si="253"/>
        <v>0</v>
      </c>
      <c r="K471" s="74">
        <f t="shared" si="253"/>
        <v>0</v>
      </c>
      <c r="L471" s="74">
        <f t="shared" si="253"/>
        <v>0</v>
      </c>
      <c r="M471" s="74">
        <f t="shared" si="253"/>
        <v>0</v>
      </c>
      <c r="N471" s="74">
        <f t="shared" si="253"/>
        <v>0</v>
      </c>
      <c r="O471" s="74">
        <f t="shared" si="253"/>
        <v>0</v>
      </c>
      <c r="P471" s="74">
        <f t="shared" si="253"/>
        <v>0</v>
      </c>
      <c r="Q471" s="74">
        <f t="shared" si="253"/>
        <v>0</v>
      </c>
      <c r="R471" s="74">
        <f t="shared" si="253"/>
        <v>0</v>
      </c>
      <c r="S471" s="74">
        <f t="shared" si="253"/>
        <v>0</v>
      </c>
      <c r="T471" s="74">
        <f t="shared" si="253"/>
        <v>0</v>
      </c>
      <c r="U471" s="74">
        <f t="shared" si="253"/>
        <v>0</v>
      </c>
      <c r="V471" s="74">
        <f t="shared" si="253"/>
        <v>0</v>
      </c>
      <c r="W471" s="74">
        <f t="shared" si="253"/>
        <v>0</v>
      </c>
      <c r="X471" s="74">
        <f t="shared" si="253"/>
        <v>0</v>
      </c>
      <c r="Y471" s="74">
        <f t="shared" si="253"/>
        <v>0</v>
      </c>
      <c r="Z471" s="74">
        <f t="shared" si="253"/>
        <v>0</v>
      </c>
    </row>
    <row r="472" hidden="1" outlineLevel="1">
      <c r="B472" s="93">
        <f t="shared" si="239"/>
        <v>17</v>
      </c>
      <c r="C472" s="40"/>
      <c r="D472" s="16" t="s">
        <v>161</v>
      </c>
      <c r="E472" s="74">
        <f t="shared" si="108"/>
        <v>0</v>
      </c>
      <c r="F472" s="74"/>
      <c r="G472" s="74">
        <f t="shared" ref="G472:Z472" si="254">G451+G430</f>
        <v>0</v>
      </c>
      <c r="H472" s="74">
        <f t="shared" si="254"/>
        <v>0</v>
      </c>
      <c r="I472" s="74">
        <f t="shared" si="254"/>
        <v>0</v>
      </c>
      <c r="J472" s="74">
        <f t="shared" si="254"/>
        <v>0</v>
      </c>
      <c r="K472" s="74">
        <f t="shared" si="254"/>
        <v>0</v>
      </c>
      <c r="L472" s="74">
        <f t="shared" si="254"/>
        <v>0</v>
      </c>
      <c r="M472" s="74">
        <f t="shared" si="254"/>
        <v>0</v>
      </c>
      <c r="N472" s="74">
        <f t="shared" si="254"/>
        <v>0</v>
      </c>
      <c r="O472" s="74">
        <f t="shared" si="254"/>
        <v>0</v>
      </c>
      <c r="P472" s="74">
        <f t="shared" si="254"/>
        <v>0</v>
      </c>
      <c r="Q472" s="74">
        <f t="shared" si="254"/>
        <v>0</v>
      </c>
      <c r="R472" s="74">
        <f t="shared" si="254"/>
        <v>0</v>
      </c>
      <c r="S472" s="74">
        <f t="shared" si="254"/>
        <v>0</v>
      </c>
      <c r="T472" s="74">
        <f t="shared" si="254"/>
        <v>0</v>
      </c>
      <c r="U472" s="74">
        <f t="shared" si="254"/>
        <v>0</v>
      </c>
      <c r="V472" s="74">
        <f t="shared" si="254"/>
        <v>0</v>
      </c>
      <c r="W472" s="74">
        <f t="shared" si="254"/>
        <v>0</v>
      </c>
      <c r="X472" s="74">
        <f t="shared" si="254"/>
        <v>0</v>
      </c>
      <c r="Y472" s="74">
        <f t="shared" si="254"/>
        <v>0</v>
      </c>
      <c r="Z472" s="74">
        <f t="shared" si="254"/>
        <v>0</v>
      </c>
    </row>
    <row r="473" hidden="1" outlineLevel="1">
      <c r="B473" s="93">
        <f t="shared" si="239"/>
        <v>18</v>
      </c>
      <c r="C473" s="40"/>
      <c r="D473" s="16" t="s">
        <v>161</v>
      </c>
      <c r="E473" s="74">
        <f t="shared" si="108"/>
        <v>0</v>
      </c>
      <c r="F473" s="74"/>
      <c r="G473" s="74">
        <f t="shared" ref="G473:Z473" si="255">G452+G431</f>
        <v>0</v>
      </c>
      <c r="H473" s="74">
        <f t="shared" si="255"/>
        <v>0</v>
      </c>
      <c r="I473" s="74">
        <f t="shared" si="255"/>
        <v>0</v>
      </c>
      <c r="J473" s="74">
        <f t="shared" si="255"/>
        <v>0</v>
      </c>
      <c r="K473" s="74">
        <f t="shared" si="255"/>
        <v>0</v>
      </c>
      <c r="L473" s="74">
        <f t="shared" si="255"/>
        <v>0</v>
      </c>
      <c r="M473" s="74">
        <f t="shared" si="255"/>
        <v>0</v>
      </c>
      <c r="N473" s="74">
        <f t="shared" si="255"/>
        <v>0</v>
      </c>
      <c r="O473" s="74">
        <f t="shared" si="255"/>
        <v>0</v>
      </c>
      <c r="P473" s="74">
        <f t="shared" si="255"/>
        <v>0</v>
      </c>
      <c r="Q473" s="74">
        <f t="shared" si="255"/>
        <v>0</v>
      </c>
      <c r="R473" s="74">
        <f t="shared" si="255"/>
        <v>0</v>
      </c>
      <c r="S473" s="74">
        <f t="shared" si="255"/>
        <v>0</v>
      </c>
      <c r="T473" s="74">
        <f t="shared" si="255"/>
        <v>0</v>
      </c>
      <c r="U473" s="74">
        <f t="shared" si="255"/>
        <v>0</v>
      </c>
      <c r="V473" s="74">
        <f t="shared" si="255"/>
        <v>0</v>
      </c>
      <c r="W473" s="74">
        <f t="shared" si="255"/>
        <v>0</v>
      </c>
      <c r="X473" s="74">
        <f t="shared" si="255"/>
        <v>0</v>
      </c>
      <c r="Y473" s="74">
        <f t="shared" si="255"/>
        <v>0</v>
      </c>
      <c r="Z473" s="74">
        <f t="shared" si="255"/>
        <v>0</v>
      </c>
    </row>
    <row r="474" hidden="1" outlineLevel="1">
      <c r="B474" s="93">
        <f t="shared" si="239"/>
        <v>19</v>
      </c>
      <c r="C474" s="40"/>
      <c r="D474" s="16" t="s">
        <v>161</v>
      </c>
      <c r="E474" s="74">
        <f t="shared" si="108"/>
        <v>0</v>
      </c>
      <c r="F474" s="74"/>
      <c r="G474" s="74">
        <f t="shared" ref="G474:Z474" si="256">G453+G432</f>
        <v>0</v>
      </c>
      <c r="H474" s="74">
        <f t="shared" si="256"/>
        <v>0</v>
      </c>
      <c r="I474" s="74">
        <f t="shared" si="256"/>
        <v>0</v>
      </c>
      <c r="J474" s="74">
        <f t="shared" si="256"/>
        <v>0</v>
      </c>
      <c r="K474" s="74">
        <f t="shared" si="256"/>
        <v>0</v>
      </c>
      <c r="L474" s="74">
        <f t="shared" si="256"/>
        <v>0</v>
      </c>
      <c r="M474" s="74">
        <f t="shared" si="256"/>
        <v>0</v>
      </c>
      <c r="N474" s="74">
        <f t="shared" si="256"/>
        <v>0</v>
      </c>
      <c r="O474" s="74">
        <f t="shared" si="256"/>
        <v>0</v>
      </c>
      <c r="P474" s="74">
        <f t="shared" si="256"/>
        <v>0</v>
      </c>
      <c r="Q474" s="74">
        <f t="shared" si="256"/>
        <v>0</v>
      </c>
      <c r="R474" s="74">
        <f t="shared" si="256"/>
        <v>0</v>
      </c>
      <c r="S474" s="74">
        <f t="shared" si="256"/>
        <v>0</v>
      </c>
      <c r="T474" s="74">
        <f t="shared" si="256"/>
        <v>0</v>
      </c>
      <c r="U474" s="74">
        <f t="shared" si="256"/>
        <v>0</v>
      </c>
      <c r="V474" s="74">
        <f t="shared" si="256"/>
        <v>0</v>
      </c>
      <c r="W474" s="74">
        <f t="shared" si="256"/>
        <v>0</v>
      </c>
      <c r="X474" s="74">
        <f t="shared" si="256"/>
        <v>0</v>
      </c>
      <c r="Y474" s="74">
        <f t="shared" si="256"/>
        <v>0</v>
      </c>
      <c r="Z474" s="74">
        <f t="shared" si="256"/>
        <v>0</v>
      </c>
    </row>
    <row r="475" hidden="1" outlineLevel="1">
      <c r="B475" s="93">
        <f t="shared" si="239"/>
        <v>20</v>
      </c>
      <c r="C475" s="40"/>
      <c r="D475" s="16" t="s">
        <v>161</v>
      </c>
      <c r="E475" s="74">
        <f t="shared" si="108"/>
        <v>0</v>
      </c>
      <c r="F475" s="74"/>
      <c r="G475" s="74">
        <f t="shared" ref="G475:Z475" si="257">G454+G433</f>
        <v>0</v>
      </c>
      <c r="H475" s="74">
        <f t="shared" si="257"/>
        <v>0</v>
      </c>
      <c r="I475" s="74">
        <f t="shared" si="257"/>
        <v>0</v>
      </c>
      <c r="J475" s="74">
        <f t="shared" si="257"/>
        <v>0</v>
      </c>
      <c r="K475" s="74">
        <f t="shared" si="257"/>
        <v>0</v>
      </c>
      <c r="L475" s="74">
        <f t="shared" si="257"/>
        <v>0</v>
      </c>
      <c r="M475" s="74">
        <f t="shared" si="257"/>
        <v>0</v>
      </c>
      <c r="N475" s="74">
        <f t="shared" si="257"/>
        <v>0</v>
      </c>
      <c r="O475" s="74">
        <f t="shared" si="257"/>
        <v>0</v>
      </c>
      <c r="P475" s="74">
        <f t="shared" si="257"/>
        <v>0</v>
      </c>
      <c r="Q475" s="74">
        <f t="shared" si="257"/>
        <v>0</v>
      </c>
      <c r="R475" s="74">
        <f t="shared" si="257"/>
        <v>0</v>
      </c>
      <c r="S475" s="74">
        <f t="shared" si="257"/>
        <v>0</v>
      </c>
      <c r="T475" s="74">
        <f t="shared" si="257"/>
        <v>0</v>
      </c>
      <c r="U475" s="74">
        <f t="shared" si="257"/>
        <v>0</v>
      </c>
      <c r="V475" s="74">
        <f t="shared" si="257"/>
        <v>0</v>
      </c>
      <c r="W475" s="74">
        <f t="shared" si="257"/>
        <v>0</v>
      </c>
      <c r="X475" s="74">
        <f t="shared" si="257"/>
        <v>0</v>
      </c>
      <c r="Y475" s="74">
        <f t="shared" si="257"/>
        <v>0</v>
      </c>
      <c r="Z475" s="74">
        <f t="shared" si="257"/>
        <v>0</v>
      </c>
    </row>
    <row r="476" collapsed="1">
      <c r="B476" s="40" t="s">
        <v>197</v>
      </c>
      <c r="C476" s="16"/>
      <c r="D476" s="16" t="s">
        <v>161</v>
      </c>
      <c r="E476" s="74">
        <f t="shared" si="108"/>
        <v>98450000</v>
      </c>
      <c r="F476" s="78"/>
      <c r="G476" s="77">
        <f t="shared" ref="G476:Z476" si="258">sum(G477:G496)</f>
        <v>32816666.67</v>
      </c>
      <c r="H476" s="77">
        <f t="shared" si="258"/>
        <v>32816666.67</v>
      </c>
      <c r="I476" s="77">
        <f t="shared" si="258"/>
        <v>32816666.67</v>
      </c>
      <c r="J476" s="77">
        <f t="shared" si="258"/>
        <v>0</v>
      </c>
      <c r="K476" s="77">
        <f t="shared" si="258"/>
        <v>0</v>
      </c>
      <c r="L476" s="77">
        <f t="shared" si="258"/>
        <v>0</v>
      </c>
      <c r="M476" s="77">
        <f t="shared" si="258"/>
        <v>0</v>
      </c>
      <c r="N476" s="77">
        <f t="shared" si="258"/>
        <v>0</v>
      </c>
      <c r="O476" s="77">
        <f t="shared" si="258"/>
        <v>0</v>
      </c>
      <c r="P476" s="77">
        <f t="shared" si="258"/>
        <v>0</v>
      </c>
      <c r="Q476" s="77">
        <f t="shared" si="258"/>
        <v>0</v>
      </c>
      <c r="R476" s="77">
        <f t="shared" si="258"/>
        <v>0</v>
      </c>
      <c r="S476" s="77">
        <f t="shared" si="258"/>
        <v>0</v>
      </c>
      <c r="T476" s="77">
        <f t="shared" si="258"/>
        <v>0</v>
      </c>
      <c r="U476" s="77">
        <f t="shared" si="258"/>
        <v>0</v>
      </c>
      <c r="V476" s="77">
        <f t="shared" si="258"/>
        <v>0</v>
      </c>
      <c r="W476" s="77">
        <f t="shared" si="258"/>
        <v>0</v>
      </c>
      <c r="X476" s="77">
        <f t="shared" si="258"/>
        <v>0</v>
      </c>
      <c r="Y476" s="77">
        <f t="shared" si="258"/>
        <v>0</v>
      </c>
      <c r="Z476" s="77">
        <f t="shared" si="258"/>
        <v>0</v>
      </c>
    </row>
    <row r="477" hidden="1" outlineLevel="1">
      <c r="B477" s="93">
        <f>G$4</f>
        <v>1</v>
      </c>
      <c r="C477" s="40"/>
      <c r="D477" s="16" t="s">
        <v>161</v>
      </c>
      <c r="E477" s="74">
        <f t="shared" si="108"/>
        <v>32816666.67</v>
      </c>
      <c r="F477" s="74"/>
      <c r="G477" s="74">
        <f t="array" ref="G477">if($B477=G$4, if($C137=true,index($G$131:$Z$131,,$B477)*(1-'Get Started'!$D$26),index($G$131:$Z$131,,$B477)),0)</f>
        <v>32816666.67</v>
      </c>
      <c r="H477" s="74">
        <f t="array" ref="H477">if($B477=H$4, if($C137=true,index($G$131:$Z$131,,$B477)*(1-'Get Started'!$D$26),index($G$131:$Z$131,,$B477)),0)</f>
        <v>0</v>
      </c>
      <c r="I477" s="74">
        <f t="array" ref="I477">if($B477=I$4, if($C137=true,index($G$131:$Z$131,,$B477)*(1-'Get Started'!$D$26),index($G$131:$Z$131,,$B477)),0)</f>
        <v>0</v>
      </c>
      <c r="J477" s="74">
        <f t="array" ref="J477">if($B477=J$4, if($C137=true,index($G$131:$Z$131,,$B477)*(1-'Get Started'!$D$26),index($G$131:$Z$131,,$B477)),0)</f>
        <v>0</v>
      </c>
      <c r="K477" s="74">
        <f t="array" ref="K477">if($B477=K$4, if($C137=true,index($G$131:$Z$131,,$B477)*(1-'Get Started'!$D$26),index($G$131:$Z$131,,$B477)),0)</f>
        <v>0</v>
      </c>
      <c r="L477" s="74">
        <f t="array" ref="L477">if($B477=L$4, if($C137=true,index($G$131:$Z$131,,$B477)*(1-'Get Started'!$D$26),index($G$131:$Z$131,,$B477)),0)</f>
        <v>0</v>
      </c>
      <c r="M477" s="74">
        <f t="array" ref="M477">if($B477=M$4, if($C137=true,index($G$131:$Z$131,,$B477)*(1-'Get Started'!$D$26),index($G$131:$Z$131,,$B477)),0)</f>
        <v>0</v>
      </c>
      <c r="N477" s="74">
        <f t="array" ref="N477">if($B477=N$4, if($C137=true,index($G$131:$Z$131,,$B477)*(1-'Get Started'!$D$26),index($G$131:$Z$131,,$B477)),0)</f>
        <v>0</v>
      </c>
      <c r="O477" s="74">
        <f t="array" ref="O477">if($B477=O$4, if($C137=true,index($G$131:$Z$131,,$B477)*(1-'Get Started'!$D$26),index($G$131:$Z$131,,$B477)),0)</f>
        <v>0</v>
      </c>
      <c r="P477" s="74">
        <f t="array" ref="P477">if($B477=P$4, if($C137=true,index($G$131:$Z$131,,$B477)*(1-'Get Started'!$D$26),index($G$131:$Z$131,,$B477)),0)</f>
        <v>0</v>
      </c>
      <c r="Q477" s="74">
        <f t="array" ref="Q477">if($B477=Q$4, if($C137=true,index($G$131:$Z$131,,$B477)*(1-'Get Started'!$D$26),index($G$131:$Z$131,,$B477)),0)</f>
        <v>0</v>
      </c>
      <c r="R477" s="74">
        <f t="array" ref="R477">if($B477=R$4, if($C137=true,index($G$131:$Z$131,,$B477)*(1-'Get Started'!$D$26),index($G$131:$Z$131,,$B477)),0)</f>
        <v>0</v>
      </c>
      <c r="S477" s="74">
        <f t="array" ref="S477">if($B477=S$4, if($C137=true,index($G$131:$Z$131,,$B477)*(1-'Get Started'!$D$26),index($G$131:$Z$131,,$B477)),0)</f>
        <v>0</v>
      </c>
      <c r="T477" s="74">
        <f t="array" ref="T477">if($B477=T$4, if($C137=true,index($G$131:$Z$131,,$B477)*(1-'Get Started'!$D$26),index($G$131:$Z$131,,$B477)),0)</f>
        <v>0</v>
      </c>
      <c r="U477" s="74">
        <f t="array" ref="U477">if($B477=U$4, if($C137=true,index($G$131:$Z$131,,$B477)*(1-'Get Started'!$D$26),index($G$131:$Z$131,,$B477)),0)</f>
        <v>0</v>
      </c>
      <c r="V477" s="74">
        <f t="array" ref="V477">if($B477=V$4, if($C137=true,index($G$131:$Z$131,,$B477)*(1-'Get Started'!$D$26),index($G$131:$Z$131,,$B477)),0)</f>
        <v>0</v>
      </c>
      <c r="W477" s="74">
        <f t="array" ref="W477">if($B477=W$4, if($C137=true,index($G$131:$Z$131,,$B477)*(1-'Get Started'!$D$26),index($G$131:$Z$131,,$B477)),0)</f>
        <v>0</v>
      </c>
      <c r="X477" s="74">
        <f t="array" ref="X477">if($B477=X$4, if($C137=true,index($G$131:$Z$131,,$B477)*(1-'Get Started'!$D$26),index($G$131:$Z$131,,$B477)),0)</f>
        <v>0</v>
      </c>
      <c r="Y477" s="74">
        <f t="array" ref="Y477">if($B477=Y$4, if($C137=true,index($G$131:$Z$131,,$B477)*(1-'Get Started'!$D$26),index($G$131:$Z$131,,$B477)),0)</f>
        <v>0</v>
      </c>
      <c r="Z477" s="74">
        <f t="array" ref="Z477">if($B477=Z$4, if($C137=true,index($G$131:$Z$131,,$B477)*(1-'Get Started'!$D$26),index($G$131:$Z$131,,$B477)),0)</f>
        <v>0</v>
      </c>
    </row>
    <row r="478" hidden="1" outlineLevel="1">
      <c r="B478" s="93">
        <f t="shared" ref="B478:B496" si="259">B477+1</f>
        <v>2</v>
      </c>
      <c r="C478" s="40"/>
      <c r="D478" s="16" t="s">
        <v>161</v>
      </c>
      <c r="E478" s="74">
        <f t="shared" si="108"/>
        <v>32816666.67</v>
      </c>
      <c r="F478" s="74"/>
      <c r="G478" s="74">
        <f t="array" ref="G478">if($B478=G$4, if($C138=true,index($G$131:$Z$131,,$B478)*(1-'Get Started'!$D$26),index($G$131:$Z$131,,$B478)),0)</f>
        <v>0</v>
      </c>
      <c r="H478" s="74">
        <f t="array" ref="H478">if($B478=H$4, if($C138=true,index($G$131:$Z$131,,$B478)*(1-'Get Started'!$D$26),index($G$131:$Z$131,,$B478)),0)</f>
        <v>32816666.67</v>
      </c>
      <c r="I478" s="74">
        <f t="array" ref="I478">if($B478=I$4, if($C138=true,index($G$131:$Z$131,,$B478)*(1-'Get Started'!$D$26),index($G$131:$Z$131,,$B478)),0)</f>
        <v>0</v>
      </c>
      <c r="J478" s="74">
        <f t="array" ref="J478">if($B478=J$4, if($C138=true,index($G$131:$Z$131,,$B478)*(1-'Get Started'!$D$26),index($G$131:$Z$131,,$B478)),0)</f>
        <v>0</v>
      </c>
      <c r="K478" s="74">
        <f t="array" ref="K478">if($B478=K$4, if($C138=true,index($G$131:$Z$131,,$B478)*(1-'Get Started'!$D$26),index($G$131:$Z$131,,$B478)),0)</f>
        <v>0</v>
      </c>
      <c r="L478" s="74">
        <f t="array" ref="L478">if($B478=L$4, if($C138=true,index($G$131:$Z$131,,$B478)*(1-'Get Started'!$D$26),index($G$131:$Z$131,,$B478)),0)</f>
        <v>0</v>
      </c>
      <c r="M478" s="74">
        <f t="array" ref="M478">if($B478=M$4, if($C138=true,index($G$131:$Z$131,,$B478)*(1-'Get Started'!$D$26),index($G$131:$Z$131,,$B478)),0)</f>
        <v>0</v>
      </c>
      <c r="N478" s="74">
        <f t="array" ref="N478">if($B478=N$4, if($C138=true,index($G$131:$Z$131,,$B478)*(1-'Get Started'!$D$26),index($G$131:$Z$131,,$B478)),0)</f>
        <v>0</v>
      </c>
      <c r="O478" s="74">
        <f t="array" ref="O478">if($B478=O$4, if($C138=true,index($G$131:$Z$131,,$B478)*(1-'Get Started'!$D$26),index($G$131:$Z$131,,$B478)),0)</f>
        <v>0</v>
      </c>
      <c r="P478" s="74">
        <f t="array" ref="P478">if($B478=P$4, if($C138=true,index($G$131:$Z$131,,$B478)*(1-'Get Started'!$D$26),index($G$131:$Z$131,,$B478)),0)</f>
        <v>0</v>
      </c>
      <c r="Q478" s="74">
        <f t="array" ref="Q478">if($B478=Q$4, if($C138=true,index($G$131:$Z$131,,$B478)*(1-'Get Started'!$D$26),index($G$131:$Z$131,,$B478)),0)</f>
        <v>0</v>
      </c>
      <c r="R478" s="74">
        <f t="array" ref="R478">if($B478=R$4, if($C138=true,index($G$131:$Z$131,,$B478)*(1-'Get Started'!$D$26),index($G$131:$Z$131,,$B478)),0)</f>
        <v>0</v>
      </c>
      <c r="S478" s="74">
        <f t="array" ref="S478">if($B478=S$4, if($C138=true,index($G$131:$Z$131,,$B478)*(1-'Get Started'!$D$26),index($G$131:$Z$131,,$B478)),0)</f>
        <v>0</v>
      </c>
      <c r="T478" s="74">
        <f t="array" ref="T478">if($B478=T$4, if($C138=true,index($G$131:$Z$131,,$B478)*(1-'Get Started'!$D$26),index($G$131:$Z$131,,$B478)),0)</f>
        <v>0</v>
      </c>
      <c r="U478" s="74">
        <f t="array" ref="U478">if($B478=U$4, if($C138=true,index($G$131:$Z$131,,$B478)*(1-'Get Started'!$D$26),index($G$131:$Z$131,,$B478)),0)</f>
        <v>0</v>
      </c>
      <c r="V478" s="74">
        <f t="array" ref="V478">if($B478=V$4, if($C138=true,index($G$131:$Z$131,,$B478)*(1-'Get Started'!$D$26),index($G$131:$Z$131,,$B478)),0)</f>
        <v>0</v>
      </c>
      <c r="W478" s="74">
        <f t="array" ref="W478">if($B478=W$4, if($C138=true,index($G$131:$Z$131,,$B478)*(1-'Get Started'!$D$26),index($G$131:$Z$131,,$B478)),0)</f>
        <v>0</v>
      </c>
      <c r="X478" s="74">
        <f t="array" ref="X478">if($B478=X$4, if($C138=true,index($G$131:$Z$131,,$B478)*(1-'Get Started'!$D$26),index($G$131:$Z$131,,$B478)),0)</f>
        <v>0</v>
      </c>
      <c r="Y478" s="74">
        <f t="array" ref="Y478">if($B478=Y$4, if($C138=true,index($G$131:$Z$131,,$B478)*(1-'Get Started'!$D$26),index($G$131:$Z$131,,$B478)),0)</f>
        <v>0</v>
      </c>
      <c r="Z478" s="74">
        <f t="array" ref="Z478">if($B478=Z$4, if($C138=true,index($G$131:$Z$131,,$B478)*(1-'Get Started'!$D$26),index($G$131:$Z$131,,$B478)),0)</f>
        <v>0</v>
      </c>
    </row>
    <row r="479" hidden="1" outlineLevel="1">
      <c r="B479" s="93">
        <f t="shared" si="259"/>
        <v>3</v>
      </c>
      <c r="C479" s="40"/>
      <c r="D479" s="16" t="s">
        <v>161</v>
      </c>
      <c r="E479" s="74">
        <f t="shared" si="108"/>
        <v>32816666.67</v>
      </c>
      <c r="F479" s="74"/>
      <c r="G479" s="74">
        <f t="array" ref="G479">if($B479=G$4, if($C139=true,index($G$131:$Z$131,,$B479)*(1-'Get Started'!$D$26),index($G$131:$Z$131,,$B479)),0)</f>
        <v>0</v>
      </c>
      <c r="H479" s="74">
        <f t="array" ref="H479">if($B479=H$4, if($C139=true,index($G$131:$Z$131,,$B479)*(1-'Get Started'!$D$26),index($G$131:$Z$131,,$B479)),0)</f>
        <v>0</v>
      </c>
      <c r="I479" s="74">
        <f t="array" ref="I479">if($B479=I$4, if($C139=true,index($G$131:$Z$131,,$B479)*(1-'Get Started'!$D$26),index($G$131:$Z$131,,$B479)),0)</f>
        <v>32816666.67</v>
      </c>
      <c r="J479" s="74">
        <f t="array" ref="J479">if($B479=J$4, if($C139=true,index($G$131:$Z$131,,$B479)*(1-'Get Started'!$D$26),index($G$131:$Z$131,,$B479)),0)</f>
        <v>0</v>
      </c>
      <c r="K479" s="74">
        <f t="array" ref="K479">if($B479=K$4, if($C139=true,index($G$131:$Z$131,,$B479)*(1-'Get Started'!$D$26),index($G$131:$Z$131,,$B479)),0)</f>
        <v>0</v>
      </c>
      <c r="L479" s="74">
        <f t="array" ref="L479">if($B479=L$4, if($C139=true,index($G$131:$Z$131,,$B479)*(1-'Get Started'!$D$26),index($G$131:$Z$131,,$B479)),0)</f>
        <v>0</v>
      </c>
      <c r="M479" s="74">
        <f t="array" ref="M479">if($B479=M$4, if($C139=true,index($G$131:$Z$131,,$B479)*(1-'Get Started'!$D$26),index($G$131:$Z$131,,$B479)),0)</f>
        <v>0</v>
      </c>
      <c r="N479" s="74">
        <f t="array" ref="N479">if($B479=N$4, if($C139=true,index($G$131:$Z$131,,$B479)*(1-'Get Started'!$D$26),index($G$131:$Z$131,,$B479)),0)</f>
        <v>0</v>
      </c>
      <c r="O479" s="74">
        <f t="array" ref="O479">if($B479=O$4, if($C139=true,index($G$131:$Z$131,,$B479)*(1-'Get Started'!$D$26),index($G$131:$Z$131,,$B479)),0)</f>
        <v>0</v>
      </c>
      <c r="P479" s="74">
        <f t="array" ref="P479">if($B479=P$4, if($C139=true,index($G$131:$Z$131,,$B479)*(1-'Get Started'!$D$26),index($G$131:$Z$131,,$B479)),0)</f>
        <v>0</v>
      </c>
      <c r="Q479" s="74">
        <f t="array" ref="Q479">if($B479=Q$4, if($C139=true,index($G$131:$Z$131,,$B479)*(1-'Get Started'!$D$26),index($G$131:$Z$131,,$B479)),0)</f>
        <v>0</v>
      </c>
      <c r="R479" s="74">
        <f t="array" ref="R479">if($B479=R$4, if($C139=true,index($G$131:$Z$131,,$B479)*(1-'Get Started'!$D$26),index($G$131:$Z$131,,$B479)),0)</f>
        <v>0</v>
      </c>
      <c r="S479" s="74">
        <f t="array" ref="S479">if($B479=S$4, if($C139=true,index($G$131:$Z$131,,$B479)*(1-'Get Started'!$D$26),index($G$131:$Z$131,,$B479)),0)</f>
        <v>0</v>
      </c>
      <c r="T479" s="74">
        <f t="array" ref="T479">if($B479=T$4, if($C139=true,index($G$131:$Z$131,,$B479)*(1-'Get Started'!$D$26),index($G$131:$Z$131,,$B479)),0)</f>
        <v>0</v>
      </c>
      <c r="U479" s="74">
        <f t="array" ref="U479">if($B479=U$4, if($C139=true,index($G$131:$Z$131,,$B479)*(1-'Get Started'!$D$26),index($G$131:$Z$131,,$B479)),0)</f>
        <v>0</v>
      </c>
      <c r="V479" s="74">
        <f t="array" ref="V479">if($B479=V$4, if($C139=true,index($G$131:$Z$131,,$B479)*(1-'Get Started'!$D$26),index($G$131:$Z$131,,$B479)),0)</f>
        <v>0</v>
      </c>
      <c r="W479" s="74">
        <f t="array" ref="W479">if($B479=W$4, if($C139=true,index($G$131:$Z$131,,$B479)*(1-'Get Started'!$D$26),index($G$131:$Z$131,,$B479)),0)</f>
        <v>0</v>
      </c>
      <c r="X479" s="74">
        <f t="array" ref="X479">if($B479=X$4, if($C139=true,index($G$131:$Z$131,,$B479)*(1-'Get Started'!$D$26),index($G$131:$Z$131,,$B479)),0)</f>
        <v>0</v>
      </c>
      <c r="Y479" s="74">
        <f t="array" ref="Y479">if($B479=Y$4, if($C139=true,index($G$131:$Z$131,,$B479)*(1-'Get Started'!$D$26),index($G$131:$Z$131,,$B479)),0)</f>
        <v>0</v>
      </c>
      <c r="Z479" s="74">
        <f t="array" ref="Z479">if($B479=Z$4, if($C139=true,index($G$131:$Z$131,,$B479)*(1-'Get Started'!$D$26),index($G$131:$Z$131,,$B479)),0)</f>
        <v>0</v>
      </c>
    </row>
    <row r="480" hidden="1" outlineLevel="1">
      <c r="B480" s="93">
        <f t="shared" si="259"/>
        <v>4</v>
      </c>
      <c r="C480" s="40"/>
      <c r="D480" s="16" t="s">
        <v>161</v>
      </c>
      <c r="E480" s="74">
        <f t="shared" si="108"/>
        <v>0</v>
      </c>
      <c r="F480" s="74"/>
      <c r="G480" s="74">
        <f t="array" ref="G480">if($B480=G$4, if($C140=true,index($G$131:$Z$131,,$B480)*(1-'Get Started'!$D$26),index($G$131:$Z$131,,$B480)),0)</f>
        <v>0</v>
      </c>
      <c r="H480" s="74">
        <f t="array" ref="H480">if($B480=H$4, if($C140=true,index($G$131:$Z$131,,$B480)*(1-'Get Started'!$D$26),index($G$131:$Z$131,,$B480)),0)</f>
        <v>0</v>
      </c>
      <c r="I480" s="74">
        <f t="array" ref="I480">if($B480=I$4, if($C140=true,index($G$131:$Z$131,,$B480)*(1-'Get Started'!$D$26),index($G$131:$Z$131,,$B480)),0)</f>
        <v>0</v>
      </c>
      <c r="J480" s="74">
        <f t="array" ref="J480">if($B480=J$4, if($C140=true,index($G$131:$Z$131,,$B480)*(1-'Get Started'!$D$26),index($G$131:$Z$131,,$B480)),0)</f>
        <v>0</v>
      </c>
      <c r="K480" s="74">
        <f t="array" ref="K480">if($B480=K$4, if($C140=true,index($G$131:$Z$131,,$B480)*(1-'Get Started'!$D$26),index($G$131:$Z$131,,$B480)),0)</f>
        <v>0</v>
      </c>
      <c r="L480" s="74">
        <f t="array" ref="L480">if($B480=L$4, if($C140=true,index($G$131:$Z$131,,$B480)*(1-'Get Started'!$D$26),index($G$131:$Z$131,,$B480)),0)</f>
        <v>0</v>
      </c>
      <c r="M480" s="74">
        <f t="array" ref="M480">if($B480=M$4, if($C140=true,index($G$131:$Z$131,,$B480)*(1-'Get Started'!$D$26),index($G$131:$Z$131,,$B480)),0)</f>
        <v>0</v>
      </c>
      <c r="N480" s="74">
        <f t="array" ref="N480">if($B480=N$4, if($C140=true,index($G$131:$Z$131,,$B480)*(1-'Get Started'!$D$26),index($G$131:$Z$131,,$B480)),0)</f>
        <v>0</v>
      </c>
      <c r="O480" s="74">
        <f t="array" ref="O480">if($B480=O$4, if($C140=true,index($G$131:$Z$131,,$B480)*(1-'Get Started'!$D$26),index($G$131:$Z$131,,$B480)),0)</f>
        <v>0</v>
      </c>
      <c r="P480" s="74">
        <f t="array" ref="P480">if($B480=P$4, if($C140=true,index($G$131:$Z$131,,$B480)*(1-'Get Started'!$D$26),index($G$131:$Z$131,,$B480)),0)</f>
        <v>0</v>
      </c>
      <c r="Q480" s="74">
        <f t="array" ref="Q480">if($B480=Q$4, if($C140=true,index($G$131:$Z$131,,$B480)*(1-'Get Started'!$D$26),index($G$131:$Z$131,,$B480)),0)</f>
        <v>0</v>
      </c>
      <c r="R480" s="74">
        <f t="array" ref="R480">if($B480=R$4, if($C140=true,index($G$131:$Z$131,,$B480)*(1-'Get Started'!$D$26),index($G$131:$Z$131,,$B480)),0)</f>
        <v>0</v>
      </c>
      <c r="S480" s="74">
        <f t="array" ref="S480">if($B480=S$4, if($C140=true,index($G$131:$Z$131,,$B480)*(1-'Get Started'!$D$26),index($G$131:$Z$131,,$B480)),0)</f>
        <v>0</v>
      </c>
      <c r="T480" s="74">
        <f t="array" ref="T480">if($B480=T$4, if($C140=true,index($G$131:$Z$131,,$B480)*(1-'Get Started'!$D$26),index($G$131:$Z$131,,$B480)),0)</f>
        <v>0</v>
      </c>
      <c r="U480" s="74">
        <f t="array" ref="U480">if($B480=U$4, if($C140=true,index($G$131:$Z$131,,$B480)*(1-'Get Started'!$D$26),index($G$131:$Z$131,,$B480)),0)</f>
        <v>0</v>
      </c>
      <c r="V480" s="74">
        <f t="array" ref="V480">if($B480=V$4, if($C140=true,index($G$131:$Z$131,,$B480)*(1-'Get Started'!$D$26),index($G$131:$Z$131,,$B480)),0)</f>
        <v>0</v>
      </c>
      <c r="W480" s="74">
        <f t="array" ref="W480">if($B480=W$4, if($C140=true,index($G$131:$Z$131,,$B480)*(1-'Get Started'!$D$26),index($G$131:$Z$131,,$B480)),0)</f>
        <v>0</v>
      </c>
      <c r="X480" s="74">
        <f t="array" ref="X480">if($B480=X$4, if($C140=true,index($G$131:$Z$131,,$B480)*(1-'Get Started'!$D$26),index($G$131:$Z$131,,$B480)),0)</f>
        <v>0</v>
      </c>
      <c r="Y480" s="74">
        <f t="array" ref="Y480">if($B480=Y$4, if($C140=true,index($G$131:$Z$131,,$B480)*(1-'Get Started'!$D$26),index($G$131:$Z$131,,$B480)),0)</f>
        <v>0</v>
      </c>
      <c r="Z480" s="74">
        <f t="array" ref="Z480">if($B480=Z$4, if($C140=true,index($G$131:$Z$131,,$B480)*(1-'Get Started'!$D$26),index($G$131:$Z$131,,$B480)),0)</f>
        <v>0</v>
      </c>
    </row>
    <row r="481" hidden="1" outlineLevel="1">
      <c r="B481" s="93">
        <f t="shared" si="259"/>
        <v>5</v>
      </c>
      <c r="C481" s="40"/>
      <c r="D481" s="16" t="s">
        <v>161</v>
      </c>
      <c r="E481" s="74">
        <f t="shared" si="108"/>
        <v>0</v>
      </c>
      <c r="F481" s="74"/>
      <c r="G481" s="74">
        <f t="array" ref="G481">if($B481=G$4, if($C141=true,index($G$131:$Z$131,,$B481)*(1-'Get Started'!$D$26),index($G$131:$Z$131,,$B481)),0)</f>
        <v>0</v>
      </c>
      <c r="H481" s="74">
        <f t="array" ref="H481">if($B481=H$4, if($C141=true,index($G$131:$Z$131,,$B481)*(1-'Get Started'!$D$26),index($G$131:$Z$131,,$B481)),0)</f>
        <v>0</v>
      </c>
      <c r="I481" s="74">
        <f t="array" ref="I481">if($B481=I$4, if($C141=true,index($G$131:$Z$131,,$B481)*(1-'Get Started'!$D$26),index($G$131:$Z$131,,$B481)),0)</f>
        <v>0</v>
      </c>
      <c r="J481" s="74">
        <f t="array" ref="J481">if($B481=J$4, if($C141=true,index($G$131:$Z$131,,$B481)*(1-'Get Started'!$D$26),index($G$131:$Z$131,,$B481)),0)</f>
        <v>0</v>
      </c>
      <c r="K481" s="74">
        <f t="array" ref="K481">if($B481=K$4, if($C141=true,index($G$131:$Z$131,,$B481)*(1-'Get Started'!$D$26),index($G$131:$Z$131,,$B481)),0)</f>
        <v>0</v>
      </c>
      <c r="L481" s="74">
        <f t="array" ref="L481">if($B481=L$4, if($C141=true,index($G$131:$Z$131,,$B481)*(1-'Get Started'!$D$26),index($G$131:$Z$131,,$B481)),0)</f>
        <v>0</v>
      </c>
      <c r="M481" s="74">
        <f t="array" ref="M481">if($B481=M$4, if($C141=true,index($G$131:$Z$131,,$B481)*(1-'Get Started'!$D$26),index($G$131:$Z$131,,$B481)),0)</f>
        <v>0</v>
      </c>
      <c r="N481" s="74">
        <f t="array" ref="N481">if($B481=N$4, if($C141=true,index($G$131:$Z$131,,$B481)*(1-'Get Started'!$D$26),index($G$131:$Z$131,,$B481)),0)</f>
        <v>0</v>
      </c>
      <c r="O481" s="74">
        <f t="array" ref="O481">if($B481=O$4, if($C141=true,index($G$131:$Z$131,,$B481)*(1-'Get Started'!$D$26),index($G$131:$Z$131,,$B481)),0)</f>
        <v>0</v>
      </c>
      <c r="P481" s="74">
        <f t="array" ref="P481">if($B481=P$4, if($C141=true,index($G$131:$Z$131,,$B481)*(1-'Get Started'!$D$26),index($G$131:$Z$131,,$B481)),0)</f>
        <v>0</v>
      </c>
      <c r="Q481" s="74">
        <f t="array" ref="Q481">if($B481=Q$4, if($C141=true,index($G$131:$Z$131,,$B481)*(1-'Get Started'!$D$26),index($G$131:$Z$131,,$B481)),0)</f>
        <v>0</v>
      </c>
      <c r="R481" s="74">
        <f t="array" ref="R481">if($B481=R$4, if($C141=true,index($G$131:$Z$131,,$B481)*(1-'Get Started'!$D$26),index($G$131:$Z$131,,$B481)),0)</f>
        <v>0</v>
      </c>
      <c r="S481" s="74">
        <f t="array" ref="S481">if($B481=S$4, if($C141=true,index($G$131:$Z$131,,$B481)*(1-'Get Started'!$D$26),index($G$131:$Z$131,,$B481)),0)</f>
        <v>0</v>
      </c>
      <c r="T481" s="74">
        <f t="array" ref="T481">if($B481=T$4, if($C141=true,index($G$131:$Z$131,,$B481)*(1-'Get Started'!$D$26),index($G$131:$Z$131,,$B481)),0)</f>
        <v>0</v>
      </c>
      <c r="U481" s="74">
        <f t="array" ref="U481">if($B481=U$4, if($C141=true,index($G$131:$Z$131,,$B481)*(1-'Get Started'!$D$26),index($G$131:$Z$131,,$B481)),0)</f>
        <v>0</v>
      </c>
      <c r="V481" s="74">
        <f t="array" ref="V481">if($B481=V$4, if($C141=true,index($G$131:$Z$131,,$B481)*(1-'Get Started'!$D$26),index($G$131:$Z$131,,$B481)),0)</f>
        <v>0</v>
      </c>
      <c r="W481" s="74">
        <f t="array" ref="W481">if($B481=W$4, if($C141=true,index($G$131:$Z$131,,$B481)*(1-'Get Started'!$D$26),index($G$131:$Z$131,,$B481)),0)</f>
        <v>0</v>
      </c>
      <c r="X481" s="74">
        <f t="array" ref="X481">if($B481=X$4, if($C141=true,index($G$131:$Z$131,,$B481)*(1-'Get Started'!$D$26),index($G$131:$Z$131,,$B481)),0)</f>
        <v>0</v>
      </c>
      <c r="Y481" s="74">
        <f t="array" ref="Y481">if($B481=Y$4, if($C141=true,index($G$131:$Z$131,,$B481)*(1-'Get Started'!$D$26),index($G$131:$Z$131,,$B481)),0)</f>
        <v>0</v>
      </c>
      <c r="Z481" s="74">
        <f t="array" ref="Z481">if($B481=Z$4, if($C141=true,index($G$131:$Z$131,,$B481)*(1-'Get Started'!$D$26),index($G$131:$Z$131,,$B481)),0)</f>
        <v>0</v>
      </c>
    </row>
    <row r="482" hidden="1" outlineLevel="1">
      <c r="B482" s="93">
        <f t="shared" si="259"/>
        <v>6</v>
      </c>
      <c r="C482" s="40"/>
      <c r="D482" s="16" t="s">
        <v>161</v>
      </c>
      <c r="E482" s="74">
        <f t="shared" si="108"/>
        <v>0</v>
      </c>
      <c r="F482" s="74"/>
      <c r="G482" s="74">
        <f t="array" ref="G482">if($B482=G$4, if($C142=true,index($G$131:$Z$131,,$B482)*(1-'Get Started'!$D$26),index($G$131:$Z$131,,$B482)),0)</f>
        <v>0</v>
      </c>
      <c r="H482" s="74">
        <f t="array" ref="H482">if($B482=H$4, if($C142=true,index($G$131:$Z$131,,$B482)*(1-'Get Started'!$D$26),index($G$131:$Z$131,,$B482)),0)</f>
        <v>0</v>
      </c>
      <c r="I482" s="74">
        <f t="array" ref="I482">if($B482=I$4, if($C142=true,index($G$131:$Z$131,,$B482)*(1-'Get Started'!$D$26),index($G$131:$Z$131,,$B482)),0)</f>
        <v>0</v>
      </c>
      <c r="J482" s="74">
        <f t="array" ref="J482">if($B482=J$4, if($C142=true,index($G$131:$Z$131,,$B482)*(1-'Get Started'!$D$26),index($G$131:$Z$131,,$B482)),0)</f>
        <v>0</v>
      </c>
      <c r="K482" s="74">
        <f t="array" ref="K482">if($B482=K$4, if($C142=true,index($G$131:$Z$131,,$B482)*(1-'Get Started'!$D$26),index($G$131:$Z$131,,$B482)),0)</f>
        <v>0</v>
      </c>
      <c r="L482" s="74">
        <f t="array" ref="L482">if($B482=L$4, if($C142=true,index($G$131:$Z$131,,$B482)*(1-'Get Started'!$D$26),index($G$131:$Z$131,,$B482)),0)</f>
        <v>0</v>
      </c>
      <c r="M482" s="74">
        <f t="array" ref="M482">if($B482=M$4, if($C142=true,index($G$131:$Z$131,,$B482)*(1-'Get Started'!$D$26),index($G$131:$Z$131,,$B482)),0)</f>
        <v>0</v>
      </c>
      <c r="N482" s="74">
        <f t="array" ref="N482">if($B482=N$4, if($C142=true,index($G$131:$Z$131,,$B482)*(1-'Get Started'!$D$26),index($G$131:$Z$131,,$B482)),0)</f>
        <v>0</v>
      </c>
      <c r="O482" s="74">
        <f t="array" ref="O482">if($B482=O$4, if($C142=true,index($G$131:$Z$131,,$B482)*(1-'Get Started'!$D$26),index($G$131:$Z$131,,$B482)),0)</f>
        <v>0</v>
      </c>
      <c r="P482" s="74">
        <f t="array" ref="P482">if($B482=P$4, if($C142=true,index($G$131:$Z$131,,$B482)*(1-'Get Started'!$D$26),index($G$131:$Z$131,,$B482)),0)</f>
        <v>0</v>
      </c>
      <c r="Q482" s="74">
        <f t="array" ref="Q482">if($B482=Q$4, if($C142=true,index($G$131:$Z$131,,$B482)*(1-'Get Started'!$D$26),index($G$131:$Z$131,,$B482)),0)</f>
        <v>0</v>
      </c>
      <c r="R482" s="74">
        <f t="array" ref="R482">if($B482=R$4, if($C142=true,index($G$131:$Z$131,,$B482)*(1-'Get Started'!$D$26),index($G$131:$Z$131,,$B482)),0)</f>
        <v>0</v>
      </c>
      <c r="S482" s="74">
        <f t="array" ref="S482">if($B482=S$4, if($C142=true,index($G$131:$Z$131,,$B482)*(1-'Get Started'!$D$26),index($G$131:$Z$131,,$B482)),0)</f>
        <v>0</v>
      </c>
      <c r="T482" s="74">
        <f t="array" ref="T482">if($B482=T$4, if($C142=true,index($G$131:$Z$131,,$B482)*(1-'Get Started'!$D$26),index($G$131:$Z$131,,$B482)),0)</f>
        <v>0</v>
      </c>
      <c r="U482" s="74">
        <f t="array" ref="U482">if($B482=U$4, if($C142=true,index($G$131:$Z$131,,$B482)*(1-'Get Started'!$D$26),index($G$131:$Z$131,,$B482)),0)</f>
        <v>0</v>
      </c>
      <c r="V482" s="74">
        <f t="array" ref="V482">if($B482=V$4, if($C142=true,index($G$131:$Z$131,,$B482)*(1-'Get Started'!$D$26),index($G$131:$Z$131,,$B482)),0)</f>
        <v>0</v>
      </c>
      <c r="W482" s="74">
        <f t="array" ref="W482">if($B482=W$4, if($C142=true,index($G$131:$Z$131,,$B482)*(1-'Get Started'!$D$26),index($G$131:$Z$131,,$B482)),0)</f>
        <v>0</v>
      </c>
      <c r="X482" s="74">
        <f t="array" ref="X482">if($B482=X$4, if($C142=true,index($G$131:$Z$131,,$B482)*(1-'Get Started'!$D$26),index($G$131:$Z$131,,$B482)),0)</f>
        <v>0</v>
      </c>
      <c r="Y482" s="74">
        <f t="array" ref="Y482">if($B482=Y$4, if($C142=true,index($G$131:$Z$131,,$B482)*(1-'Get Started'!$D$26),index($G$131:$Z$131,,$B482)),0)</f>
        <v>0</v>
      </c>
      <c r="Z482" s="74">
        <f t="array" ref="Z482">if($B482=Z$4, if($C142=true,index($G$131:$Z$131,,$B482)*(1-'Get Started'!$D$26),index($G$131:$Z$131,,$B482)),0)</f>
        <v>0</v>
      </c>
    </row>
    <row r="483" hidden="1" outlineLevel="1">
      <c r="B483" s="93">
        <f t="shared" si="259"/>
        <v>7</v>
      </c>
      <c r="C483" s="40"/>
      <c r="D483" s="16" t="s">
        <v>161</v>
      </c>
      <c r="E483" s="74">
        <f t="shared" si="108"/>
        <v>0</v>
      </c>
      <c r="F483" s="74"/>
      <c r="G483" s="74">
        <f t="array" ref="G483">if($B483=G$4, if($C143=true,index($G$131:$Z$131,,$B483)*(1-'Get Started'!$D$26),index($G$131:$Z$131,,$B483)),0)</f>
        <v>0</v>
      </c>
      <c r="H483" s="74">
        <f t="array" ref="H483">if($B483=H$4, if($C143=true,index($G$131:$Z$131,,$B483)*(1-'Get Started'!$D$26),index($G$131:$Z$131,,$B483)),0)</f>
        <v>0</v>
      </c>
      <c r="I483" s="74">
        <f t="array" ref="I483">if($B483=I$4, if($C143=true,index($G$131:$Z$131,,$B483)*(1-'Get Started'!$D$26),index($G$131:$Z$131,,$B483)),0)</f>
        <v>0</v>
      </c>
      <c r="J483" s="74">
        <f t="array" ref="J483">if($B483=J$4, if($C143=true,index($G$131:$Z$131,,$B483)*(1-'Get Started'!$D$26),index($G$131:$Z$131,,$B483)),0)</f>
        <v>0</v>
      </c>
      <c r="K483" s="74">
        <f t="array" ref="K483">if($B483=K$4, if($C143=true,index($G$131:$Z$131,,$B483)*(1-'Get Started'!$D$26),index($G$131:$Z$131,,$B483)),0)</f>
        <v>0</v>
      </c>
      <c r="L483" s="74">
        <f t="array" ref="L483">if($B483=L$4, if($C143=true,index($G$131:$Z$131,,$B483)*(1-'Get Started'!$D$26),index($G$131:$Z$131,,$B483)),0)</f>
        <v>0</v>
      </c>
      <c r="M483" s="74">
        <f t="array" ref="M483">if($B483=M$4, if($C143=true,index($G$131:$Z$131,,$B483)*(1-'Get Started'!$D$26),index($G$131:$Z$131,,$B483)),0)</f>
        <v>0</v>
      </c>
      <c r="N483" s="74">
        <f t="array" ref="N483">if($B483=N$4, if($C143=true,index($G$131:$Z$131,,$B483)*(1-'Get Started'!$D$26),index($G$131:$Z$131,,$B483)),0)</f>
        <v>0</v>
      </c>
      <c r="O483" s="74">
        <f t="array" ref="O483">if($B483=O$4, if($C143=true,index($G$131:$Z$131,,$B483)*(1-'Get Started'!$D$26),index($G$131:$Z$131,,$B483)),0)</f>
        <v>0</v>
      </c>
      <c r="P483" s="74">
        <f t="array" ref="P483">if($B483=P$4, if($C143=true,index($G$131:$Z$131,,$B483)*(1-'Get Started'!$D$26),index($G$131:$Z$131,,$B483)),0)</f>
        <v>0</v>
      </c>
      <c r="Q483" s="74">
        <f t="array" ref="Q483">if($B483=Q$4, if($C143=true,index($G$131:$Z$131,,$B483)*(1-'Get Started'!$D$26),index($G$131:$Z$131,,$B483)),0)</f>
        <v>0</v>
      </c>
      <c r="R483" s="74">
        <f t="array" ref="R483">if($B483=R$4, if($C143=true,index($G$131:$Z$131,,$B483)*(1-'Get Started'!$D$26),index($G$131:$Z$131,,$B483)),0)</f>
        <v>0</v>
      </c>
      <c r="S483" s="74">
        <f t="array" ref="S483">if($B483=S$4, if($C143=true,index($G$131:$Z$131,,$B483)*(1-'Get Started'!$D$26),index($G$131:$Z$131,,$B483)),0)</f>
        <v>0</v>
      </c>
      <c r="T483" s="74">
        <f t="array" ref="T483">if($B483=T$4, if($C143=true,index($G$131:$Z$131,,$B483)*(1-'Get Started'!$D$26),index($G$131:$Z$131,,$B483)),0)</f>
        <v>0</v>
      </c>
      <c r="U483" s="74">
        <f t="array" ref="U483">if($B483=U$4, if($C143=true,index($G$131:$Z$131,,$B483)*(1-'Get Started'!$D$26),index($G$131:$Z$131,,$B483)),0)</f>
        <v>0</v>
      </c>
      <c r="V483" s="74">
        <f t="array" ref="V483">if($B483=V$4, if($C143=true,index($G$131:$Z$131,,$B483)*(1-'Get Started'!$D$26),index($G$131:$Z$131,,$B483)),0)</f>
        <v>0</v>
      </c>
      <c r="W483" s="74">
        <f t="array" ref="W483">if($B483=W$4, if($C143=true,index($G$131:$Z$131,,$B483)*(1-'Get Started'!$D$26),index($G$131:$Z$131,,$B483)),0)</f>
        <v>0</v>
      </c>
      <c r="X483" s="74">
        <f t="array" ref="X483">if($B483=X$4, if($C143=true,index($G$131:$Z$131,,$B483)*(1-'Get Started'!$D$26),index($G$131:$Z$131,,$B483)),0)</f>
        <v>0</v>
      </c>
      <c r="Y483" s="74">
        <f t="array" ref="Y483">if($B483=Y$4, if($C143=true,index($G$131:$Z$131,,$B483)*(1-'Get Started'!$D$26),index($G$131:$Z$131,,$B483)),0)</f>
        <v>0</v>
      </c>
      <c r="Z483" s="74">
        <f t="array" ref="Z483">if($B483=Z$4, if($C143=true,index($G$131:$Z$131,,$B483)*(1-'Get Started'!$D$26),index($G$131:$Z$131,,$B483)),0)</f>
        <v>0</v>
      </c>
    </row>
    <row r="484" hidden="1" outlineLevel="1">
      <c r="B484" s="93">
        <f t="shared" si="259"/>
        <v>8</v>
      </c>
      <c r="C484" s="40"/>
      <c r="D484" s="16" t="s">
        <v>161</v>
      </c>
      <c r="E484" s="74">
        <f t="shared" si="108"/>
        <v>0</v>
      </c>
      <c r="F484" s="74"/>
      <c r="G484" s="74">
        <f t="array" ref="G484">if($B484=G$4, if($C144=true,index($G$131:$Z$131,,$B484)*(1-'Get Started'!$D$26),index($G$131:$Z$131,,$B484)),0)</f>
        <v>0</v>
      </c>
      <c r="H484" s="74">
        <f t="array" ref="H484">if($B484=H$4, if($C144=true,index($G$131:$Z$131,,$B484)*(1-'Get Started'!$D$26),index($G$131:$Z$131,,$B484)),0)</f>
        <v>0</v>
      </c>
      <c r="I484" s="74">
        <f t="array" ref="I484">if($B484=I$4, if($C144=true,index($G$131:$Z$131,,$B484)*(1-'Get Started'!$D$26),index($G$131:$Z$131,,$B484)),0)</f>
        <v>0</v>
      </c>
      <c r="J484" s="74">
        <f t="array" ref="J484">if($B484=J$4, if($C144=true,index($G$131:$Z$131,,$B484)*(1-'Get Started'!$D$26),index($G$131:$Z$131,,$B484)),0)</f>
        <v>0</v>
      </c>
      <c r="K484" s="74">
        <f t="array" ref="K484">if($B484=K$4, if($C144=true,index($G$131:$Z$131,,$B484)*(1-'Get Started'!$D$26),index($G$131:$Z$131,,$B484)),0)</f>
        <v>0</v>
      </c>
      <c r="L484" s="74">
        <f t="array" ref="L484">if($B484=L$4, if($C144=true,index($G$131:$Z$131,,$B484)*(1-'Get Started'!$D$26),index($G$131:$Z$131,,$B484)),0)</f>
        <v>0</v>
      </c>
      <c r="M484" s="74">
        <f t="array" ref="M484">if($B484=M$4, if($C144=true,index($G$131:$Z$131,,$B484)*(1-'Get Started'!$D$26),index($G$131:$Z$131,,$B484)),0)</f>
        <v>0</v>
      </c>
      <c r="N484" s="74">
        <f t="array" ref="N484">if($B484=N$4, if($C144=true,index($G$131:$Z$131,,$B484)*(1-'Get Started'!$D$26),index($G$131:$Z$131,,$B484)),0)</f>
        <v>0</v>
      </c>
      <c r="O484" s="74">
        <f t="array" ref="O484">if($B484=O$4, if($C144=true,index($G$131:$Z$131,,$B484)*(1-'Get Started'!$D$26),index($G$131:$Z$131,,$B484)),0)</f>
        <v>0</v>
      </c>
      <c r="P484" s="74">
        <f t="array" ref="P484">if($B484=P$4, if($C144=true,index($G$131:$Z$131,,$B484)*(1-'Get Started'!$D$26),index($G$131:$Z$131,,$B484)),0)</f>
        <v>0</v>
      </c>
      <c r="Q484" s="74">
        <f t="array" ref="Q484">if($B484=Q$4, if($C144=true,index($G$131:$Z$131,,$B484)*(1-'Get Started'!$D$26),index($G$131:$Z$131,,$B484)),0)</f>
        <v>0</v>
      </c>
      <c r="R484" s="74">
        <f t="array" ref="R484">if($B484=R$4, if($C144=true,index($G$131:$Z$131,,$B484)*(1-'Get Started'!$D$26),index($G$131:$Z$131,,$B484)),0)</f>
        <v>0</v>
      </c>
      <c r="S484" s="74">
        <f t="array" ref="S484">if($B484=S$4, if($C144=true,index($G$131:$Z$131,,$B484)*(1-'Get Started'!$D$26),index($G$131:$Z$131,,$B484)),0)</f>
        <v>0</v>
      </c>
      <c r="T484" s="74">
        <f t="array" ref="T484">if($B484=T$4, if($C144=true,index($G$131:$Z$131,,$B484)*(1-'Get Started'!$D$26),index($G$131:$Z$131,,$B484)),0)</f>
        <v>0</v>
      </c>
      <c r="U484" s="74">
        <f t="array" ref="U484">if($B484=U$4, if($C144=true,index($G$131:$Z$131,,$B484)*(1-'Get Started'!$D$26),index($G$131:$Z$131,,$B484)),0)</f>
        <v>0</v>
      </c>
      <c r="V484" s="74">
        <f t="array" ref="V484">if($B484=V$4, if($C144=true,index($G$131:$Z$131,,$B484)*(1-'Get Started'!$D$26),index($G$131:$Z$131,,$B484)),0)</f>
        <v>0</v>
      </c>
      <c r="W484" s="74">
        <f t="array" ref="W484">if($B484=W$4, if($C144=true,index($G$131:$Z$131,,$B484)*(1-'Get Started'!$D$26),index($G$131:$Z$131,,$B484)),0)</f>
        <v>0</v>
      </c>
      <c r="X484" s="74">
        <f t="array" ref="X484">if($B484=X$4, if($C144=true,index($G$131:$Z$131,,$B484)*(1-'Get Started'!$D$26),index($G$131:$Z$131,,$B484)),0)</f>
        <v>0</v>
      </c>
      <c r="Y484" s="74">
        <f t="array" ref="Y484">if($B484=Y$4, if($C144=true,index($G$131:$Z$131,,$B484)*(1-'Get Started'!$D$26),index($G$131:$Z$131,,$B484)),0)</f>
        <v>0</v>
      </c>
      <c r="Z484" s="74">
        <f t="array" ref="Z484">if($B484=Z$4, if($C144=true,index($G$131:$Z$131,,$B484)*(1-'Get Started'!$D$26),index($G$131:$Z$131,,$B484)),0)</f>
        <v>0</v>
      </c>
    </row>
    <row r="485" hidden="1" outlineLevel="1">
      <c r="B485" s="93">
        <f t="shared" si="259"/>
        <v>9</v>
      </c>
      <c r="C485" s="40"/>
      <c r="D485" s="16" t="s">
        <v>161</v>
      </c>
      <c r="E485" s="74">
        <f t="shared" si="108"/>
        <v>0</v>
      </c>
      <c r="F485" s="74"/>
      <c r="G485" s="74">
        <f t="array" ref="G485">if($B485=G$4, if($C145=true,index($G$131:$Z$131,,$B485)*(1-'Get Started'!$D$26),index($G$131:$Z$131,,$B485)),0)</f>
        <v>0</v>
      </c>
      <c r="H485" s="74">
        <f t="array" ref="H485">if($B485=H$4, if($C145=true,index($G$131:$Z$131,,$B485)*(1-'Get Started'!$D$26),index($G$131:$Z$131,,$B485)),0)</f>
        <v>0</v>
      </c>
      <c r="I485" s="74">
        <f t="array" ref="I485">if($B485=I$4, if($C145=true,index($G$131:$Z$131,,$B485)*(1-'Get Started'!$D$26),index($G$131:$Z$131,,$B485)),0)</f>
        <v>0</v>
      </c>
      <c r="J485" s="74">
        <f t="array" ref="J485">if($B485=J$4, if($C145=true,index($G$131:$Z$131,,$B485)*(1-'Get Started'!$D$26),index($G$131:$Z$131,,$B485)),0)</f>
        <v>0</v>
      </c>
      <c r="K485" s="74">
        <f t="array" ref="K485">if($B485=K$4, if($C145=true,index($G$131:$Z$131,,$B485)*(1-'Get Started'!$D$26),index($G$131:$Z$131,,$B485)),0)</f>
        <v>0</v>
      </c>
      <c r="L485" s="74">
        <f t="array" ref="L485">if($B485=L$4, if($C145=true,index($G$131:$Z$131,,$B485)*(1-'Get Started'!$D$26),index($G$131:$Z$131,,$B485)),0)</f>
        <v>0</v>
      </c>
      <c r="M485" s="74">
        <f t="array" ref="M485">if($B485=M$4, if($C145=true,index($G$131:$Z$131,,$B485)*(1-'Get Started'!$D$26),index($G$131:$Z$131,,$B485)),0)</f>
        <v>0</v>
      </c>
      <c r="N485" s="74">
        <f t="array" ref="N485">if($B485=N$4, if($C145=true,index($G$131:$Z$131,,$B485)*(1-'Get Started'!$D$26),index($G$131:$Z$131,,$B485)),0)</f>
        <v>0</v>
      </c>
      <c r="O485" s="74">
        <f t="array" ref="O485">if($B485=O$4, if($C145=true,index($G$131:$Z$131,,$B485)*(1-'Get Started'!$D$26),index($G$131:$Z$131,,$B485)),0)</f>
        <v>0</v>
      </c>
      <c r="P485" s="74">
        <f t="array" ref="P485">if($B485=P$4, if($C145=true,index($G$131:$Z$131,,$B485)*(1-'Get Started'!$D$26),index($G$131:$Z$131,,$B485)),0)</f>
        <v>0</v>
      </c>
      <c r="Q485" s="74">
        <f t="array" ref="Q485">if($B485=Q$4, if($C145=true,index($G$131:$Z$131,,$B485)*(1-'Get Started'!$D$26),index($G$131:$Z$131,,$B485)),0)</f>
        <v>0</v>
      </c>
      <c r="R485" s="74">
        <f t="array" ref="R485">if($B485=R$4, if($C145=true,index($G$131:$Z$131,,$B485)*(1-'Get Started'!$D$26),index($G$131:$Z$131,,$B485)),0)</f>
        <v>0</v>
      </c>
      <c r="S485" s="74">
        <f t="array" ref="S485">if($B485=S$4, if($C145=true,index($G$131:$Z$131,,$B485)*(1-'Get Started'!$D$26),index($G$131:$Z$131,,$B485)),0)</f>
        <v>0</v>
      </c>
      <c r="T485" s="74">
        <f t="array" ref="T485">if($B485=T$4, if($C145=true,index($G$131:$Z$131,,$B485)*(1-'Get Started'!$D$26),index($G$131:$Z$131,,$B485)),0)</f>
        <v>0</v>
      </c>
      <c r="U485" s="74">
        <f t="array" ref="U485">if($B485=U$4, if($C145=true,index($G$131:$Z$131,,$B485)*(1-'Get Started'!$D$26),index($G$131:$Z$131,,$B485)),0)</f>
        <v>0</v>
      </c>
      <c r="V485" s="74">
        <f t="array" ref="V485">if($B485=V$4, if($C145=true,index($G$131:$Z$131,,$B485)*(1-'Get Started'!$D$26),index($G$131:$Z$131,,$B485)),0)</f>
        <v>0</v>
      </c>
      <c r="W485" s="74">
        <f t="array" ref="W485">if($B485=W$4, if($C145=true,index($G$131:$Z$131,,$B485)*(1-'Get Started'!$D$26),index($G$131:$Z$131,,$B485)),0)</f>
        <v>0</v>
      </c>
      <c r="X485" s="74">
        <f t="array" ref="X485">if($B485=X$4, if($C145=true,index($G$131:$Z$131,,$B485)*(1-'Get Started'!$D$26),index($G$131:$Z$131,,$B485)),0)</f>
        <v>0</v>
      </c>
      <c r="Y485" s="74">
        <f t="array" ref="Y485">if($B485=Y$4, if($C145=true,index($G$131:$Z$131,,$B485)*(1-'Get Started'!$D$26),index($G$131:$Z$131,,$B485)),0)</f>
        <v>0</v>
      </c>
      <c r="Z485" s="74">
        <f t="array" ref="Z485">if($B485=Z$4, if($C145=true,index($G$131:$Z$131,,$B485)*(1-'Get Started'!$D$26),index($G$131:$Z$131,,$B485)),0)</f>
        <v>0</v>
      </c>
    </row>
    <row r="486" hidden="1" outlineLevel="1">
      <c r="B486" s="93">
        <f t="shared" si="259"/>
        <v>10</v>
      </c>
      <c r="C486" s="40"/>
      <c r="D486" s="16" t="s">
        <v>161</v>
      </c>
      <c r="E486" s="74">
        <f t="shared" si="108"/>
        <v>0</v>
      </c>
      <c r="F486" s="74"/>
      <c r="G486" s="74">
        <f t="array" ref="G486">if($B486=G$4, if($C146=true,index($G$131:$Z$131,,$B486)*(1-'Get Started'!$D$26),index($G$131:$Z$131,,$B486)),0)</f>
        <v>0</v>
      </c>
      <c r="H486" s="74">
        <f t="array" ref="H486">if($B486=H$4, if($C146=true,index($G$131:$Z$131,,$B486)*(1-'Get Started'!$D$26),index($G$131:$Z$131,,$B486)),0)</f>
        <v>0</v>
      </c>
      <c r="I486" s="74">
        <f t="array" ref="I486">if($B486=I$4, if($C146=true,index($G$131:$Z$131,,$B486)*(1-'Get Started'!$D$26),index($G$131:$Z$131,,$B486)),0)</f>
        <v>0</v>
      </c>
      <c r="J486" s="74">
        <f t="array" ref="J486">if($B486=J$4, if($C146=true,index($G$131:$Z$131,,$B486)*(1-'Get Started'!$D$26),index($G$131:$Z$131,,$B486)),0)</f>
        <v>0</v>
      </c>
      <c r="K486" s="74">
        <f t="array" ref="K486">if($B486=K$4, if($C146=true,index($G$131:$Z$131,,$B486)*(1-'Get Started'!$D$26),index($G$131:$Z$131,,$B486)),0)</f>
        <v>0</v>
      </c>
      <c r="L486" s="74">
        <f t="array" ref="L486">if($B486=L$4, if($C146=true,index($G$131:$Z$131,,$B486)*(1-'Get Started'!$D$26),index($G$131:$Z$131,,$B486)),0)</f>
        <v>0</v>
      </c>
      <c r="M486" s="74">
        <f t="array" ref="M486">if($B486=M$4, if($C146=true,index($G$131:$Z$131,,$B486)*(1-'Get Started'!$D$26),index($G$131:$Z$131,,$B486)),0)</f>
        <v>0</v>
      </c>
      <c r="N486" s="74">
        <f t="array" ref="N486">if($B486=N$4, if($C146=true,index($G$131:$Z$131,,$B486)*(1-'Get Started'!$D$26),index($G$131:$Z$131,,$B486)),0)</f>
        <v>0</v>
      </c>
      <c r="O486" s="74">
        <f t="array" ref="O486">if($B486=O$4, if($C146=true,index($G$131:$Z$131,,$B486)*(1-'Get Started'!$D$26),index($G$131:$Z$131,,$B486)),0)</f>
        <v>0</v>
      </c>
      <c r="P486" s="74">
        <f t="array" ref="P486">if($B486=P$4, if($C146=true,index($G$131:$Z$131,,$B486)*(1-'Get Started'!$D$26),index($G$131:$Z$131,,$B486)),0)</f>
        <v>0</v>
      </c>
      <c r="Q486" s="74">
        <f t="array" ref="Q486">if($B486=Q$4, if($C146=true,index($G$131:$Z$131,,$B486)*(1-'Get Started'!$D$26),index($G$131:$Z$131,,$B486)),0)</f>
        <v>0</v>
      </c>
      <c r="R486" s="74">
        <f t="array" ref="R486">if($B486=R$4, if($C146=true,index($G$131:$Z$131,,$B486)*(1-'Get Started'!$D$26),index($G$131:$Z$131,,$B486)),0)</f>
        <v>0</v>
      </c>
      <c r="S486" s="74">
        <f t="array" ref="S486">if($B486=S$4, if($C146=true,index($G$131:$Z$131,,$B486)*(1-'Get Started'!$D$26),index($G$131:$Z$131,,$B486)),0)</f>
        <v>0</v>
      </c>
      <c r="T486" s="74">
        <f t="array" ref="T486">if($B486=T$4, if($C146=true,index($G$131:$Z$131,,$B486)*(1-'Get Started'!$D$26),index($G$131:$Z$131,,$B486)),0)</f>
        <v>0</v>
      </c>
      <c r="U486" s="74">
        <f t="array" ref="U486">if($B486=U$4, if($C146=true,index($G$131:$Z$131,,$B486)*(1-'Get Started'!$D$26),index($G$131:$Z$131,,$B486)),0)</f>
        <v>0</v>
      </c>
      <c r="V486" s="74">
        <f t="array" ref="V486">if($B486=V$4, if($C146=true,index($G$131:$Z$131,,$B486)*(1-'Get Started'!$D$26),index($G$131:$Z$131,,$B486)),0)</f>
        <v>0</v>
      </c>
      <c r="W486" s="74">
        <f t="array" ref="W486">if($B486=W$4, if($C146=true,index($G$131:$Z$131,,$B486)*(1-'Get Started'!$D$26),index($G$131:$Z$131,,$B486)),0)</f>
        <v>0</v>
      </c>
      <c r="X486" s="74">
        <f t="array" ref="X486">if($B486=X$4, if($C146=true,index($G$131:$Z$131,,$B486)*(1-'Get Started'!$D$26),index($G$131:$Z$131,,$B486)),0)</f>
        <v>0</v>
      </c>
      <c r="Y486" s="74">
        <f t="array" ref="Y486">if($B486=Y$4, if($C146=true,index($G$131:$Z$131,,$B486)*(1-'Get Started'!$D$26),index($G$131:$Z$131,,$B486)),0)</f>
        <v>0</v>
      </c>
      <c r="Z486" s="74">
        <f t="array" ref="Z486">if($B486=Z$4, if($C146=true,index($G$131:$Z$131,,$B486)*(1-'Get Started'!$D$26),index($G$131:$Z$131,,$B486)),0)</f>
        <v>0</v>
      </c>
    </row>
    <row r="487" hidden="1" outlineLevel="1">
      <c r="B487" s="93">
        <f t="shared" si="259"/>
        <v>11</v>
      </c>
      <c r="C487" s="40"/>
      <c r="D487" s="16" t="s">
        <v>161</v>
      </c>
      <c r="E487" s="74">
        <f t="shared" si="108"/>
        <v>0</v>
      </c>
      <c r="F487" s="74"/>
      <c r="G487" s="74">
        <f t="array" ref="G487">if($B487=G$4, if($C147=true,index($G$131:$Z$131,,$B487)*(1-'Get Started'!$D$26),index($G$131:$Z$131,,$B487)),0)</f>
        <v>0</v>
      </c>
      <c r="H487" s="74">
        <f t="array" ref="H487">if($B487=H$4, if($C147=true,index($G$131:$Z$131,,$B487)*(1-'Get Started'!$D$26),index($G$131:$Z$131,,$B487)),0)</f>
        <v>0</v>
      </c>
      <c r="I487" s="74">
        <f t="array" ref="I487">if($B487=I$4, if($C147=true,index($G$131:$Z$131,,$B487)*(1-'Get Started'!$D$26),index($G$131:$Z$131,,$B487)),0)</f>
        <v>0</v>
      </c>
      <c r="J487" s="74">
        <f t="array" ref="J487">if($B487=J$4, if($C147=true,index($G$131:$Z$131,,$B487)*(1-'Get Started'!$D$26),index($G$131:$Z$131,,$B487)),0)</f>
        <v>0</v>
      </c>
      <c r="K487" s="74">
        <f t="array" ref="K487">if($B487=K$4, if($C147=true,index($G$131:$Z$131,,$B487)*(1-'Get Started'!$D$26),index($G$131:$Z$131,,$B487)),0)</f>
        <v>0</v>
      </c>
      <c r="L487" s="74">
        <f t="array" ref="L487">if($B487=L$4, if($C147=true,index($G$131:$Z$131,,$B487)*(1-'Get Started'!$D$26),index($G$131:$Z$131,,$B487)),0)</f>
        <v>0</v>
      </c>
      <c r="M487" s="74">
        <f t="array" ref="M487">if($B487=M$4, if($C147=true,index($G$131:$Z$131,,$B487)*(1-'Get Started'!$D$26),index($G$131:$Z$131,,$B487)),0)</f>
        <v>0</v>
      </c>
      <c r="N487" s="74">
        <f t="array" ref="N487">if($B487=N$4, if($C147=true,index($G$131:$Z$131,,$B487)*(1-'Get Started'!$D$26),index($G$131:$Z$131,,$B487)),0)</f>
        <v>0</v>
      </c>
      <c r="O487" s="74">
        <f t="array" ref="O487">if($B487=O$4, if($C147=true,index($G$131:$Z$131,,$B487)*(1-'Get Started'!$D$26),index($G$131:$Z$131,,$B487)),0)</f>
        <v>0</v>
      </c>
      <c r="P487" s="74">
        <f t="array" ref="P487">if($B487=P$4, if($C147=true,index($G$131:$Z$131,,$B487)*(1-'Get Started'!$D$26),index($G$131:$Z$131,,$B487)),0)</f>
        <v>0</v>
      </c>
      <c r="Q487" s="74">
        <f t="array" ref="Q487">if($B487=Q$4, if($C147=true,index($G$131:$Z$131,,$B487)*(1-'Get Started'!$D$26),index($G$131:$Z$131,,$B487)),0)</f>
        <v>0</v>
      </c>
      <c r="R487" s="74">
        <f t="array" ref="R487">if($B487=R$4, if($C147=true,index($G$131:$Z$131,,$B487)*(1-'Get Started'!$D$26),index($G$131:$Z$131,,$B487)),0)</f>
        <v>0</v>
      </c>
      <c r="S487" s="74">
        <f t="array" ref="S487">if($B487=S$4, if($C147=true,index($G$131:$Z$131,,$B487)*(1-'Get Started'!$D$26),index($G$131:$Z$131,,$B487)),0)</f>
        <v>0</v>
      </c>
      <c r="T487" s="74">
        <f t="array" ref="T487">if($B487=T$4, if($C147=true,index($G$131:$Z$131,,$B487)*(1-'Get Started'!$D$26),index($G$131:$Z$131,,$B487)),0)</f>
        <v>0</v>
      </c>
      <c r="U487" s="74">
        <f t="array" ref="U487">if($B487=U$4, if($C147=true,index($G$131:$Z$131,,$B487)*(1-'Get Started'!$D$26),index($G$131:$Z$131,,$B487)),0)</f>
        <v>0</v>
      </c>
      <c r="V487" s="74">
        <f t="array" ref="V487">if($B487=V$4, if($C147=true,index($G$131:$Z$131,,$B487)*(1-'Get Started'!$D$26),index($G$131:$Z$131,,$B487)),0)</f>
        <v>0</v>
      </c>
      <c r="W487" s="74">
        <f t="array" ref="W487">if($B487=W$4, if($C147=true,index($G$131:$Z$131,,$B487)*(1-'Get Started'!$D$26),index($G$131:$Z$131,,$B487)),0)</f>
        <v>0</v>
      </c>
      <c r="X487" s="74">
        <f t="array" ref="X487">if($B487=X$4, if($C147=true,index($G$131:$Z$131,,$B487)*(1-'Get Started'!$D$26),index($G$131:$Z$131,,$B487)),0)</f>
        <v>0</v>
      </c>
      <c r="Y487" s="74">
        <f t="array" ref="Y487">if($B487=Y$4, if($C147=true,index($G$131:$Z$131,,$B487)*(1-'Get Started'!$D$26),index($G$131:$Z$131,,$B487)),0)</f>
        <v>0</v>
      </c>
      <c r="Z487" s="74">
        <f t="array" ref="Z487">if($B487=Z$4, if($C147=true,index($G$131:$Z$131,,$B487)*(1-'Get Started'!$D$26),index($G$131:$Z$131,,$B487)),0)</f>
        <v>0</v>
      </c>
    </row>
    <row r="488" hidden="1" outlineLevel="1">
      <c r="B488" s="93">
        <f t="shared" si="259"/>
        <v>12</v>
      </c>
      <c r="C488" s="40"/>
      <c r="D488" s="16" t="s">
        <v>161</v>
      </c>
      <c r="E488" s="74">
        <f t="shared" si="108"/>
        <v>0</v>
      </c>
      <c r="F488" s="74"/>
      <c r="G488" s="74">
        <f t="array" ref="G488">if($B488=G$4, if($C148=true,index($G$131:$Z$131,,$B488)*(1-'Get Started'!$D$26),index($G$131:$Z$131,,$B488)),0)</f>
        <v>0</v>
      </c>
      <c r="H488" s="74">
        <f t="array" ref="H488">if($B488=H$4, if($C148=true,index($G$131:$Z$131,,$B488)*(1-'Get Started'!$D$26),index($G$131:$Z$131,,$B488)),0)</f>
        <v>0</v>
      </c>
      <c r="I488" s="74">
        <f t="array" ref="I488">if($B488=I$4, if($C148=true,index($G$131:$Z$131,,$B488)*(1-'Get Started'!$D$26),index($G$131:$Z$131,,$B488)),0)</f>
        <v>0</v>
      </c>
      <c r="J488" s="74">
        <f t="array" ref="J488">if($B488=J$4, if($C148=true,index($G$131:$Z$131,,$B488)*(1-'Get Started'!$D$26),index($G$131:$Z$131,,$B488)),0)</f>
        <v>0</v>
      </c>
      <c r="K488" s="74">
        <f t="array" ref="K488">if($B488=K$4, if($C148=true,index($G$131:$Z$131,,$B488)*(1-'Get Started'!$D$26),index($G$131:$Z$131,,$B488)),0)</f>
        <v>0</v>
      </c>
      <c r="L488" s="74">
        <f t="array" ref="L488">if($B488=L$4, if($C148=true,index($G$131:$Z$131,,$B488)*(1-'Get Started'!$D$26),index($G$131:$Z$131,,$B488)),0)</f>
        <v>0</v>
      </c>
      <c r="M488" s="74">
        <f t="array" ref="M488">if($B488=M$4, if($C148=true,index($G$131:$Z$131,,$B488)*(1-'Get Started'!$D$26),index($G$131:$Z$131,,$B488)),0)</f>
        <v>0</v>
      </c>
      <c r="N488" s="74">
        <f t="array" ref="N488">if($B488=N$4, if($C148=true,index($G$131:$Z$131,,$B488)*(1-'Get Started'!$D$26),index($G$131:$Z$131,,$B488)),0)</f>
        <v>0</v>
      </c>
      <c r="O488" s="74">
        <f t="array" ref="O488">if($B488=O$4, if($C148=true,index($G$131:$Z$131,,$B488)*(1-'Get Started'!$D$26),index($G$131:$Z$131,,$B488)),0)</f>
        <v>0</v>
      </c>
      <c r="P488" s="74">
        <f t="array" ref="P488">if($B488=P$4, if($C148=true,index($G$131:$Z$131,,$B488)*(1-'Get Started'!$D$26),index($G$131:$Z$131,,$B488)),0)</f>
        <v>0</v>
      </c>
      <c r="Q488" s="74">
        <f t="array" ref="Q488">if($B488=Q$4, if($C148=true,index($G$131:$Z$131,,$B488)*(1-'Get Started'!$D$26),index($G$131:$Z$131,,$B488)),0)</f>
        <v>0</v>
      </c>
      <c r="R488" s="74">
        <f t="array" ref="R488">if($B488=R$4, if($C148=true,index($G$131:$Z$131,,$B488)*(1-'Get Started'!$D$26),index($G$131:$Z$131,,$B488)),0)</f>
        <v>0</v>
      </c>
      <c r="S488" s="74">
        <f t="array" ref="S488">if($B488=S$4, if($C148=true,index($G$131:$Z$131,,$B488)*(1-'Get Started'!$D$26),index($G$131:$Z$131,,$B488)),0)</f>
        <v>0</v>
      </c>
      <c r="T488" s="74">
        <f t="array" ref="T488">if($B488=T$4, if($C148=true,index($G$131:$Z$131,,$B488)*(1-'Get Started'!$D$26),index($G$131:$Z$131,,$B488)),0)</f>
        <v>0</v>
      </c>
      <c r="U488" s="74">
        <f t="array" ref="U488">if($B488=U$4, if($C148=true,index($G$131:$Z$131,,$B488)*(1-'Get Started'!$D$26),index($G$131:$Z$131,,$B488)),0)</f>
        <v>0</v>
      </c>
      <c r="V488" s="74">
        <f t="array" ref="V488">if($B488=V$4, if($C148=true,index($G$131:$Z$131,,$B488)*(1-'Get Started'!$D$26),index($G$131:$Z$131,,$B488)),0)</f>
        <v>0</v>
      </c>
      <c r="W488" s="74">
        <f t="array" ref="W488">if($B488=W$4, if($C148=true,index($G$131:$Z$131,,$B488)*(1-'Get Started'!$D$26),index($G$131:$Z$131,,$B488)),0)</f>
        <v>0</v>
      </c>
      <c r="X488" s="74">
        <f t="array" ref="X488">if($B488=X$4, if($C148=true,index($G$131:$Z$131,,$B488)*(1-'Get Started'!$D$26),index($G$131:$Z$131,,$B488)),0)</f>
        <v>0</v>
      </c>
      <c r="Y488" s="74">
        <f t="array" ref="Y488">if($B488=Y$4, if($C148=true,index($G$131:$Z$131,,$B488)*(1-'Get Started'!$D$26),index($G$131:$Z$131,,$B488)),0)</f>
        <v>0</v>
      </c>
      <c r="Z488" s="74">
        <f t="array" ref="Z488">if($B488=Z$4, if($C148=true,index($G$131:$Z$131,,$B488)*(1-'Get Started'!$D$26),index($G$131:$Z$131,,$B488)),0)</f>
        <v>0</v>
      </c>
    </row>
    <row r="489" hidden="1" outlineLevel="1">
      <c r="B489" s="93">
        <f t="shared" si="259"/>
        <v>13</v>
      </c>
      <c r="C489" s="40"/>
      <c r="D489" s="16" t="s">
        <v>161</v>
      </c>
      <c r="E489" s="74">
        <f t="shared" si="108"/>
        <v>0</v>
      </c>
      <c r="F489" s="74"/>
      <c r="G489" s="74">
        <f t="array" ref="G489">if($B489=G$4, if($C149=true,index($G$131:$Z$131,,$B489)*(1-'Get Started'!$D$26),index($G$131:$Z$131,,$B489)),0)</f>
        <v>0</v>
      </c>
      <c r="H489" s="74">
        <f t="array" ref="H489">if($B489=H$4, if($C149=true,index($G$131:$Z$131,,$B489)*(1-'Get Started'!$D$26),index($G$131:$Z$131,,$B489)),0)</f>
        <v>0</v>
      </c>
      <c r="I489" s="74">
        <f t="array" ref="I489">if($B489=I$4, if($C149=true,index($G$131:$Z$131,,$B489)*(1-'Get Started'!$D$26),index($G$131:$Z$131,,$B489)),0)</f>
        <v>0</v>
      </c>
      <c r="J489" s="74">
        <f t="array" ref="J489">if($B489=J$4, if($C149=true,index($G$131:$Z$131,,$B489)*(1-'Get Started'!$D$26),index($G$131:$Z$131,,$B489)),0)</f>
        <v>0</v>
      </c>
      <c r="K489" s="74">
        <f t="array" ref="K489">if($B489=K$4, if($C149=true,index($G$131:$Z$131,,$B489)*(1-'Get Started'!$D$26),index($G$131:$Z$131,,$B489)),0)</f>
        <v>0</v>
      </c>
      <c r="L489" s="74">
        <f t="array" ref="L489">if($B489=L$4, if($C149=true,index($G$131:$Z$131,,$B489)*(1-'Get Started'!$D$26),index($G$131:$Z$131,,$B489)),0)</f>
        <v>0</v>
      </c>
      <c r="M489" s="74">
        <f t="array" ref="M489">if($B489=M$4, if($C149=true,index($G$131:$Z$131,,$B489)*(1-'Get Started'!$D$26),index($G$131:$Z$131,,$B489)),0)</f>
        <v>0</v>
      </c>
      <c r="N489" s="74">
        <f t="array" ref="N489">if($B489=N$4, if($C149=true,index($G$131:$Z$131,,$B489)*(1-'Get Started'!$D$26),index($G$131:$Z$131,,$B489)),0)</f>
        <v>0</v>
      </c>
      <c r="O489" s="74">
        <f t="array" ref="O489">if($B489=O$4, if($C149=true,index($G$131:$Z$131,,$B489)*(1-'Get Started'!$D$26),index($G$131:$Z$131,,$B489)),0)</f>
        <v>0</v>
      </c>
      <c r="P489" s="74">
        <f t="array" ref="P489">if($B489=P$4, if($C149=true,index($G$131:$Z$131,,$B489)*(1-'Get Started'!$D$26),index($G$131:$Z$131,,$B489)),0)</f>
        <v>0</v>
      </c>
      <c r="Q489" s="74">
        <f t="array" ref="Q489">if($B489=Q$4, if($C149=true,index($G$131:$Z$131,,$B489)*(1-'Get Started'!$D$26),index($G$131:$Z$131,,$B489)),0)</f>
        <v>0</v>
      </c>
      <c r="R489" s="74">
        <f t="array" ref="R489">if($B489=R$4, if($C149=true,index($G$131:$Z$131,,$B489)*(1-'Get Started'!$D$26),index($G$131:$Z$131,,$B489)),0)</f>
        <v>0</v>
      </c>
      <c r="S489" s="74">
        <f t="array" ref="S489">if($B489=S$4, if($C149=true,index($G$131:$Z$131,,$B489)*(1-'Get Started'!$D$26),index($G$131:$Z$131,,$B489)),0)</f>
        <v>0</v>
      </c>
      <c r="T489" s="74">
        <f t="array" ref="T489">if($B489=T$4, if($C149=true,index($G$131:$Z$131,,$B489)*(1-'Get Started'!$D$26),index($G$131:$Z$131,,$B489)),0)</f>
        <v>0</v>
      </c>
      <c r="U489" s="74">
        <f t="array" ref="U489">if($B489=U$4, if($C149=true,index($G$131:$Z$131,,$B489)*(1-'Get Started'!$D$26),index($G$131:$Z$131,,$B489)),0)</f>
        <v>0</v>
      </c>
      <c r="V489" s="74">
        <f t="array" ref="V489">if($B489=V$4, if($C149=true,index($G$131:$Z$131,,$B489)*(1-'Get Started'!$D$26),index($G$131:$Z$131,,$B489)),0)</f>
        <v>0</v>
      </c>
      <c r="W489" s="74">
        <f t="array" ref="W489">if($B489=W$4, if($C149=true,index($G$131:$Z$131,,$B489)*(1-'Get Started'!$D$26),index($G$131:$Z$131,,$B489)),0)</f>
        <v>0</v>
      </c>
      <c r="X489" s="74">
        <f t="array" ref="X489">if($B489=X$4, if($C149=true,index($G$131:$Z$131,,$B489)*(1-'Get Started'!$D$26),index($G$131:$Z$131,,$B489)),0)</f>
        <v>0</v>
      </c>
      <c r="Y489" s="74">
        <f t="array" ref="Y489">if($B489=Y$4, if($C149=true,index($G$131:$Z$131,,$B489)*(1-'Get Started'!$D$26),index($G$131:$Z$131,,$B489)),0)</f>
        <v>0</v>
      </c>
      <c r="Z489" s="74">
        <f t="array" ref="Z489">if($B489=Z$4, if($C149=true,index($G$131:$Z$131,,$B489)*(1-'Get Started'!$D$26),index($G$131:$Z$131,,$B489)),0)</f>
        <v>0</v>
      </c>
    </row>
    <row r="490" hidden="1" outlineLevel="1">
      <c r="B490" s="93">
        <f t="shared" si="259"/>
        <v>14</v>
      </c>
      <c r="C490" s="40"/>
      <c r="D490" s="16" t="s">
        <v>161</v>
      </c>
      <c r="E490" s="74">
        <f t="shared" si="108"/>
        <v>0</v>
      </c>
      <c r="F490" s="74"/>
      <c r="G490" s="74">
        <f t="array" ref="G490">if($B490=G$4, if($C150=true,index($G$131:$Z$131,,$B490)*(1-'Get Started'!$D$26),index($G$131:$Z$131,,$B490)),0)</f>
        <v>0</v>
      </c>
      <c r="H490" s="74">
        <f t="array" ref="H490">if($B490=H$4, if($C150=true,index($G$131:$Z$131,,$B490)*(1-'Get Started'!$D$26),index($G$131:$Z$131,,$B490)),0)</f>
        <v>0</v>
      </c>
      <c r="I490" s="74">
        <f t="array" ref="I490">if($B490=I$4, if($C150=true,index($G$131:$Z$131,,$B490)*(1-'Get Started'!$D$26),index($G$131:$Z$131,,$B490)),0)</f>
        <v>0</v>
      </c>
      <c r="J490" s="74">
        <f t="array" ref="J490">if($B490=J$4, if($C150=true,index($G$131:$Z$131,,$B490)*(1-'Get Started'!$D$26),index($G$131:$Z$131,,$B490)),0)</f>
        <v>0</v>
      </c>
      <c r="K490" s="74">
        <f t="array" ref="K490">if($B490=K$4, if($C150=true,index($G$131:$Z$131,,$B490)*(1-'Get Started'!$D$26),index($G$131:$Z$131,,$B490)),0)</f>
        <v>0</v>
      </c>
      <c r="L490" s="74">
        <f t="array" ref="L490">if($B490=L$4, if($C150=true,index($G$131:$Z$131,,$B490)*(1-'Get Started'!$D$26),index($G$131:$Z$131,,$B490)),0)</f>
        <v>0</v>
      </c>
      <c r="M490" s="74">
        <f t="array" ref="M490">if($B490=M$4, if($C150=true,index($G$131:$Z$131,,$B490)*(1-'Get Started'!$D$26),index($G$131:$Z$131,,$B490)),0)</f>
        <v>0</v>
      </c>
      <c r="N490" s="74">
        <f t="array" ref="N490">if($B490=N$4, if($C150=true,index($G$131:$Z$131,,$B490)*(1-'Get Started'!$D$26),index($G$131:$Z$131,,$B490)),0)</f>
        <v>0</v>
      </c>
      <c r="O490" s="74">
        <f t="array" ref="O490">if($B490=O$4, if($C150=true,index($G$131:$Z$131,,$B490)*(1-'Get Started'!$D$26),index($G$131:$Z$131,,$B490)),0)</f>
        <v>0</v>
      </c>
      <c r="P490" s="74">
        <f t="array" ref="P490">if($B490=P$4, if($C150=true,index($G$131:$Z$131,,$B490)*(1-'Get Started'!$D$26),index($G$131:$Z$131,,$B490)),0)</f>
        <v>0</v>
      </c>
      <c r="Q490" s="74">
        <f t="array" ref="Q490">if($B490=Q$4, if($C150=true,index($G$131:$Z$131,,$B490)*(1-'Get Started'!$D$26),index($G$131:$Z$131,,$B490)),0)</f>
        <v>0</v>
      </c>
      <c r="R490" s="74">
        <f t="array" ref="R490">if($B490=R$4, if($C150=true,index($G$131:$Z$131,,$B490)*(1-'Get Started'!$D$26),index($G$131:$Z$131,,$B490)),0)</f>
        <v>0</v>
      </c>
      <c r="S490" s="74">
        <f t="array" ref="S490">if($B490=S$4, if($C150=true,index($G$131:$Z$131,,$B490)*(1-'Get Started'!$D$26),index($G$131:$Z$131,,$B490)),0)</f>
        <v>0</v>
      </c>
      <c r="T490" s="74">
        <f t="array" ref="T490">if($B490=T$4, if($C150=true,index($G$131:$Z$131,,$B490)*(1-'Get Started'!$D$26),index($G$131:$Z$131,,$B490)),0)</f>
        <v>0</v>
      </c>
      <c r="U490" s="74">
        <f t="array" ref="U490">if($B490=U$4, if($C150=true,index($G$131:$Z$131,,$B490)*(1-'Get Started'!$D$26),index($G$131:$Z$131,,$B490)),0)</f>
        <v>0</v>
      </c>
      <c r="V490" s="74">
        <f t="array" ref="V490">if($B490=V$4, if($C150=true,index($G$131:$Z$131,,$B490)*(1-'Get Started'!$D$26),index($G$131:$Z$131,,$B490)),0)</f>
        <v>0</v>
      </c>
      <c r="W490" s="74">
        <f t="array" ref="W490">if($B490=W$4, if($C150=true,index($G$131:$Z$131,,$B490)*(1-'Get Started'!$D$26),index($G$131:$Z$131,,$B490)),0)</f>
        <v>0</v>
      </c>
      <c r="X490" s="74">
        <f t="array" ref="X490">if($B490=X$4, if($C150=true,index($G$131:$Z$131,,$B490)*(1-'Get Started'!$D$26),index($G$131:$Z$131,,$B490)),0)</f>
        <v>0</v>
      </c>
      <c r="Y490" s="74">
        <f t="array" ref="Y490">if($B490=Y$4, if($C150=true,index($G$131:$Z$131,,$B490)*(1-'Get Started'!$D$26),index($G$131:$Z$131,,$B490)),0)</f>
        <v>0</v>
      </c>
      <c r="Z490" s="74">
        <f t="array" ref="Z490">if($B490=Z$4, if($C150=true,index($G$131:$Z$131,,$B490)*(1-'Get Started'!$D$26),index($G$131:$Z$131,,$B490)),0)</f>
        <v>0</v>
      </c>
    </row>
    <row r="491" hidden="1" outlineLevel="1">
      <c r="B491" s="93">
        <f t="shared" si="259"/>
        <v>15</v>
      </c>
      <c r="C491" s="40"/>
      <c r="D491" s="16" t="s">
        <v>161</v>
      </c>
      <c r="E491" s="74">
        <f t="shared" si="108"/>
        <v>0</v>
      </c>
      <c r="F491" s="74"/>
      <c r="G491" s="74">
        <f t="array" ref="G491">if($B491=G$4, if($C151=true,index($G$131:$Z$131,,$B491)*(1-'Get Started'!$D$26),index($G$131:$Z$131,,$B491)),0)</f>
        <v>0</v>
      </c>
      <c r="H491" s="74">
        <f t="array" ref="H491">if($B491=H$4, if($C151=true,index($G$131:$Z$131,,$B491)*(1-'Get Started'!$D$26),index($G$131:$Z$131,,$B491)),0)</f>
        <v>0</v>
      </c>
      <c r="I491" s="74">
        <f t="array" ref="I491">if($B491=I$4, if($C151=true,index($G$131:$Z$131,,$B491)*(1-'Get Started'!$D$26),index($G$131:$Z$131,,$B491)),0)</f>
        <v>0</v>
      </c>
      <c r="J491" s="74">
        <f t="array" ref="J491">if($B491=J$4, if($C151=true,index($G$131:$Z$131,,$B491)*(1-'Get Started'!$D$26),index($G$131:$Z$131,,$B491)),0)</f>
        <v>0</v>
      </c>
      <c r="K491" s="74">
        <f t="array" ref="K491">if($B491=K$4, if($C151=true,index($G$131:$Z$131,,$B491)*(1-'Get Started'!$D$26),index($G$131:$Z$131,,$B491)),0)</f>
        <v>0</v>
      </c>
      <c r="L491" s="74">
        <f t="array" ref="L491">if($B491=L$4, if($C151=true,index($G$131:$Z$131,,$B491)*(1-'Get Started'!$D$26),index($G$131:$Z$131,,$B491)),0)</f>
        <v>0</v>
      </c>
      <c r="M491" s="74">
        <f t="array" ref="M491">if($B491=M$4, if($C151=true,index($G$131:$Z$131,,$B491)*(1-'Get Started'!$D$26),index($G$131:$Z$131,,$B491)),0)</f>
        <v>0</v>
      </c>
      <c r="N491" s="74">
        <f t="array" ref="N491">if($B491=N$4, if($C151=true,index($G$131:$Z$131,,$B491)*(1-'Get Started'!$D$26),index($G$131:$Z$131,,$B491)),0)</f>
        <v>0</v>
      </c>
      <c r="O491" s="74">
        <f t="array" ref="O491">if($B491=O$4, if($C151=true,index($G$131:$Z$131,,$B491)*(1-'Get Started'!$D$26),index($G$131:$Z$131,,$B491)),0)</f>
        <v>0</v>
      </c>
      <c r="P491" s="74">
        <f t="array" ref="P491">if($B491=P$4, if($C151=true,index($G$131:$Z$131,,$B491)*(1-'Get Started'!$D$26),index($G$131:$Z$131,,$B491)),0)</f>
        <v>0</v>
      </c>
      <c r="Q491" s="74">
        <f t="array" ref="Q491">if($B491=Q$4, if($C151=true,index($G$131:$Z$131,,$B491)*(1-'Get Started'!$D$26),index($G$131:$Z$131,,$B491)),0)</f>
        <v>0</v>
      </c>
      <c r="R491" s="74">
        <f t="array" ref="R491">if($B491=R$4, if($C151=true,index($G$131:$Z$131,,$B491)*(1-'Get Started'!$D$26),index($G$131:$Z$131,,$B491)),0)</f>
        <v>0</v>
      </c>
      <c r="S491" s="74">
        <f t="array" ref="S491">if($B491=S$4, if($C151=true,index($G$131:$Z$131,,$B491)*(1-'Get Started'!$D$26),index($G$131:$Z$131,,$B491)),0)</f>
        <v>0</v>
      </c>
      <c r="T491" s="74">
        <f t="array" ref="T491">if($B491=T$4, if($C151=true,index($G$131:$Z$131,,$B491)*(1-'Get Started'!$D$26),index($G$131:$Z$131,,$B491)),0)</f>
        <v>0</v>
      </c>
      <c r="U491" s="74">
        <f t="array" ref="U491">if($B491=U$4, if($C151=true,index($G$131:$Z$131,,$B491)*(1-'Get Started'!$D$26),index($G$131:$Z$131,,$B491)),0)</f>
        <v>0</v>
      </c>
      <c r="V491" s="74">
        <f t="array" ref="V491">if($B491=V$4, if($C151=true,index($G$131:$Z$131,,$B491)*(1-'Get Started'!$D$26),index($G$131:$Z$131,,$B491)),0)</f>
        <v>0</v>
      </c>
      <c r="W491" s="74">
        <f t="array" ref="W491">if($B491=W$4, if($C151=true,index($G$131:$Z$131,,$B491)*(1-'Get Started'!$D$26),index($G$131:$Z$131,,$B491)),0)</f>
        <v>0</v>
      </c>
      <c r="X491" s="74">
        <f t="array" ref="X491">if($B491=X$4, if($C151=true,index($G$131:$Z$131,,$B491)*(1-'Get Started'!$D$26),index($G$131:$Z$131,,$B491)),0)</f>
        <v>0</v>
      </c>
      <c r="Y491" s="74">
        <f t="array" ref="Y491">if($B491=Y$4, if($C151=true,index($G$131:$Z$131,,$B491)*(1-'Get Started'!$D$26),index($G$131:$Z$131,,$B491)),0)</f>
        <v>0</v>
      </c>
      <c r="Z491" s="74">
        <f t="array" ref="Z491">if($B491=Z$4, if($C151=true,index($G$131:$Z$131,,$B491)*(1-'Get Started'!$D$26),index($G$131:$Z$131,,$B491)),0)</f>
        <v>0</v>
      </c>
    </row>
    <row r="492" hidden="1" outlineLevel="1">
      <c r="B492" s="93">
        <f t="shared" si="259"/>
        <v>16</v>
      </c>
      <c r="C492" s="40"/>
      <c r="D492" s="16" t="s">
        <v>161</v>
      </c>
      <c r="E492" s="74">
        <f t="shared" si="108"/>
        <v>0</v>
      </c>
      <c r="F492" s="74"/>
      <c r="G492" s="74">
        <f t="array" ref="G492">if($B492=G$4, if($C152=true,index($G$131:$Z$131,,$B492)*(1-'Get Started'!$D$26),index($G$131:$Z$131,,$B492)),0)</f>
        <v>0</v>
      </c>
      <c r="H492" s="74">
        <f t="array" ref="H492">if($B492=H$4, if($C152=true,index($G$131:$Z$131,,$B492)*(1-'Get Started'!$D$26),index($G$131:$Z$131,,$B492)),0)</f>
        <v>0</v>
      </c>
      <c r="I492" s="74">
        <f t="array" ref="I492">if($B492=I$4, if($C152=true,index($G$131:$Z$131,,$B492)*(1-'Get Started'!$D$26),index($G$131:$Z$131,,$B492)),0)</f>
        <v>0</v>
      </c>
      <c r="J492" s="74">
        <f t="array" ref="J492">if($B492=J$4, if($C152=true,index($G$131:$Z$131,,$B492)*(1-'Get Started'!$D$26),index($G$131:$Z$131,,$B492)),0)</f>
        <v>0</v>
      </c>
      <c r="K492" s="74">
        <f t="array" ref="K492">if($B492=K$4, if($C152=true,index($G$131:$Z$131,,$B492)*(1-'Get Started'!$D$26),index($G$131:$Z$131,,$B492)),0)</f>
        <v>0</v>
      </c>
      <c r="L492" s="74">
        <f t="array" ref="L492">if($B492=L$4, if($C152=true,index($G$131:$Z$131,,$B492)*(1-'Get Started'!$D$26),index($G$131:$Z$131,,$B492)),0)</f>
        <v>0</v>
      </c>
      <c r="M492" s="74">
        <f t="array" ref="M492">if($B492=M$4, if($C152=true,index($G$131:$Z$131,,$B492)*(1-'Get Started'!$D$26),index($G$131:$Z$131,,$B492)),0)</f>
        <v>0</v>
      </c>
      <c r="N492" s="74">
        <f t="array" ref="N492">if($B492=N$4, if($C152=true,index($G$131:$Z$131,,$B492)*(1-'Get Started'!$D$26),index($G$131:$Z$131,,$B492)),0)</f>
        <v>0</v>
      </c>
      <c r="O492" s="74">
        <f t="array" ref="O492">if($B492=O$4, if($C152=true,index($G$131:$Z$131,,$B492)*(1-'Get Started'!$D$26),index($G$131:$Z$131,,$B492)),0)</f>
        <v>0</v>
      </c>
      <c r="P492" s="74">
        <f t="array" ref="P492">if($B492=P$4, if($C152=true,index($G$131:$Z$131,,$B492)*(1-'Get Started'!$D$26),index($G$131:$Z$131,,$B492)),0)</f>
        <v>0</v>
      </c>
      <c r="Q492" s="74">
        <f t="array" ref="Q492">if($B492=Q$4, if($C152=true,index($G$131:$Z$131,,$B492)*(1-'Get Started'!$D$26),index($G$131:$Z$131,,$B492)),0)</f>
        <v>0</v>
      </c>
      <c r="R492" s="74">
        <f t="array" ref="R492">if($B492=R$4, if($C152=true,index($G$131:$Z$131,,$B492)*(1-'Get Started'!$D$26),index($G$131:$Z$131,,$B492)),0)</f>
        <v>0</v>
      </c>
      <c r="S492" s="74">
        <f t="array" ref="S492">if($B492=S$4, if($C152=true,index($G$131:$Z$131,,$B492)*(1-'Get Started'!$D$26),index($G$131:$Z$131,,$B492)),0)</f>
        <v>0</v>
      </c>
      <c r="T492" s="74">
        <f t="array" ref="T492">if($B492=T$4, if($C152=true,index($G$131:$Z$131,,$B492)*(1-'Get Started'!$D$26),index($G$131:$Z$131,,$B492)),0)</f>
        <v>0</v>
      </c>
      <c r="U492" s="74">
        <f t="array" ref="U492">if($B492=U$4, if($C152=true,index($G$131:$Z$131,,$B492)*(1-'Get Started'!$D$26),index($G$131:$Z$131,,$B492)),0)</f>
        <v>0</v>
      </c>
      <c r="V492" s="74">
        <f t="array" ref="V492">if($B492=V$4, if($C152=true,index($G$131:$Z$131,,$B492)*(1-'Get Started'!$D$26),index($G$131:$Z$131,,$B492)),0)</f>
        <v>0</v>
      </c>
      <c r="W492" s="74">
        <f t="array" ref="W492">if($B492=W$4, if($C152=true,index($G$131:$Z$131,,$B492)*(1-'Get Started'!$D$26),index($G$131:$Z$131,,$B492)),0)</f>
        <v>0</v>
      </c>
      <c r="X492" s="74">
        <f t="array" ref="X492">if($B492=X$4, if($C152=true,index($G$131:$Z$131,,$B492)*(1-'Get Started'!$D$26),index($G$131:$Z$131,,$B492)),0)</f>
        <v>0</v>
      </c>
      <c r="Y492" s="74">
        <f t="array" ref="Y492">if($B492=Y$4, if($C152=true,index($G$131:$Z$131,,$B492)*(1-'Get Started'!$D$26),index($G$131:$Z$131,,$B492)),0)</f>
        <v>0</v>
      </c>
      <c r="Z492" s="74">
        <f t="array" ref="Z492">if($B492=Z$4, if($C152=true,index($G$131:$Z$131,,$B492)*(1-'Get Started'!$D$26),index($G$131:$Z$131,,$B492)),0)</f>
        <v>0</v>
      </c>
    </row>
    <row r="493" hidden="1" outlineLevel="1">
      <c r="B493" s="93">
        <f t="shared" si="259"/>
        <v>17</v>
      </c>
      <c r="C493" s="40"/>
      <c r="D493" s="16" t="s">
        <v>161</v>
      </c>
      <c r="E493" s="74">
        <f t="shared" si="108"/>
        <v>0</v>
      </c>
      <c r="F493" s="74"/>
      <c r="G493" s="74">
        <f t="array" ref="G493">if($B493=G$4, if($C153=true,index($G$131:$Z$131,,$B493)*(1-'Get Started'!$D$26),index($G$131:$Z$131,,$B493)),0)</f>
        <v>0</v>
      </c>
      <c r="H493" s="74">
        <f t="array" ref="H493">if($B493=H$4, if($C153=true,index($G$131:$Z$131,,$B493)*(1-'Get Started'!$D$26),index($G$131:$Z$131,,$B493)),0)</f>
        <v>0</v>
      </c>
      <c r="I493" s="74">
        <f t="array" ref="I493">if($B493=I$4, if($C153=true,index($G$131:$Z$131,,$B493)*(1-'Get Started'!$D$26),index($G$131:$Z$131,,$B493)),0)</f>
        <v>0</v>
      </c>
      <c r="J493" s="74">
        <f t="array" ref="J493">if($B493=J$4, if($C153=true,index($G$131:$Z$131,,$B493)*(1-'Get Started'!$D$26),index($G$131:$Z$131,,$B493)),0)</f>
        <v>0</v>
      </c>
      <c r="K493" s="74">
        <f t="array" ref="K493">if($B493=K$4, if($C153=true,index($G$131:$Z$131,,$B493)*(1-'Get Started'!$D$26),index($G$131:$Z$131,,$B493)),0)</f>
        <v>0</v>
      </c>
      <c r="L493" s="74">
        <f t="array" ref="L493">if($B493=L$4, if($C153=true,index($G$131:$Z$131,,$B493)*(1-'Get Started'!$D$26),index($G$131:$Z$131,,$B493)),0)</f>
        <v>0</v>
      </c>
      <c r="M493" s="74">
        <f t="array" ref="M493">if($B493=M$4, if($C153=true,index($G$131:$Z$131,,$B493)*(1-'Get Started'!$D$26),index($G$131:$Z$131,,$B493)),0)</f>
        <v>0</v>
      </c>
      <c r="N493" s="74">
        <f t="array" ref="N493">if($B493=N$4, if($C153=true,index($G$131:$Z$131,,$B493)*(1-'Get Started'!$D$26),index($G$131:$Z$131,,$B493)),0)</f>
        <v>0</v>
      </c>
      <c r="O493" s="74">
        <f t="array" ref="O493">if($B493=O$4, if($C153=true,index($G$131:$Z$131,,$B493)*(1-'Get Started'!$D$26),index($G$131:$Z$131,,$B493)),0)</f>
        <v>0</v>
      </c>
      <c r="P493" s="74">
        <f t="array" ref="P493">if($B493=P$4, if($C153=true,index($G$131:$Z$131,,$B493)*(1-'Get Started'!$D$26),index($G$131:$Z$131,,$B493)),0)</f>
        <v>0</v>
      </c>
      <c r="Q493" s="74">
        <f t="array" ref="Q493">if($B493=Q$4, if($C153=true,index($G$131:$Z$131,,$B493)*(1-'Get Started'!$D$26),index($G$131:$Z$131,,$B493)),0)</f>
        <v>0</v>
      </c>
      <c r="R493" s="74">
        <f t="array" ref="R493">if($B493=R$4, if($C153=true,index($G$131:$Z$131,,$B493)*(1-'Get Started'!$D$26),index($G$131:$Z$131,,$B493)),0)</f>
        <v>0</v>
      </c>
      <c r="S493" s="74">
        <f t="array" ref="S493">if($B493=S$4, if($C153=true,index($G$131:$Z$131,,$B493)*(1-'Get Started'!$D$26),index($G$131:$Z$131,,$B493)),0)</f>
        <v>0</v>
      </c>
      <c r="T493" s="74">
        <f t="array" ref="T493">if($B493=T$4, if($C153=true,index($G$131:$Z$131,,$B493)*(1-'Get Started'!$D$26),index($G$131:$Z$131,,$B493)),0)</f>
        <v>0</v>
      </c>
      <c r="U493" s="74">
        <f t="array" ref="U493">if($B493=U$4, if($C153=true,index($G$131:$Z$131,,$B493)*(1-'Get Started'!$D$26),index($G$131:$Z$131,,$B493)),0)</f>
        <v>0</v>
      </c>
      <c r="V493" s="74">
        <f t="array" ref="V493">if($B493=V$4, if($C153=true,index($G$131:$Z$131,,$B493)*(1-'Get Started'!$D$26),index($G$131:$Z$131,,$B493)),0)</f>
        <v>0</v>
      </c>
      <c r="W493" s="74">
        <f t="array" ref="W493">if($B493=W$4, if($C153=true,index($G$131:$Z$131,,$B493)*(1-'Get Started'!$D$26),index($G$131:$Z$131,,$B493)),0)</f>
        <v>0</v>
      </c>
      <c r="X493" s="74">
        <f t="array" ref="X493">if($B493=X$4, if($C153=true,index($G$131:$Z$131,,$B493)*(1-'Get Started'!$D$26),index($G$131:$Z$131,,$B493)),0)</f>
        <v>0</v>
      </c>
      <c r="Y493" s="74">
        <f t="array" ref="Y493">if($B493=Y$4, if($C153=true,index($G$131:$Z$131,,$B493)*(1-'Get Started'!$D$26),index($G$131:$Z$131,,$B493)),0)</f>
        <v>0</v>
      </c>
      <c r="Z493" s="74">
        <f t="array" ref="Z493">if($B493=Z$4, if($C153=true,index($G$131:$Z$131,,$B493)*(1-'Get Started'!$D$26),index($G$131:$Z$131,,$B493)),0)</f>
        <v>0</v>
      </c>
    </row>
    <row r="494" hidden="1" outlineLevel="1">
      <c r="B494" s="93">
        <f t="shared" si="259"/>
        <v>18</v>
      </c>
      <c r="C494" s="40"/>
      <c r="D494" s="16" t="s">
        <v>161</v>
      </c>
      <c r="E494" s="74">
        <f t="shared" si="108"/>
        <v>0</v>
      </c>
      <c r="F494" s="74"/>
      <c r="G494" s="74">
        <f t="array" ref="G494">if($B494=G$4, if($C154=true,index($G$131:$Z$131,,$B494)*(1-'Get Started'!$D$26),index($G$131:$Z$131,,$B494)),0)</f>
        <v>0</v>
      </c>
      <c r="H494" s="74">
        <f t="array" ref="H494">if($B494=H$4, if($C154=true,index($G$131:$Z$131,,$B494)*(1-'Get Started'!$D$26),index($G$131:$Z$131,,$B494)),0)</f>
        <v>0</v>
      </c>
      <c r="I494" s="74">
        <f t="array" ref="I494">if($B494=I$4, if($C154=true,index($G$131:$Z$131,,$B494)*(1-'Get Started'!$D$26),index($G$131:$Z$131,,$B494)),0)</f>
        <v>0</v>
      </c>
      <c r="J494" s="74">
        <f t="array" ref="J494">if($B494=J$4, if($C154=true,index($G$131:$Z$131,,$B494)*(1-'Get Started'!$D$26),index($G$131:$Z$131,,$B494)),0)</f>
        <v>0</v>
      </c>
      <c r="K494" s="74">
        <f t="array" ref="K494">if($B494=K$4, if($C154=true,index($G$131:$Z$131,,$B494)*(1-'Get Started'!$D$26),index($G$131:$Z$131,,$B494)),0)</f>
        <v>0</v>
      </c>
      <c r="L494" s="74">
        <f t="array" ref="L494">if($B494=L$4, if($C154=true,index($G$131:$Z$131,,$B494)*(1-'Get Started'!$D$26),index($G$131:$Z$131,,$B494)),0)</f>
        <v>0</v>
      </c>
      <c r="M494" s="74">
        <f t="array" ref="M494">if($B494=M$4, if($C154=true,index($G$131:$Z$131,,$B494)*(1-'Get Started'!$D$26),index($G$131:$Z$131,,$B494)),0)</f>
        <v>0</v>
      </c>
      <c r="N494" s="74">
        <f t="array" ref="N494">if($B494=N$4, if($C154=true,index($G$131:$Z$131,,$B494)*(1-'Get Started'!$D$26),index($G$131:$Z$131,,$B494)),0)</f>
        <v>0</v>
      </c>
      <c r="O494" s="74">
        <f t="array" ref="O494">if($B494=O$4, if($C154=true,index($G$131:$Z$131,,$B494)*(1-'Get Started'!$D$26),index($G$131:$Z$131,,$B494)),0)</f>
        <v>0</v>
      </c>
      <c r="P494" s="74">
        <f t="array" ref="P494">if($B494=P$4, if($C154=true,index($G$131:$Z$131,,$B494)*(1-'Get Started'!$D$26),index($G$131:$Z$131,,$B494)),0)</f>
        <v>0</v>
      </c>
      <c r="Q494" s="74">
        <f t="array" ref="Q494">if($B494=Q$4, if($C154=true,index($G$131:$Z$131,,$B494)*(1-'Get Started'!$D$26),index($G$131:$Z$131,,$B494)),0)</f>
        <v>0</v>
      </c>
      <c r="R494" s="74">
        <f t="array" ref="R494">if($B494=R$4, if($C154=true,index($G$131:$Z$131,,$B494)*(1-'Get Started'!$D$26),index($G$131:$Z$131,,$B494)),0)</f>
        <v>0</v>
      </c>
      <c r="S494" s="74">
        <f t="array" ref="S494">if($B494=S$4, if($C154=true,index($G$131:$Z$131,,$B494)*(1-'Get Started'!$D$26),index($G$131:$Z$131,,$B494)),0)</f>
        <v>0</v>
      </c>
      <c r="T494" s="74">
        <f t="array" ref="T494">if($B494=T$4, if($C154=true,index($G$131:$Z$131,,$B494)*(1-'Get Started'!$D$26),index($G$131:$Z$131,,$B494)),0)</f>
        <v>0</v>
      </c>
      <c r="U494" s="74">
        <f t="array" ref="U494">if($B494=U$4, if($C154=true,index($G$131:$Z$131,,$B494)*(1-'Get Started'!$D$26),index($G$131:$Z$131,,$B494)),0)</f>
        <v>0</v>
      </c>
      <c r="V494" s="74">
        <f t="array" ref="V494">if($B494=V$4, if($C154=true,index($G$131:$Z$131,,$B494)*(1-'Get Started'!$D$26),index($G$131:$Z$131,,$B494)),0)</f>
        <v>0</v>
      </c>
      <c r="W494" s="74">
        <f t="array" ref="W494">if($B494=W$4, if($C154=true,index($G$131:$Z$131,,$B494)*(1-'Get Started'!$D$26),index($G$131:$Z$131,,$B494)),0)</f>
        <v>0</v>
      </c>
      <c r="X494" s="74">
        <f t="array" ref="X494">if($B494=X$4, if($C154=true,index($G$131:$Z$131,,$B494)*(1-'Get Started'!$D$26),index($G$131:$Z$131,,$B494)),0)</f>
        <v>0</v>
      </c>
      <c r="Y494" s="74">
        <f t="array" ref="Y494">if($B494=Y$4, if($C154=true,index($G$131:$Z$131,,$B494)*(1-'Get Started'!$D$26),index($G$131:$Z$131,,$B494)),0)</f>
        <v>0</v>
      </c>
      <c r="Z494" s="74">
        <f t="array" ref="Z494">if($B494=Z$4, if($C154=true,index($G$131:$Z$131,,$B494)*(1-'Get Started'!$D$26),index($G$131:$Z$131,,$B494)),0)</f>
        <v>0</v>
      </c>
    </row>
    <row r="495" hidden="1" outlineLevel="1">
      <c r="B495" s="93">
        <f t="shared" si="259"/>
        <v>19</v>
      </c>
      <c r="C495" s="40"/>
      <c r="D495" s="16" t="s">
        <v>161</v>
      </c>
      <c r="E495" s="74">
        <f t="shared" si="108"/>
        <v>0</v>
      </c>
      <c r="F495" s="74"/>
      <c r="G495" s="74">
        <f t="array" ref="G495">if($B495=G$4, if($C155=true,index($G$131:$Z$131,,$B495)*(1-'Get Started'!$D$26),index($G$131:$Z$131,,$B495)),0)</f>
        <v>0</v>
      </c>
      <c r="H495" s="74">
        <f t="array" ref="H495">if($B495=H$4, if($C155=true,index($G$131:$Z$131,,$B495)*(1-'Get Started'!$D$26),index($G$131:$Z$131,,$B495)),0)</f>
        <v>0</v>
      </c>
      <c r="I495" s="74">
        <f t="array" ref="I495">if($B495=I$4, if($C155=true,index($G$131:$Z$131,,$B495)*(1-'Get Started'!$D$26),index($G$131:$Z$131,,$B495)),0)</f>
        <v>0</v>
      </c>
      <c r="J495" s="74">
        <f t="array" ref="J495">if($B495=J$4, if($C155=true,index($G$131:$Z$131,,$B495)*(1-'Get Started'!$D$26),index($G$131:$Z$131,,$B495)),0)</f>
        <v>0</v>
      </c>
      <c r="K495" s="74">
        <f t="array" ref="K495">if($B495=K$4, if($C155=true,index($G$131:$Z$131,,$B495)*(1-'Get Started'!$D$26),index($G$131:$Z$131,,$B495)),0)</f>
        <v>0</v>
      </c>
      <c r="L495" s="74">
        <f t="array" ref="L495">if($B495=L$4, if($C155=true,index($G$131:$Z$131,,$B495)*(1-'Get Started'!$D$26),index($G$131:$Z$131,,$B495)),0)</f>
        <v>0</v>
      </c>
      <c r="M495" s="74">
        <f t="array" ref="M495">if($B495=M$4, if($C155=true,index($G$131:$Z$131,,$B495)*(1-'Get Started'!$D$26),index($G$131:$Z$131,,$B495)),0)</f>
        <v>0</v>
      </c>
      <c r="N495" s="74">
        <f t="array" ref="N495">if($B495=N$4, if($C155=true,index($G$131:$Z$131,,$B495)*(1-'Get Started'!$D$26),index($G$131:$Z$131,,$B495)),0)</f>
        <v>0</v>
      </c>
      <c r="O495" s="74">
        <f t="array" ref="O495">if($B495=O$4, if($C155=true,index($G$131:$Z$131,,$B495)*(1-'Get Started'!$D$26),index($G$131:$Z$131,,$B495)),0)</f>
        <v>0</v>
      </c>
      <c r="P495" s="74">
        <f t="array" ref="P495">if($B495=P$4, if($C155=true,index($G$131:$Z$131,,$B495)*(1-'Get Started'!$D$26),index($G$131:$Z$131,,$B495)),0)</f>
        <v>0</v>
      </c>
      <c r="Q495" s="74">
        <f t="array" ref="Q495">if($B495=Q$4, if($C155=true,index($G$131:$Z$131,,$B495)*(1-'Get Started'!$D$26),index($G$131:$Z$131,,$B495)),0)</f>
        <v>0</v>
      </c>
      <c r="R495" s="74">
        <f t="array" ref="R495">if($B495=R$4, if($C155=true,index($G$131:$Z$131,,$B495)*(1-'Get Started'!$D$26),index($G$131:$Z$131,,$B495)),0)</f>
        <v>0</v>
      </c>
      <c r="S495" s="74">
        <f t="array" ref="S495">if($B495=S$4, if($C155=true,index($G$131:$Z$131,,$B495)*(1-'Get Started'!$D$26),index($G$131:$Z$131,,$B495)),0)</f>
        <v>0</v>
      </c>
      <c r="T495" s="74">
        <f t="array" ref="T495">if($B495=T$4, if($C155=true,index($G$131:$Z$131,,$B495)*(1-'Get Started'!$D$26),index($G$131:$Z$131,,$B495)),0)</f>
        <v>0</v>
      </c>
      <c r="U495" s="74">
        <f t="array" ref="U495">if($B495=U$4, if($C155=true,index($G$131:$Z$131,,$B495)*(1-'Get Started'!$D$26),index($G$131:$Z$131,,$B495)),0)</f>
        <v>0</v>
      </c>
      <c r="V495" s="74">
        <f t="array" ref="V495">if($B495=V$4, if($C155=true,index($G$131:$Z$131,,$B495)*(1-'Get Started'!$D$26),index($G$131:$Z$131,,$B495)),0)</f>
        <v>0</v>
      </c>
      <c r="W495" s="74">
        <f t="array" ref="W495">if($B495=W$4, if($C155=true,index($G$131:$Z$131,,$B495)*(1-'Get Started'!$D$26),index($G$131:$Z$131,,$B495)),0)</f>
        <v>0</v>
      </c>
      <c r="X495" s="74">
        <f t="array" ref="X495">if($B495=X$4, if($C155=true,index($G$131:$Z$131,,$B495)*(1-'Get Started'!$D$26),index($G$131:$Z$131,,$B495)),0)</f>
        <v>0</v>
      </c>
      <c r="Y495" s="74">
        <f t="array" ref="Y495">if($B495=Y$4, if($C155=true,index($G$131:$Z$131,,$B495)*(1-'Get Started'!$D$26),index($G$131:$Z$131,,$B495)),0)</f>
        <v>0</v>
      </c>
      <c r="Z495" s="74">
        <f t="array" ref="Z495">if($B495=Z$4, if($C155=true,index($G$131:$Z$131,,$B495)*(1-'Get Started'!$D$26),index($G$131:$Z$131,,$B495)),0)</f>
        <v>0</v>
      </c>
    </row>
    <row r="496" hidden="1" outlineLevel="1">
      <c r="B496" s="93">
        <f t="shared" si="259"/>
        <v>20</v>
      </c>
      <c r="C496" s="40"/>
      <c r="D496" s="16" t="s">
        <v>161</v>
      </c>
      <c r="E496" s="74">
        <f t="shared" si="108"/>
        <v>0</v>
      </c>
      <c r="F496" s="74"/>
      <c r="G496" s="74">
        <f t="array" ref="G496">if($B496=G$4, if($C156=true,index($G$131:$Z$131,,$B496)*(1-'Get Started'!$D$26),index($G$131:$Z$131,,$B496)),0)</f>
        <v>0</v>
      </c>
      <c r="H496" s="74">
        <f t="array" ref="H496">if($B496=H$4, if($C156=true,index($G$131:$Z$131,,$B496)*(1-'Get Started'!$D$26),index($G$131:$Z$131,,$B496)),0)</f>
        <v>0</v>
      </c>
      <c r="I496" s="74">
        <f t="array" ref="I496">if($B496=I$4, if($C156=true,index($G$131:$Z$131,,$B496)*(1-'Get Started'!$D$26),index($G$131:$Z$131,,$B496)),0)</f>
        <v>0</v>
      </c>
      <c r="J496" s="74">
        <f t="array" ref="J496">if($B496=J$4, if($C156=true,index($G$131:$Z$131,,$B496)*(1-'Get Started'!$D$26),index($G$131:$Z$131,,$B496)),0)</f>
        <v>0</v>
      </c>
      <c r="K496" s="74">
        <f t="array" ref="K496">if($B496=K$4, if($C156=true,index($G$131:$Z$131,,$B496)*(1-'Get Started'!$D$26),index($G$131:$Z$131,,$B496)),0)</f>
        <v>0</v>
      </c>
      <c r="L496" s="74">
        <f t="array" ref="L496">if($B496=L$4, if($C156=true,index($G$131:$Z$131,,$B496)*(1-'Get Started'!$D$26),index($G$131:$Z$131,,$B496)),0)</f>
        <v>0</v>
      </c>
      <c r="M496" s="74">
        <f t="array" ref="M496">if($B496=M$4, if($C156=true,index($G$131:$Z$131,,$B496)*(1-'Get Started'!$D$26),index($G$131:$Z$131,,$B496)),0)</f>
        <v>0</v>
      </c>
      <c r="N496" s="74">
        <f t="array" ref="N496">if($B496=N$4, if($C156=true,index($G$131:$Z$131,,$B496)*(1-'Get Started'!$D$26),index($G$131:$Z$131,,$B496)),0)</f>
        <v>0</v>
      </c>
      <c r="O496" s="74">
        <f t="array" ref="O496">if($B496=O$4, if($C156=true,index($G$131:$Z$131,,$B496)*(1-'Get Started'!$D$26),index($G$131:$Z$131,,$B496)),0)</f>
        <v>0</v>
      </c>
      <c r="P496" s="74">
        <f t="array" ref="P496">if($B496=P$4, if($C156=true,index($G$131:$Z$131,,$B496)*(1-'Get Started'!$D$26),index($G$131:$Z$131,,$B496)),0)</f>
        <v>0</v>
      </c>
      <c r="Q496" s="74">
        <f t="array" ref="Q496">if($B496=Q$4, if($C156=true,index($G$131:$Z$131,,$B496)*(1-'Get Started'!$D$26),index($G$131:$Z$131,,$B496)),0)</f>
        <v>0</v>
      </c>
      <c r="R496" s="74">
        <f t="array" ref="R496">if($B496=R$4, if($C156=true,index($G$131:$Z$131,,$B496)*(1-'Get Started'!$D$26),index($G$131:$Z$131,,$B496)),0)</f>
        <v>0</v>
      </c>
      <c r="S496" s="74">
        <f t="array" ref="S496">if($B496=S$4, if($C156=true,index($G$131:$Z$131,,$B496)*(1-'Get Started'!$D$26),index($G$131:$Z$131,,$B496)),0)</f>
        <v>0</v>
      </c>
      <c r="T496" s="74">
        <f t="array" ref="T496">if($B496=T$4, if($C156=true,index($G$131:$Z$131,,$B496)*(1-'Get Started'!$D$26),index($G$131:$Z$131,,$B496)),0)</f>
        <v>0</v>
      </c>
      <c r="U496" s="74">
        <f t="array" ref="U496">if($B496=U$4, if($C156=true,index($G$131:$Z$131,,$B496)*(1-'Get Started'!$D$26),index($G$131:$Z$131,,$B496)),0)</f>
        <v>0</v>
      </c>
      <c r="V496" s="74">
        <f t="array" ref="V496">if($B496=V$4, if($C156=true,index($G$131:$Z$131,,$B496)*(1-'Get Started'!$D$26),index($G$131:$Z$131,,$B496)),0)</f>
        <v>0</v>
      </c>
      <c r="W496" s="74">
        <f t="array" ref="W496">if($B496=W$4, if($C156=true,index($G$131:$Z$131,,$B496)*(1-'Get Started'!$D$26),index($G$131:$Z$131,,$B496)),0)</f>
        <v>0</v>
      </c>
      <c r="X496" s="74">
        <f t="array" ref="X496">if($B496=X$4, if($C156=true,index($G$131:$Z$131,,$B496)*(1-'Get Started'!$D$26),index($G$131:$Z$131,,$B496)),0)</f>
        <v>0</v>
      </c>
      <c r="Y496" s="74">
        <f t="array" ref="Y496">if($B496=Y$4, if($C156=true,index($G$131:$Z$131,,$B496)*(1-'Get Started'!$D$26),index($G$131:$Z$131,,$B496)),0)</f>
        <v>0</v>
      </c>
      <c r="Z496" s="74">
        <f t="array" ref="Z496">if($B496=Z$4, if($C156=true,index($G$131:$Z$131,,$B496)*(1-'Get Started'!$D$26),index($G$131:$Z$131,,$B496)),0)</f>
        <v>0</v>
      </c>
    </row>
    <row r="497" collapsed="1">
      <c r="B497" s="40" t="s">
        <v>198</v>
      </c>
      <c r="C497" s="16"/>
      <c r="D497" s="16" t="s">
        <v>161</v>
      </c>
      <c r="E497" s="74">
        <f t="shared" si="108"/>
        <v>98450000</v>
      </c>
      <c r="F497" s="78"/>
      <c r="G497" s="77">
        <f t="shared" ref="G497:Z497" si="260">sum(G498:G517)</f>
        <v>5641185</v>
      </c>
      <c r="H497" s="77">
        <f t="shared" si="260"/>
        <v>14189926.67</v>
      </c>
      <c r="I497" s="77">
        <f t="shared" si="260"/>
        <v>22738668.33</v>
      </c>
      <c r="J497" s="77">
        <f t="shared" si="260"/>
        <v>23677225</v>
      </c>
      <c r="K497" s="77">
        <f t="shared" si="260"/>
        <v>16692197.5</v>
      </c>
      <c r="L497" s="77">
        <f t="shared" si="260"/>
        <v>8143455.833</v>
      </c>
      <c r="M497" s="77">
        <f t="shared" si="260"/>
        <v>2351314.167</v>
      </c>
      <c r="N497" s="77">
        <f t="shared" si="260"/>
        <v>1575200</v>
      </c>
      <c r="O497" s="77">
        <f t="shared" si="260"/>
        <v>1934542.5</v>
      </c>
      <c r="P497" s="77">
        <f t="shared" si="260"/>
        <v>1146942.5</v>
      </c>
      <c r="Q497" s="77">
        <f t="shared" si="260"/>
        <v>359342.5</v>
      </c>
      <c r="R497" s="77">
        <f t="shared" si="260"/>
        <v>0</v>
      </c>
      <c r="S497" s="77">
        <f t="shared" si="260"/>
        <v>0</v>
      </c>
      <c r="T497" s="77">
        <f t="shared" si="260"/>
        <v>0</v>
      </c>
      <c r="U497" s="77">
        <f t="shared" si="260"/>
        <v>0</v>
      </c>
      <c r="V497" s="77">
        <f t="shared" si="260"/>
        <v>0</v>
      </c>
      <c r="W497" s="77">
        <f t="shared" si="260"/>
        <v>0</v>
      </c>
      <c r="X497" s="77">
        <f t="shared" si="260"/>
        <v>0</v>
      </c>
      <c r="Y497" s="77">
        <f t="shared" si="260"/>
        <v>0</v>
      </c>
      <c r="Z497" s="77">
        <f t="shared" si="260"/>
        <v>0</v>
      </c>
    </row>
    <row r="498" hidden="1" outlineLevel="1">
      <c r="B498" s="93">
        <f>G$4</f>
        <v>1</v>
      </c>
      <c r="C498" s="40"/>
      <c r="D498" s="16" t="s">
        <v>161</v>
      </c>
      <c r="E498" s="74">
        <f t="shared" si="108"/>
        <v>32816666.67</v>
      </c>
      <c r="F498" s="74"/>
      <c r="G498" s="74">
        <f>if($C137=true,G159*(1-'Get Started'!$D$26),G159)</f>
        <v>5641185</v>
      </c>
      <c r="H498" s="74">
        <f>if($C137=true,H159*(1-'Get Started'!$D$26),H159)</f>
        <v>8548741.667</v>
      </c>
      <c r="I498" s="74">
        <f>if($C137=true,I159*(1-'Get Started'!$D$26),I159)</f>
        <v>8548741.667</v>
      </c>
      <c r="J498" s="74">
        <f>if($C137=true,J159*(1-'Get Started'!$D$26),J159)</f>
        <v>6579741.667</v>
      </c>
      <c r="K498" s="74">
        <f>if($C137=true,K159*(1-'Get Started'!$D$26),K159)</f>
        <v>1563714.167</v>
      </c>
      <c r="L498" s="74">
        <f>if($C137=true,L159*(1-'Get Started'!$D$26),L159)</f>
        <v>0</v>
      </c>
      <c r="M498" s="74">
        <f>if($C137=true,M159*(1-'Get Started'!$D$26),M159)</f>
        <v>787600</v>
      </c>
      <c r="N498" s="74">
        <f>if($C137=true,N159*(1-'Get Started'!$D$26),N159)</f>
        <v>787600</v>
      </c>
      <c r="O498" s="74">
        <f>if($C137=true,O159*(1-'Get Started'!$D$26),O159)</f>
        <v>359342.5</v>
      </c>
      <c r="P498" s="74">
        <f>if($C137=true,P159*(1-'Get Started'!$D$26),P159)</f>
        <v>0</v>
      </c>
      <c r="Q498" s="74">
        <f>if($C137=true,Q159*(1-'Get Started'!$D$26),Q159)</f>
        <v>0</v>
      </c>
      <c r="R498" s="74">
        <f>if($C137=true,R159*(1-'Get Started'!$D$26),R159)</f>
        <v>0</v>
      </c>
      <c r="S498" s="74">
        <f>if($C137=true,S159*(1-'Get Started'!$D$26),S159)</f>
        <v>0</v>
      </c>
      <c r="T498" s="74">
        <f>if($C137=true,T159*(1-'Get Started'!$D$26),T159)</f>
        <v>0</v>
      </c>
      <c r="U498" s="74">
        <f>if($C137=true,U159*(1-'Get Started'!$D$26),U159)</f>
        <v>0</v>
      </c>
      <c r="V498" s="74">
        <f>if($C137=true,V159*(1-'Get Started'!$D$26),V159)</f>
        <v>0</v>
      </c>
      <c r="W498" s="74">
        <f>if($C137=true,W159*(1-'Get Started'!$D$26),W159)</f>
        <v>0</v>
      </c>
      <c r="X498" s="74">
        <f>if($C137=true,X159*(1-'Get Started'!$D$26),X159)</f>
        <v>0</v>
      </c>
      <c r="Y498" s="74">
        <f>if($C137=true,Y159*(1-'Get Started'!$D$26),Y159)</f>
        <v>0</v>
      </c>
      <c r="Z498" s="74">
        <f>if($C137=true,Z159*(1-'Get Started'!$D$26),Z159)</f>
        <v>0</v>
      </c>
    </row>
    <row r="499" hidden="1" outlineLevel="1">
      <c r="B499" s="93">
        <f t="shared" ref="B499:B517" si="261">B498+1</f>
        <v>2</v>
      </c>
      <c r="C499" s="40"/>
      <c r="D499" s="16" t="s">
        <v>161</v>
      </c>
      <c r="E499" s="74">
        <f t="shared" si="108"/>
        <v>32816666.67</v>
      </c>
      <c r="F499" s="74"/>
      <c r="G499" s="74">
        <f>if($C138=true,G160*(1-'Get Started'!$D$26),G160)</f>
        <v>0</v>
      </c>
      <c r="H499" s="74">
        <f>if($C138=true,H160*(1-'Get Started'!$D$26),H160)</f>
        <v>5641185</v>
      </c>
      <c r="I499" s="74">
        <f>if($C138=true,I160*(1-'Get Started'!$D$26),I160)</f>
        <v>8548741.667</v>
      </c>
      <c r="J499" s="74">
        <f>if($C138=true,J160*(1-'Get Started'!$D$26),J160)</f>
        <v>8548741.667</v>
      </c>
      <c r="K499" s="74">
        <f>if($C138=true,K160*(1-'Get Started'!$D$26),K160)</f>
        <v>6579741.667</v>
      </c>
      <c r="L499" s="74">
        <f>if($C138=true,L160*(1-'Get Started'!$D$26),L160)</f>
        <v>1563714.167</v>
      </c>
      <c r="M499" s="74">
        <f>if($C138=true,M160*(1-'Get Started'!$D$26),M160)</f>
        <v>0</v>
      </c>
      <c r="N499" s="74">
        <f>if($C138=true,N160*(1-'Get Started'!$D$26),N160)</f>
        <v>787600</v>
      </c>
      <c r="O499" s="74">
        <f>if($C138=true,O160*(1-'Get Started'!$D$26),O160)</f>
        <v>787600</v>
      </c>
      <c r="P499" s="74">
        <f>if($C138=true,P160*(1-'Get Started'!$D$26),P160)</f>
        <v>359342.5</v>
      </c>
      <c r="Q499" s="74">
        <f>if($C138=true,Q160*(1-'Get Started'!$D$26),Q160)</f>
        <v>0</v>
      </c>
      <c r="R499" s="74">
        <f>if($C138=true,R160*(1-'Get Started'!$D$26),R160)</f>
        <v>0</v>
      </c>
      <c r="S499" s="74">
        <f>if($C138=true,S160*(1-'Get Started'!$D$26),S160)</f>
        <v>0</v>
      </c>
      <c r="T499" s="74">
        <f>if($C138=true,T160*(1-'Get Started'!$D$26),T160)</f>
        <v>0</v>
      </c>
      <c r="U499" s="74">
        <f>if($C138=true,U160*(1-'Get Started'!$D$26),U160)</f>
        <v>0</v>
      </c>
      <c r="V499" s="74">
        <f>if($C138=true,V160*(1-'Get Started'!$D$26),V160)</f>
        <v>0</v>
      </c>
      <c r="W499" s="74">
        <f>if($C138=true,W160*(1-'Get Started'!$D$26),W160)</f>
        <v>0</v>
      </c>
      <c r="X499" s="74">
        <f>if($C138=true,X160*(1-'Get Started'!$D$26),X160)</f>
        <v>0</v>
      </c>
      <c r="Y499" s="74">
        <f>if($C138=true,Y160*(1-'Get Started'!$D$26),Y160)</f>
        <v>0</v>
      </c>
      <c r="Z499" s="74">
        <f>if($C138=true,Z160*(1-'Get Started'!$D$26),Z160)</f>
        <v>0</v>
      </c>
    </row>
    <row r="500" hidden="1" outlineLevel="1">
      <c r="B500" s="93">
        <f t="shared" si="261"/>
        <v>3</v>
      </c>
      <c r="C500" s="40"/>
      <c r="D500" s="16" t="s">
        <v>161</v>
      </c>
      <c r="E500" s="74">
        <f t="shared" si="108"/>
        <v>32816666.67</v>
      </c>
      <c r="F500" s="74"/>
      <c r="G500" s="74">
        <f>if($C139=true,G161*(1-'Get Started'!$D$26),G161)</f>
        <v>0</v>
      </c>
      <c r="H500" s="74">
        <f>if($C139=true,H161*(1-'Get Started'!$D$26),H161)</f>
        <v>0</v>
      </c>
      <c r="I500" s="74">
        <f>if($C139=true,I161*(1-'Get Started'!$D$26),I161)</f>
        <v>5641185</v>
      </c>
      <c r="J500" s="74">
        <f>if($C139=true,J161*(1-'Get Started'!$D$26),J161)</f>
        <v>8548741.667</v>
      </c>
      <c r="K500" s="74">
        <f>if($C139=true,K161*(1-'Get Started'!$D$26),K161)</f>
        <v>8548741.667</v>
      </c>
      <c r="L500" s="74">
        <f>if($C139=true,L161*(1-'Get Started'!$D$26),L161)</f>
        <v>6579741.667</v>
      </c>
      <c r="M500" s="74">
        <f>if($C139=true,M161*(1-'Get Started'!$D$26),M161)</f>
        <v>1563714.167</v>
      </c>
      <c r="N500" s="74">
        <f>if($C139=true,N161*(1-'Get Started'!$D$26),N161)</f>
        <v>0</v>
      </c>
      <c r="O500" s="74">
        <f>if($C139=true,O161*(1-'Get Started'!$D$26),O161)</f>
        <v>787600</v>
      </c>
      <c r="P500" s="74">
        <f>if($C139=true,P161*(1-'Get Started'!$D$26),P161)</f>
        <v>787600</v>
      </c>
      <c r="Q500" s="74">
        <f>if($C139=true,Q161*(1-'Get Started'!$D$26),Q161)</f>
        <v>359342.5</v>
      </c>
      <c r="R500" s="74">
        <f>if($C139=true,R161*(1-'Get Started'!$D$26),R161)</f>
        <v>0</v>
      </c>
      <c r="S500" s="74">
        <f>if($C139=true,S161*(1-'Get Started'!$D$26),S161)</f>
        <v>0</v>
      </c>
      <c r="T500" s="74">
        <f>if($C139=true,T161*(1-'Get Started'!$D$26),T161)</f>
        <v>0</v>
      </c>
      <c r="U500" s="74">
        <f>if($C139=true,U161*(1-'Get Started'!$D$26),U161)</f>
        <v>0</v>
      </c>
      <c r="V500" s="74">
        <f>if($C139=true,V161*(1-'Get Started'!$D$26),V161)</f>
        <v>0</v>
      </c>
      <c r="W500" s="74">
        <f>if($C139=true,W161*(1-'Get Started'!$D$26),W161)</f>
        <v>0</v>
      </c>
      <c r="X500" s="74">
        <f>if($C139=true,X161*(1-'Get Started'!$D$26),X161)</f>
        <v>0</v>
      </c>
      <c r="Y500" s="74">
        <f>if($C139=true,Y161*(1-'Get Started'!$D$26),Y161)</f>
        <v>0</v>
      </c>
      <c r="Z500" s="74">
        <f>if($C139=true,Z161*(1-'Get Started'!$D$26),Z161)</f>
        <v>0</v>
      </c>
    </row>
    <row r="501" hidden="1" outlineLevel="1">
      <c r="B501" s="93">
        <f t="shared" si="261"/>
        <v>4</v>
      </c>
      <c r="C501" s="40"/>
      <c r="D501" s="16" t="s">
        <v>161</v>
      </c>
      <c r="E501" s="74">
        <f t="shared" si="108"/>
        <v>0</v>
      </c>
      <c r="F501" s="74"/>
      <c r="G501" s="74">
        <f>if($C140=true,G162*(1-'Get Started'!$D$26),G162)</f>
        <v>0</v>
      </c>
      <c r="H501" s="74">
        <f>if($C140=true,H162*(1-'Get Started'!$D$26),H162)</f>
        <v>0</v>
      </c>
      <c r="I501" s="74">
        <f>if($C140=true,I162*(1-'Get Started'!$D$26),I162)</f>
        <v>0</v>
      </c>
      <c r="J501" s="74">
        <f>if($C140=true,J162*(1-'Get Started'!$D$26),J162)</f>
        <v>0</v>
      </c>
      <c r="K501" s="74">
        <f>if($C140=true,K162*(1-'Get Started'!$D$26),K162)</f>
        <v>0</v>
      </c>
      <c r="L501" s="74">
        <f>if($C140=true,L162*(1-'Get Started'!$D$26),L162)</f>
        <v>0</v>
      </c>
      <c r="M501" s="74">
        <f>if($C140=true,M162*(1-'Get Started'!$D$26),M162)</f>
        <v>0</v>
      </c>
      <c r="N501" s="74">
        <f>if($C140=true,N162*(1-'Get Started'!$D$26),N162)</f>
        <v>0</v>
      </c>
      <c r="O501" s="74">
        <f>if($C140=true,O162*(1-'Get Started'!$D$26),O162)</f>
        <v>0</v>
      </c>
      <c r="P501" s="74">
        <f>if($C140=true,P162*(1-'Get Started'!$D$26),P162)</f>
        <v>0</v>
      </c>
      <c r="Q501" s="74">
        <f>if($C140=true,Q162*(1-'Get Started'!$D$26),Q162)</f>
        <v>0</v>
      </c>
      <c r="R501" s="74">
        <f>if($C140=true,R162*(1-'Get Started'!$D$26),R162)</f>
        <v>0</v>
      </c>
      <c r="S501" s="74">
        <f>if($C140=true,S162*(1-'Get Started'!$D$26),S162)</f>
        <v>0</v>
      </c>
      <c r="T501" s="74">
        <f>if($C140=true,T162*(1-'Get Started'!$D$26),T162)</f>
        <v>0</v>
      </c>
      <c r="U501" s="74">
        <f>if($C140=true,U162*(1-'Get Started'!$D$26),U162)</f>
        <v>0</v>
      </c>
      <c r="V501" s="74">
        <f>if($C140=true,V162*(1-'Get Started'!$D$26),V162)</f>
        <v>0</v>
      </c>
      <c r="W501" s="74">
        <f>if($C140=true,W162*(1-'Get Started'!$D$26),W162)</f>
        <v>0</v>
      </c>
      <c r="X501" s="74">
        <f>if($C140=true,X162*(1-'Get Started'!$D$26),X162)</f>
        <v>0</v>
      </c>
      <c r="Y501" s="74">
        <f>if($C140=true,Y162*(1-'Get Started'!$D$26),Y162)</f>
        <v>0</v>
      </c>
      <c r="Z501" s="74">
        <f>if($C140=true,Z162*(1-'Get Started'!$D$26),Z162)</f>
        <v>0</v>
      </c>
    </row>
    <row r="502" hidden="1" outlineLevel="1">
      <c r="B502" s="93">
        <f t="shared" si="261"/>
        <v>5</v>
      </c>
      <c r="C502" s="40"/>
      <c r="D502" s="16" t="s">
        <v>161</v>
      </c>
      <c r="E502" s="74">
        <f t="shared" si="108"/>
        <v>0</v>
      </c>
      <c r="F502" s="74"/>
      <c r="G502" s="74">
        <f>if($C141=true,G163*(1-'Get Started'!$D$26),G163)</f>
        <v>0</v>
      </c>
      <c r="H502" s="74">
        <f>if($C141=true,H163*(1-'Get Started'!$D$26),H163)</f>
        <v>0</v>
      </c>
      <c r="I502" s="74">
        <f>if($C141=true,I163*(1-'Get Started'!$D$26),I163)</f>
        <v>0</v>
      </c>
      <c r="J502" s="74">
        <f>if($C141=true,J163*(1-'Get Started'!$D$26),J163)</f>
        <v>0</v>
      </c>
      <c r="K502" s="74">
        <f>if($C141=true,K163*(1-'Get Started'!$D$26),K163)</f>
        <v>0</v>
      </c>
      <c r="L502" s="74">
        <f>if($C141=true,L163*(1-'Get Started'!$D$26),L163)</f>
        <v>0</v>
      </c>
      <c r="M502" s="74">
        <f>if($C141=true,M163*(1-'Get Started'!$D$26),M163)</f>
        <v>0</v>
      </c>
      <c r="N502" s="74">
        <f>if($C141=true,N163*(1-'Get Started'!$D$26),N163)</f>
        <v>0</v>
      </c>
      <c r="O502" s="74">
        <f>if($C141=true,O163*(1-'Get Started'!$D$26),O163)</f>
        <v>0</v>
      </c>
      <c r="P502" s="74">
        <f>if($C141=true,P163*(1-'Get Started'!$D$26),P163)</f>
        <v>0</v>
      </c>
      <c r="Q502" s="74">
        <f>if($C141=true,Q163*(1-'Get Started'!$D$26),Q163)</f>
        <v>0</v>
      </c>
      <c r="R502" s="74">
        <f>if($C141=true,R163*(1-'Get Started'!$D$26),R163)</f>
        <v>0</v>
      </c>
      <c r="S502" s="74">
        <f>if($C141=true,S163*(1-'Get Started'!$D$26),S163)</f>
        <v>0</v>
      </c>
      <c r="T502" s="74">
        <f>if($C141=true,T163*(1-'Get Started'!$D$26),T163)</f>
        <v>0</v>
      </c>
      <c r="U502" s="74">
        <f>if($C141=true,U163*(1-'Get Started'!$D$26),U163)</f>
        <v>0</v>
      </c>
      <c r="V502" s="74">
        <f>if($C141=true,V163*(1-'Get Started'!$D$26),V163)</f>
        <v>0</v>
      </c>
      <c r="W502" s="74">
        <f>if($C141=true,W163*(1-'Get Started'!$D$26),W163)</f>
        <v>0</v>
      </c>
      <c r="X502" s="74">
        <f>if($C141=true,X163*(1-'Get Started'!$D$26),X163)</f>
        <v>0</v>
      </c>
      <c r="Y502" s="74">
        <f>if($C141=true,Y163*(1-'Get Started'!$D$26),Y163)</f>
        <v>0</v>
      </c>
      <c r="Z502" s="74">
        <f>if($C141=true,Z163*(1-'Get Started'!$D$26),Z163)</f>
        <v>0</v>
      </c>
    </row>
    <row r="503" hidden="1" outlineLevel="1">
      <c r="B503" s="93">
        <f t="shared" si="261"/>
        <v>6</v>
      </c>
      <c r="C503" s="40"/>
      <c r="D503" s="16" t="s">
        <v>161</v>
      </c>
      <c r="E503" s="74">
        <f t="shared" si="108"/>
        <v>0</v>
      </c>
      <c r="F503" s="74"/>
      <c r="G503" s="74">
        <f>if($C142=true,G164*(1-'Get Started'!$D$26),G164)</f>
        <v>0</v>
      </c>
      <c r="H503" s="74">
        <f>if($C142=true,H164*(1-'Get Started'!$D$26),H164)</f>
        <v>0</v>
      </c>
      <c r="I503" s="74">
        <f>if($C142=true,I164*(1-'Get Started'!$D$26),I164)</f>
        <v>0</v>
      </c>
      <c r="J503" s="74">
        <f>if($C142=true,J164*(1-'Get Started'!$D$26),J164)</f>
        <v>0</v>
      </c>
      <c r="K503" s="74">
        <f>if($C142=true,K164*(1-'Get Started'!$D$26),K164)</f>
        <v>0</v>
      </c>
      <c r="L503" s="74">
        <f>if($C142=true,L164*(1-'Get Started'!$D$26),L164)</f>
        <v>0</v>
      </c>
      <c r="M503" s="74">
        <f>if($C142=true,M164*(1-'Get Started'!$D$26),M164)</f>
        <v>0</v>
      </c>
      <c r="N503" s="74">
        <f>if($C142=true,N164*(1-'Get Started'!$D$26),N164)</f>
        <v>0</v>
      </c>
      <c r="O503" s="74">
        <f>if($C142=true,O164*(1-'Get Started'!$D$26),O164)</f>
        <v>0</v>
      </c>
      <c r="P503" s="74">
        <f>if($C142=true,P164*(1-'Get Started'!$D$26),P164)</f>
        <v>0</v>
      </c>
      <c r="Q503" s="74">
        <f>if($C142=true,Q164*(1-'Get Started'!$D$26),Q164)</f>
        <v>0</v>
      </c>
      <c r="R503" s="74">
        <f>if($C142=true,R164*(1-'Get Started'!$D$26),R164)</f>
        <v>0</v>
      </c>
      <c r="S503" s="74">
        <f>if($C142=true,S164*(1-'Get Started'!$D$26),S164)</f>
        <v>0</v>
      </c>
      <c r="T503" s="74">
        <f>if($C142=true,T164*(1-'Get Started'!$D$26),T164)</f>
        <v>0</v>
      </c>
      <c r="U503" s="74">
        <f>if($C142=true,U164*(1-'Get Started'!$D$26),U164)</f>
        <v>0</v>
      </c>
      <c r="V503" s="74">
        <f>if($C142=true,V164*(1-'Get Started'!$D$26),V164)</f>
        <v>0</v>
      </c>
      <c r="W503" s="74">
        <f>if($C142=true,W164*(1-'Get Started'!$D$26),W164)</f>
        <v>0</v>
      </c>
      <c r="X503" s="74">
        <f>if($C142=true,X164*(1-'Get Started'!$D$26),X164)</f>
        <v>0</v>
      </c>
      <c r="Y503" s="74">
        <f>if($C142=true,Y164*(1-'Get Started'!$D$26),Y164)</f>
        <v>0</v>
      </c>
      <c r="Z503" s="74">
        <f>if($C142=true,Z164*(1-'Get Started'!$D$26),Z164)</f>
        <v>0</v>
      </c>
    </row>
    <row r="504" hidden="1" outlineLevel="1">
      <c r="B504" s="93">
        <f t="shared" si="261"/>
        <v>7</v>
      </c>
      <c r="C504" s="40"/>
      <c r="D504" s="16" t="s">
        <v>161</v>
      </c>
      <c r="E504" s="74">
        <f t="shared" si="108"/>
        <v>0</v>
      </c>
      <c r="F504" s="74"/>
      <c r="G504" s="74">
        <f>if($C143=true,G165*(1-'Get Started'!$D$26),G165)</f>
        <v>0</v>
      </c>
      <c r="H504" s="74">
        <f>if($C143=true,H165*(1-'Get Started'!$D$26),H165)</f>
        <v>0</v>
      </c>
      <c r="I504" s="74">
        <f>if($C143=true,I165*(1-'Get Started'!$D$26),I165)</f>
        <v>0</v>
      </c>
      <c r="J504" s="74">
        <f>if($C143=true,J165*(1-'Get Started'!$D$26),J165)</f>
        <v>0</v>
      </c>
      <c r="K504" s="74">
        <f>if($C143=true,K165*(1-'Get Started'!$D$26),K165)</f>
        <v>0</v>
      </c>
      <c r="L504" s="74">
        <f>if($C143=true,L165*(1-'Get Started'!$D$26),L165)</f>
        <v>0</v>
      </c>
      <c r="M504" s="74">
        <f>if($C143=true,M165*(1-'Get Started'!$D$26),M165)</f>
        <v>0</v>
      </c>
      <c r="N504" s="74">
        <f>if($C143=true,N165*(1-'Get Started'!$D$26),N165)</f>
        <v>0</v>
      </c>
      <c r="O504" s="74">
        <f>if($C143=true,O165*(1-'Get Started'!$D$26),O165)</f>
        <v>0</v>
      </c>
      <c r="P504" s="74">
        <f>if($C143=true,P165*(1-'Get Started'!$D$26),P165)</f>
        <v>0</v>
      </c>
      <c r="Q504" s="74">
        <f>if($C143=true,Q165*(1-'Get Started'!$D$26),Q165)</f>
        <v>0</v>
      </c>
      <c r="R504" s="74">
        <f>if($C143=true,R165*(1-'Get Started'!$D$26),R165)</f>
        <v>0</v>
      </c>
      <c r="S504" s="74">
        <f>if($C143=true,S165*(1-'Get Started'!$D$26),S165)</f>
        <v>0</v>
      </c>
      <c r="T504" s="74">
        <f>if($C143=true,T165*(1-'Get Started'!$D$26),T165)</f>
        <v>0</v>
      </c>
      <c r="U504" s="74">
        <f>if($C143=true,U165*(1-'Get Started'!$D$26),U165)</f>
        <v>0</v>
      </c>
      <c r="V504" s="74">
        <f>if($C143=true,V165*(1-'Get Started'!$D$26),V165)</f>
        <v>0</v>
      </c>
      <c r="W504" s="74">
        <f>if($C143=true,W165*(1-'Get Started'!$D$26),W165)</f>
        <v>0</v>
      </c>
      <c r="X504" s="74">
        <f>if($C143=true,X165*(1-'Get Started'!$D$26),X165)</f>
        <v>0</v>
      </c>
      <c r="Y504" s="74">
        <f>if($C143=true,Y165*(1-'Get Started'!$D$26),Y165)</f>
        <v>0</v>
      </c>
      <c r="Z504" s="74">
        <f>if($C143=true,Z165*(1-'Get Started'!$D$26),Z165)</f>
        <v>0</v>
      </c>
    </row>
    <row r="505" hidden="1" outlineLevel="1">
      <c r="B505" s="93">
        <f t="shared" si="261"/>
        <v>8</v>
      </c>
      <c r="C505" s="40"/>
      <c r="D505" s="16" t="s">
        <v>161</v>
      </c>
      <c r="E505" s="74">
        <f t="shared" si="108"/>
        <v>0</v>
      </c>
      <c r="F505" s="74"/>
      <c r="G505" s="74">
        <f>if($C144=true,G166*(1-'Get Started'!$D$26),G166)</f>
        <v>0</v>
      </c>
      <c r="H505" s="74">
        <f>if($C144=true,H166*(1-'Get Started'!$D$26),H166)</f>
        <v>0</v>
      </c>
      <c r="I505" s="74">
        <f>if($C144=true,I166*(1-'Get Started'!$D$26),I166)</f>
        <v>0</v>
      </c>
      <c r="J505" s="74">
        <f>if($C144=true,J166*(1-'Get Started'!$D$26),J166)</f>
        <v>0</v>
      </c>
      <c r="K505" s="74">
        <f>if($C144=true,K166*(1-'Get Started'!$D$26),K166)</f>
        <v>0</v>
      </c>
      <c r="L505" s="74">
        <f>if($C144=true,L166*(1-'Get Started'!$D$26),L166)</f>
        <v>0</v>
      </c>
      <c r="M505" s="74">
        <f>if($C144=true,M166*(1-'Get Started'!$D$26),M166)</f>
        <v>0</v>
      </c>
      <c r="N505" s="74">
        <f>if($C144=true,N166*(1-'Get Started'!$D$26),N166)</f>
        <v>0</v>
      </c>
      <c r="O505" s="74">
        <f>if($C144=true,O166*(1-'Get Started'!$D$26),O166)</f>
        <v>0</v>
      </c>
      <c r="P505" s="74">
        <f>if($C144=true,P166*(1-'Get Started'!$D$26),P166)</f>
        <v>0</v>
      </c>
      <c r="Q505" s="74">
        <f>if($C144=true,Q166*(1-'Get Started'!$D$26),Q166)</f>
        <v>0</v>
      </c>
      <c r="R505" s="74">
        <f>if($C144=true,R166*(1-'Get Started'!$D$26),R166)</f>
        <v>0</v>
      </c>
      <c r="S505" s="74">
        <f>if($C144=true,S166*(1-'Get Started'!$D$26),S166)</f>
        <v>0</v>
      </c>
      <c r="T505" s="74">
        <f>if($C144=true,T166*(1-'Get Started'!$D$26),T166)</f>
        <v>0</v>
      </c>
      <c r="U505" s="74">
        <f>if($C144=true,U166*(1-'Get Started'!$D$26),U166)</f>
        <v>0</v>
      </c>
      <c r="V505" s="74">
        <f>if($C144=true,V166*(1-'Get Started'!$D$26),V166)</f>
        <v>0</v>
      </c>
      <c r="W505" s="74">
        <f>if($C144=true,W166*(1-'Get Started'!$D$26),W166)</f>
        <v>0</v>
      </c>
      <c r="X505" s="74">
        <f>if($C144=true,X166*(1-'Get Started'!$D$26),X166)</f>
        <v>0</v>
      </c>
      <c r="Y505" s="74">
        <f>if($C144=true,Y166*(1-'Get Started'!$D$26),Y166)</f>
        <v>0</v>
      </c>
      <c r="Z505" s="74">
        <f>if($C144=true,Z166*(1-'Get Started'!$D$26),Z166)</f>
        <v>0</v>
      </c>
    </row>
    <row r="506" hidden="1" outlineLevel="1">
      <c r="B506" s="93">
        <f t="shared" si="261"/>
        <v>9</v>
      </c>
      <c r="C506" s="40"/>
      <c r="D506" s="16" t="s">
        <v>161</v>
      </c>
      <c r="E506" s="74">
        <f t="shared" si="108"/>
        <v>0</v>
      </c>
      <c r="F506" s="74"/>
      <c r="G506" s="74">
        <f>if($C145=true,G167*(1-'Get Started'!$D$26),G167)</f>
        <v>0</v>
      </c>
      <c r="H506" s="74">
        <f>if($C145=true,H167*(1-'Get Started'!$D$26),H167)</f>
        <v>0</v>
      </c>
      <c r="I506" s="74">
        <f>if($C145=true,I167*(1-'Get Started'!$D$26),I167)</f>
        <v>0</v>
      </c>
      <c r="J506" s="74">
        <f>if($C145=true,J167*(1-'Get Started'!$D$26),J167)</f>
        <v>0</v>
      </c>
      <c r="K506" s="74">
        <f>if($C145=true,K167*(1-'Get Started'!$D$26),K167)</f>
        <v>0</v>
      </c>
      <c r="L506" s="74">
        <f>if($C145=true,L167*(1-'Get Started'!$D$26),L167)</f>
        <v>0</v>
      </c>
      <c r="M506" s="74">
        <f>if($C145=true,M167*(1-'Get Started'!$D$26),M167)</f>
        <v>0</v>
      </c>
      <c r="N506" s="74">
        <f>if($C145=true,N167*(1-'Get Started'!$D$26),N167)</f>
        <v>0</v>
      </c>
      <c r="O506" s="74">
        <f>if($C145=true,O167*(1-'Get Started'!$D$26),O167)</f>
        <v>0</v>
      </c>
      <c r="P506" s="74">
        <f>if($C145=true,P167*(1-'Get Started'!$D$26),P167)</f>
        <v>0</v>
      </c>
      <c r="Q506" s="74">
        <f>if($C145=true,Q167*(1-'Get Started'!$D$26),Q167)</f>
        <v>0</v>
      </c>
      <c r="R506" s="74">
        <f>if($C145=true,R167*(1-'Get Started'!$D$26),R167)</f>
        <v>0</v>
      </c>
      <c r="S506" s="74">
        <f>if($C145=true,S167*(1-'Get Started'!$D$26),S167)</f>
        <v>0</v>
      </c>
      <c r="T506" s="74">
        <f>if($C145=true,T167*(1-'Get Started'!$D$26),T167)</f>
        <v>0</v>
      </c>
      <c r="U506" s="74">
        <f>if($C145=true,U167*(1-'Get Started'!$D$26),U167)</f>
        <v>0</v>
      </c>
      <c r="V506" s="74">
        <f>if($C145=true,V167*(1-'Get Started'!$D$26),V167)</f>
        <v>0</v>
      </c>
      <c r="W506" s="74">
        <f>if($C145=true,W167*(1-'Get Started'!$D$26),W167)</f>
        <v>0</v>
      </c>
      <c r="X506" s="74">
        <f>if($C145=true,X167*(1-'Get Started'!$D$26),X167)</f>
        <v>0</v>
      </c>
      <c r="Y506" s="74">
        <f>if($C145=true,Y167*(1-'Get Started'!$D$26),Y167)</f>
        <v>0</v>
      </c>
      <c r="Z506" s="74">
        <f>if($C145=true,Z167*(1-'Get Started'!$D$26),Z167)</f>
        <v>0</v>
      </c>
    </row>
    <row r="507" hidden="1" outlineLevel="1">
      <c r="B507" s="93">
        <f t="shared" si="261"/>
        <v>10</v>
      </c>
      <c r="C507" s="40"/>
      <c r="D507" s="16" t="s">
        <v>161</v>
      </c>
      <c r="E507" s="74">
        <f t="shared" si="108"/>
        <v>0</v>
      </c>
      <c r="F507" s="74"/>
      <c r="G507" s="74">
        <f>if($C146=true,G168*(1-'Get Started'!$D$26),G168)</f>
        <v>0</v>
      </c>
      <c r="H507" s="74">
        <f>if($C146=true,H168*(1-'Get Started'!$D$26),H168)</f>
        <v>0</v>
      </c>
      <c r="I507" s="74">
        <f>if($C146=true,I168*(1-'Get Started'!$D$26),I168)</f>
        <v>0</v>
      </c>
      <c r="J507" s="74">
        <f>if($C146=true,J168*(1-'Get Started'!$D$26),J168)</f>
        <v>0</v>
      </c>
      <c r="K507" s="74">
        <f>if($C146=true,K168*(1-'Get Started'!$D$26),K168)</f>
        <v>0</v>
      </c>
      <c r="L507" s="74">
        <f>if($C146=true,L168*(1-'Get Started'!$D$26),L168)</f>
        <v>0</v>
      </c>
      <c r="M507" s="74">
        <f>if($C146=true,M168*(1-'Get Started'!$D$26),M168)</f>
        <v>0</v>
      </c>
      <c r="N507" s="74">
        <f>if($C146=true,N168*(1-'Get Started'!$D$26),N168)</f>
        <v>0</v>
      </c>
      <c r="O507" s="74">
        <f>if($C146=true,O168*(1-'Get Started'!$D$26),O168)</f>
        <v>0</v>
      </c>
      <c r="P507" s="74">
        <f>if($C146=true,P168*(1-'Get Started'!$D$26),P168)</f>
        <v>0</v>
      </c>
      <c r="Q507" s="74">
        <f>if($C146=true,Q168*(1-'Get Started'!$D$26),Q168)</f>
        <v>0</v>
      </c>
      <c r="R507" s="74">
        <f>if($C146=true,R168*(1-'Get Started'!$D$26),R168)</f>
        <v>0</v>
      </c>
      <c r="S507" s="74">
        <f>if($C146=true,S168*(1-'Get Started'!$D$26),S168)</f>
        <v>0</v>
      </c>
      <c r="T507" s="74">
        <f>if($C146=true,T168*(1-'Get Started'!$D$26),T168)</f>
        <v>0</v>
      </c>
      <c r="U507" s="74">
        <f>if($C146=true,U168*(1-'Get Started'!$D$26),U168)</f>
        <v>0</v>
      </c>
      <c r="V507" s="74">
        <f>if($C146=true,V168*(1-'Get Started'!$D$26),V168)</f>
        <v>0</v>
      </c>
      <c r="W507" s="74">
        <f>if($C146=true,W168*(1-'Get Started'!$D$26),W168)</f>
        <v>0</v>
      </c>
      <c r="X507" s="74">
        <f>if($C146=true,X168*(1-'Get Started'!$D$26),X168)</f>
        <v>0</v>
      </c>
      <c r="Y507" s="74">
        <f>if($C146=true,Y168*(1-'Get Started'!$D$26),Y168)</f>
        <v>0</v>
      </c>
      <c r="Z507" s="74">
        <f>if($C146=true,Z168*(1-'Get Started'!$D$26),Z168)</f>
        <v>0</v>
      </c>
    </row>
    <row r="508" hidden="1" outlineLevel="1">
      <c r="B508" s="93">
        <f t="shared" si="261"/>
        <v>11</v>
      </c>
      <c r="C508" s="40"/>
      <c r="D508" s="16" t="s">
        <v>161</v>
      </c>
      <c r="E508" s="74">
        <f t="shared" si="108"/>
        <v>0</v>
      </c>
      <c r="F508" s="74"/>
      <c r="G508" s="74">
        <f>if($C147=true,G169*(1-'Get Started'!$D$26),G169)</f>
        <v>0</v>
      </c>
      <c r="H508" s="74">
        <f>if($C147=true,H169*(1-'Get Started'!$D$26),H169)</f>
        <v>0</v>
      </c>
      <c r="I508" s="74">
        <f>if($C147=true,I169*(1-'Get Started'!$D$26),I169)</f>
        <v>0</v>
      </c>
      <c r="J508" s="74">
        <f>if($C147=true,J169*(1-'Get Started'!$D$26),J169)</f>
        <v>0</v>
      </c>
      <c r="K508" s="74">
        <f>if($C147=true,K169*(1-'Get Started'!$D$26),K169)</f>
        <v>0</v>
      </c>
      <c r="L508" s="74">
        <f>if($C147=true,L169*(1-'Get Started'!$D$26),L169)</f>
        <v>0</v>
      </c>
      <c r="M508" s="74">
        <f>if($C147=true,M169*(1-'Get Started'!$D$26),M169)</f>
        <v>0</v>
      </c>
      <c r="N508" s="74">
        <f>if($C147=true,N169*(1-'Get Started'!$D$26),N169)</f>
        <v>0</v>
      </c>
      <c r="O508" s="74">
        <f>if($C147=true,O169*(1-'Get Started'!$D$26),O169)</f>
        <v>0</v>
      </c>
      <c r="P508" s="74">
        <f>if($C147=true,P169*(1-'Get Started'!$D$26),P169)</f>
        <v>0</v>
      </c>
      <c r="Q508" s="74">
        <f>if($C147=true,Q169*(1-'Get Started'!$D$26),Q169)</f>
        <v>0</v>
      </c>
      <c r="R508" s="74">
        <f>if($C147=true,R169*(1-'Get Started'!$D$26),R169)</f>
        <v>0</v>
      </c>
      <c r="S508" s="74">
        <f>if($C147=true,S169*(1-'Get Started'!$D$26),S169)</f>
        <v>0</v>
      </c>
      <c r="T508" s="74">
        <f>if($C147=true,T169*(1-'Get Started'!$D$26),T169)</f>
        <v>0</v>
      </c>
      <c r="U508" s="74">
        <f>if($C147=true,U169*(1-'Get Started'!$D$26),U169)</f>
        <v>0</v>
      </c>
      <c r="V508" s="74">
        <f>if($C147=true,V169*(1-'Get Started'!$D$26),V169)</f>
        <v>0</v>
      </c>
      <c r="W508" s="74">
        <f>if($C147=true,W169*(1-'Get Started'!$D$26),W169)</f>
        <v>0</v>
      </c>
      <c r="X508" s="74">
        <f>if($C147=true,X169*(1-'Get Started'!$D$26),X169)</f>
        <v>0</v>
      </c>
      <c r="Y508" s="74">
        <f>if($C147=true,Y169*(1-'Get Started'!$D$26),Y169)</f>
        <v>0</v>
      </c>
      <c r="Z508" s="74">
        <f>if($C147=true,Z169*(1-'Get Started'!$D$26),Z169)</f>
        <v>0</v>
      </c>
    </row>
    <row r="509" hidden="1" outlineLevel="1">
      <c r="B509" s="93">
        <f t="shared" si="261"/>
        <v>12</v>
      </c>
      <c r="C509" s="40"/>
      <c r="D509" s="16" t="s">
        <v>161</v>
      </c>
      <c r="E509" s="74">
        <f t="shared" si="108"/>
        <v>0</v>
      </c>
      <c r="F509" s="74"/>
      <c r="G509" s="74">
        <f>if($C148=true,G170*(1-'Get Started'!$D$26),G170)</f>
        <v>0</v>
      </c>
      <c r="H509" s="74">
        <f>if($C148=true,H170*(1-'Get Started'!$D$26),H170)</f>
        <v>0</v>
      </c>
      <c r="I509" s="74">
        <f>if($C148=true,I170*(1-'Get Started'!$D$26),I170)</f>
        <v>0</v>
      </c>
      <c r="J509" s="74">
        <f>if($C148=true,J170*(1-'Get Started'!$D$26),J170)</f>
        <v>0</v>
      </c>
      <c r="K509" s="74">
        <f>if($C148=true,K170*(1-'Get Started'!$D$26),K170)</f>
        <v>0</v>
      </c>
      <c r="L509" s="74">
        <f>if($C148=true,L170*(1-'Get Started'!$D$26),L170)</f>
        <v>0</v>
      </c>
      <c r="M509" s="74">
        <f>if($C148=true,M170*(1-'Get Started'!$D$26),M170)</f>
        <v>0</v>
      </c>
      <c r="N509" s="74">
        <f>if($C148=true,N170*(1-'Get Started'!$D$26),N170)</f>
        <v>0</v>
      </c>
      <c r="O509" s="74">
        <f>if($C148=true,O170*(1-'Get Started'!$D$26),O170)</f>
        <v>0</v>
      </c>
      <c r="P509" s="74">
        <f>if($C148=true,P170*(1-'Get Started'!$D$26),P170)</f>
        <v>0</v>
      </c>
      <c r="Q509" s="74">
        <f>if($C148=true,Q170*(1-'Get Started'!$D$26),Q170)</f>
        <v>0</v>
      </c>
      <c r="R509" s="74">
        <f>if($C148=true,R170*(1-'Get Started'!$D$26),R170)</f>
        <v>0</v>
      </c>
      <c r="S509" s="74">
        <f>if($C148=true,S170*(1-'Get Started'!$D$26),S170)</f>
        <v>0</v>
      </c>
      <c r="T509" s="74">
        <f>if($C148=true,T170*(1-'Get Started'!$D$26),T170)</f>
        <v>0</v>
      </c>
      <c r="U509" s="74">
        <f>if($C148=true,U170*(1-'Get Started'!$D$26),U170)</f>
        <v>0</v>
      </c>
      <c r="V509" s="74">
        <f>if($C148=true,V170*(1-'Get Started'!$D$26),V170)</f>
        <v>0</v>
      </c>
      <c r="W509" s="74">
        <f>if($C148=true,W170*(1-'Get Started'!$D$26),W170)</f>
        <v>0</v>
      </c>
      <c r="X509" s="74">
        <f>if($C148=true,X170*(1-'Get Started'!$D$26),X170)</f>
        <v>0</v>
      </c>
      <c r="Y509" s="74">
        <f>if($C148=true,Y170*(1-'Get Started'!$D$26),Y170)</f>
        <v>0</v>
      </c>
      <c r="Z509" s="74">
        <f>if($C148=true,Z170*(1-'Get Started'!$D$26),Z170)</f>
        <v>0</v>
      </c>
    </row>
    <row r="510" hidden="1" outlineLevel="1">
      <c r="B510" s="93">
        <f t="shared" si="261"/>
        <v>13</v>
      </c>
      <c r="C510" s="40"/>
      <c r="D510" s="16" t="s">
        <v>161</v>
      </c>
      <c r="E510" s="74">
        <f t="shared" si="108"/>
        <v>0</v>
      </c>
      <c r="F510" s="74"/>
      <c r="G510" s="74">
        <f>if($C149=true,G171*(1-'Get Started'!$D$26),G171)</f>
        <v>0</v>
      </c>
      <c r="H510" s="74">
        <f>if($C149=true,H171*(1-'Get Started'!$D$26),H171)</f>
        <v>0</v>
      </c>
      <c r="I510" s="74">
        <f>if($C149=true,I171*(1-'Get Started'!$D$26),I171)</f>
        <v>0</v>
      </c>
      <c r="J510" s="74">
        <f>if($C149=true,J171*(1-'Get Started'!$D$26),J171)</f>
        <v>0</v>
      </c>
      <c r="K510" s="74">
        <f>if($C149=true,K171*(1-'Get Started'!$D$26),K171)</f>
        <v>0</v>
      </c>
      <c r="L510" s="74">
        <f>if($C149=true,L171*(1-'Get Started'!$D$26),L171)</f>
        <v>0</v>
      </c>
      <c r="M510" s="74">
        <f>if($C149=true,M171*(1-'Get Started'!$D$26),M171)</f>
        <v>0</v>
      </c>
      <c r="N510" s="74">
        <f>if($C149=true,N171*(1-'Get Started'!$D$26),N171)</f>
        <v>0</v>
      </c>
      <c r="O510" s="74">
        <f>if($C149=true,O171*(1-'Get Started'!$D$26),O171)</f>
        <v>0</v>
      </c>
      <c r="P510" s="74">
        <f>if($C149=true,P171*(1-'Get Started'!$D$26),P171)</f>
        <v>0</v>
      </c>
      <c r="Q510" s="74">
        <f>if($C149=true,Q171*(1-'Get Started'!$D$26),Q171)</f>
        <v>0</v>
      </c>
      <c r="R510" s="74">
        <f>if($C149=true,R171*(1-'Get Started'!$D$26),R171)</f>
        <v>0</v>
      </c>
      <c r="S510" s="74">
        <f>if($C149=true,S171*(1-'Get Started'!$D$26),S171)</f>
        <v>0</v>
      </c>
      <c r="T510" s="74">
        <f>if($C149=true,T171*(1-'Get Started'!$D$26),T171)</f>
        <v>0</v>
      </c>
      <c r="U510" s="74">
        <f>if($C149=true,U171*(1-'Get Started'!$D$26),U171)</f>
        <v>0</v>
      </c>
      <c r="V510" s="74">
        <f>if($C149=true,V171*(1-'Get Started'!$D$26),V171)</f>
        <v>0</v>
      </c>
      <c r="W510" s="74">
        <f>if($C149=true,W171*(1-'Get Started'!$D$26),W171)</f>
        <v>0</v>
      </c>
      <c r="X510" s="74">
        <f>if($C149=true,X171*(1-'Get Started'!$D$26),X171)</f>
        <v>0</v>
      </c>
      <c r="Y510" s="74">
        <f>if($C149=true,Y171*(1-'Get Started'!$D$26),Y171)</f>
        <v>0</v>
      </c>
      <c r="Z510" s="74">
        <f>if($C149=true,Z171*(1-'Get Started'!$D$26),Z171)</f>
        <v>0</v>
      </c>
    </row>
    <row r="511" hidden="1" outlineLevel="1">
      <c r="B511" s="93">
        <f t="shared" si="261"/>
        <v>14</v>
      </c>
      <c r="C511" s="40"/>
      <c r="D511" s="16" t="s">
        <v>161</v>
      </c>
      <c r="E511" s="74">
        <f t="shared" si="108"/>
        <v>0</v>
      </c>
      <c r="F511" s="74"/>
      <c r="G511" s="74">
        <f>if($C150=true,G172*(1-'Get Started'!$D$26),G172)</f>
        <v>0</v>
      </c>
      <c r="H511" s="74">
        <f>if($C150=true,H172*(1-'Get Started'!$D$26),H172)</f>
        <v>0</v>
      </c>
      <c r="I511" s="74">
        <f>if($C150=true,I172*(1-'Get Started'!$D$26),I172)</f>
        <v>0</v>
      </c>
      <c r="J511" s="74">
        <f>if($C150=true,J172*(1-'Get Started'!$D$26),J172)</f>
        <v>0</v>
      </c>
      <c r="K511" s="74">
        <f>if($C150=true,K172*(1-'Get Started'!$D$26),K172)</f>
        <v>0</v>
      </c>
      <c r="L511" s="74">
        <f>if($C150=true,L172*(1-'Get Started'!$D$26),L172)</f>
        <v>0</v>
      </c>
      <c r="M511" s="74">
        <f>if($C150=true,M172*(1-'Get Started'!$D$26),M172)</f>
        <v>0</v>
      </c>
      <c r="N511" s="74">
        <f>if($C150=true,N172*(1-'Get Started'!$D$26),N172)</f>
        <v>0</v>
      </c>
      <c r="O511" s="74">
        <f>if($C150=true,O172*(1-'Get Started'!$D$26),O172)</f>
        <v>0</v>
      </c>
      <c r="P511" s="74">
        <f>if($C150=true,P172*(1-'Get Started'!$D$26),P172)</f>
        <v>0</v>
      </c>
      <c r="Q511" s="74">
        <f>if($C150=true,Q172*(1-'Get Started'!$D$26),Q172)</f>
        <v>0</v>
      </c>
      <c r="R511" s="74">
        <f>if($C150=true,R172*(1-'Get Started'!$D$26),R172)</f>
        <v>0</v>
      </c>
      <c r="S511" s="74">
        <f>if($C150=true,S172*(1-'Get Started'!$D$26),S172)</f>
        <v>0</v>
      </c>
      <c r="T511" s="74">
        <f>if($C150=true,T172*(1-'Get Started'!$D$26),T172)</f>
        <v>0</v>
      </c>
      <c r="U511" s="74">
        <f>if($C150=true,U172*(1-'Get Started'!$D$26),U172)</f>
        <v>0</v>
      </c>
      <c r="V511" s="74">
        <f>if($C150=true,V172*(1-'Get Started'!$D$26),V172)</f>
        <v>0</v>
      </c>
      <c r="W511" s="74">
        <f>if($C150=true,W172*(1-'Get Started'!$D$26),W172)</f>
        <v>0</v>
      </c>
      <c r="X511" s="74">
        <f>if($C150=true,X172*(1-'Get Started'!$D$26),X172)</f>
        <v>0</v>
      </c>
      <c r="Y511" s="74">
        <f>if($C150=true,Y172*(1-'Get Started'!$D$26),Y172)</f>
        <v>0</v>
      </c>
      <c r="Z511" s="74">
        <f>if($C150=true,Z172*(1-'Get Started'!$D$26),Z172)</f>
        <v>0</v>
      </c>
    </row>
    <row r="512" hidden="1" outlineLevel="1">
      <c r="B512" s="93">
        <f t="shared" si="261"/>
        <v>15</v>
      </c>
      <c r="C512" s="40"/>
      <c r="D512" s="16" t="s">
        <v>161</v>
      </c>
      <c r="E512" s="74">
        <f t="shared" si="108"/>
        <v>0</v>
      </c>
      <c r="F512" s="74"/>
      <c r="G512" s="74">
        <f>if($C151=true,G173*(1-'Get Started'!$D$26),G173)</f>
        <v>0</v>
      </c>
      <c r="H512" s="74">
        <f>if($C151=true,H173*(1-'Get Started'!$D$26),H173)</f>
        <v>0</v>
      </c>
      <c r="I512" s="74">
        <f>if($C151=true,I173*(1-'Get Started'!$D$26),I173)</f>
        <v>0</v>
      </c>
      <c r="J512" s="74">
        <f>if($C151=true,J173*(1-'Get Started'!$D$26),J173)</f>
        <v>0</v>
      </c>
      <c r="K512" s="74">
        <f>if($C151=true,K173*(1-'Get Started'!$D$26),K173)</f>
        <v>0</v>
      </c>
      <c r="L512" s="74">
        <f>if($C151=true,L173*(1-'Get Started'!$D$26),L173)</f>
        <v>0</v>
      </c>
      <c r="M512" s="74">
        <f>if($C151=true,M173*(1-'Get Started'!$D$26),M173)</f>
        <v>0</v>
      </c>
      <c r="N512" s="74">
        <f>if($C151=true,N173*(1-'Get Started'!$D$26),N173)</f>
        <v>0</v>
      </c>
      <c r="O512" s="74">
        <f>if($C151=true,O173*(1-'Get Started'!$D$26),O173)</f>
        <v>0</v>
      </c>
      <c r="P512" s="74">
        <f>if($C151=true,P173*(1-'Get Started'!$D$26),P173)</f>
        <v>0</v>
      </c>
      <c r="Q512" s="74">
        <f>if($C151=true,Q173*(1-'Get Started'!$D$26),Q173)</f>
        <v>0</v>
      </c>
      <c r="R512" s="74">
        <f>if($C151=true,R173*(1-'Get Started'!$D$26),R173)</f>
        <v>0</v>
      </c>
      <c r="S512" s="74">
        <f>if($C151=true,S173*(1-'Get Started'!$D$26),S173)</f>
        <v>0</v>
      </c>
      <c r="T512" s="74">
        <f>if($C151=true,T173*(1-'Get Started'!$D$26),T173)</f>
        <v>0</v>
      </c>
      <c r="U512" s="74">
        <f>if($C151=true,U173*(1-'Get Started'!$D$26),U173)</f>
        <v>0</v>
      </c>
      <c r="V512" s="74">
        <f>if($C151=true,V173*(1-'Get Started'!$D$26),V173)</f>
        <v>0</v>
      </c>
      <c r="W512" s="74">
        <f>if($C151=true,W173*(1-'Get Started'!$D$26),W173)</f>
        <v>0</v>
      </c>
      <c r="X512" s="74">
        <f>if($C151=true,X173*(1-'Get Started'!$D$26),X173)</f>
        <v>0</v>
      </c>
      <c r="Y512" s="74">
        <f>if($C151=true,Y173*(1-'Get Started'!$D$26),Y173)</f>
        <v>0</v>
      </c>
      <c r="Z512" s="74">
        <f>if($C151=true,Z173*(1-'Get Started'!$D$26),Z173)</f>
        <v>0</v>
      </c>
    </row>
    <row r="513" hidden="1" outlineLevel="1">
      <c r="B513" s="93">
        <f t="shared" si="261"/>
        <v>16</v>
      </c>
      <c r="C513" s="40"/>
      <c r="D513" s="16" t="s">
        <v>161</v>
      </c>
      <c r="E513" s="74">
        <f t="shared" si="108"/>
        <v>0</v>
      </c>
      <c r="F513" s="74"/>
      <c r="G513" s="74">
        <f>if($C152=true,G174*(1-'Get Started'!$D$26),G174)</f>
        <v>0</v>
      </c>
      <c r="H513" s="74">
        <f>if($C152=true,H174*(1-'Get Started'!$D$26),H174)</f>
        <v>0</v>
      </c>
      <c r="I513" s="74">
        <f>if($C152=true,I174*(1-'Get Started'!$D$26),I174)</f>
        <v>0</v>
      </c>
      <c r="J513" s="74">
        <f>if($C152=true,J174*(1-'Get Started'!$D$26),J174)</f>
        <v>0</v>
      </c>
      <c r="K513" s="74">
        <f>if($C152=true,K174*(1-'Get Started'!$D$26),K174)</f>
        <v>0</v>
      </c>
      <c r="L513" s="74">
        <f>if($C152=true,L174*(1-'Get Started'!$D$26),L174)</f>
        <v>0</v>
      </c>
      <c r="M513" s="74">
        <f>if($C152=true,M174*(1-'Get Started'!$D$26),M174)</f>
        <v>0</v>
      </c>
      <c r="N513" s="74">
        <f>if($C152=true,N174*(1-'Get Started'!$D$26),N174)</f>
        <v>0</v>
      </c>
      <c r="O513" s="74">
        <f>if($C152=true,O174*(1-'Get Started'!$D$26),O174)</f>
        <v>0</v>
      </c>
      <c r="P513" s="74">
        <f>if($C152=true,P174*(1-'Get Started'!$D$26),P174)</f>
        <v>0</v>
      </c>
      <c r="Q513" s="74">
        <f>if($C152=true,Q174*(1-'Get Started'!$D$26),Q174)</f>
        <v>0</v>
      </c>
      <c r="R513" s="74">
        <f>if($C152=true,R174*(1-'Get Started'!$D$26),R174)</f>
        <v>0</v>
      </c>
      <c r="S513" s="74">
        <f>if($C152=true,S174*(1-'Get Started'!$D$26),S174)</f>
        <v>0</v>
      </c>
      <c r="T513" s="74">
        <f>if($C152=true,T174*(1-'Get Started'!$D$26),T174)</f>
        <v>0</v>
      </c>
      <c r="U513" s="74">
        <f>if($C152=true,U174*(1-'Get Started'!$D$26),U174)</f>
        <v>0</v>
      </c>
      <c r="V513" s="74">
        <f>if($C152=true,V174*(1-'Get Started'!$D$26),V174)</f>
        <v>0</v>
      </c>
      <c r="W513" s="74">
        <f>if($C152=true,W174*(1-'Get Started'!$D$26),W174)</f>
        <v>0</v>
      </c>
      <c r="X513" s="74">
        <f>if($C152=true,X174*(1-'Get Started'!$D$26),X174)</f>
        <v>0</v>
      </c>
      <c r="Y513" s="74">
        <f>if($C152=true,Y174*(1-'Get Started'!$D$26),Y174)</f>
        <v>0</v>
      </c>
      <c r="Z513" s="74">
        <f>if($C152=true,Z174*(1-'Get Started'!$D$26),Z174)</f>
        <v>0</v>
      </c>
    </row>
    <row r="514" hidden="1" outlineLevel="1">
      <c r="B514" s="93">
        <f t="shared" si="261"/>
        <v>17</v>
      </c>
      <c r="C514" s="40"/>
      <c r="D514" s="16" t="s">
        <v>161</v>
      </c>
      <c r="E514" s="74">
        <f t="shared" si="108"/>
        <v>0</v>
      </c>
      <c r="F514" s="74"/>
      <c r="G514" s="74">
        <f>if($C153=true,G175*(1-'Get Started'!$D$26),G175)</f>
        <v>0</v>
      </c>
      <c r="H514" s="74">
        <f>if($C153=true,H175*(1-'Get Started'!$D$26),H175)</f>
        <v>0</v>
      </c>
      <c r="I514" s="74">
        <f>if($C153=true,I175*(1-'Get Started'!$D$26),I175)</f>
        <v>0</v>
      </c>
      <c r="J514" s="74">
        <f>if($C153=true,J175*(1-'Get Started'!$D$26),J175)</f>
        <v>0</v>
      </c>
      <c r="K514" s="74">
        <f>if($C153=true,K175*(1-'Get Started'!$D$26),K175)</f>
        <v>0</v>
      </c>
      <c r="L514" s="74">
        <f>if($C153=true,L175*(1-'Get Started'!$D$26),L175)</f>
        <v>0</v>
      </c>
      <c r="M514" s="74">
        <f>if($C153=true,M175*(1-'Get Started'!$D$26),M175)</f>
        <v>0</v>
      </c>
      <c r="N514" s="74">
        <f>if($C153=true,N175*(1-'Get Started'!$D$26),N175)</f>
        <v>0</v>
      </c>
      <c r="O514" s="74">
        <f>if($C153=true,O175*(1-'Get Started'!$D$26),O175)</f>
        <v>0</v>
      </c>
      <c r="P514" s="74">
        <f>if($C153=true,P175*(1-'Get Started'!$D$26),P175)</f>
        <v>0</v>
      </c>
      <c r="Q514" s="74">
        <f>if($C153=true,Q175*(1-'Get Started'!$D$26),Q175)</f>
        <v>0</v>
      </c>
      <c r="R514" s="74">
        <f>if($C153=true,R175*(1-'Get Started'!$D$26),R175)</f>
        <v>0</v>
      </c>
      <c r="S514" s="74">
        <f>if($C153=true,S175*(1-'Get Started'!$D$26),S175)</f>
        <v>0</v>
      </c>
      <c r="T514" s="74">
        <f>if($C153=true,T175*(1-'Get Started'!$D$26),T175)</f>
        <v>0</v>
      </c>
      <c r="U514" s="74">
        <f>if($C153=true,U175*(1-'Get Started'!$D$26),U175)</f>
        <v>0</v>
      </c>
      <c r="V514" s="74">
        <f>if($C153=true,V175*(1-'Get Started'!$D$26),V175)</f>
        <v>0</v>
      </c>
      <c r="W514" s="74">
        <f>if($C153=true,W175*(1-'Get Started'!$D$26),W175)</f>
        <v>0</v>
      </c>
      <c r="X514" s="74">
        <f>if($C153=true,X175*(1-'Get Started'!$D$26),X175)</f>
        <v>0</v>
      </c>
      <c r="Y514" s="74">
        <f>if($C153=true,Y175*(1-'Get Started'!$D$26),Y175)</f>
        <v>0</v>
      </c>
      <c r="Z514" s="74">
        <f>if($C153=true,Z175*(1-'Get Started'!$D$26),Z175)</f>
        <v>0</v>
      </c>
    </row>
    <row r="515" hidden="1" outlineLevel="1">
      <c r="B515" s="93">
        <f t="shared" si="261"/>
        <v>18</v>
      </c>
      <c r="C515" s="40"/>
      <c r="D515" s="16" t="s">
        <v>161</v>
      </c>
      <c r="E515" s="74">
        <f t="shared" si="108"/>
        <v>0</v>
      </c>
      <c r="F515" s="74"/>
      <c r="G515" s="74">
        <f>if($C154=true,G176*(1-'Get Started'!$D$26),G176)</f>
        <v>0</v>
      </c>
      <c r="H515" s="74">
        <f>if($C154=true,H176*(1-'Get Started'!$D$26),H176)</f>
        <v>0</v>
      </c>
      <c r="I515" s="74">
        <f>if($C154=true,I176*(1-'Get Started'!$D$26),I176)</f>
        <v>0</v>
      </c>
      <c r="J515" s="74">
        <f>if($C154=true,J176*(1-'Get Started'!$D$26),J176)</f>
        <v>0</v>
      </c>
      <c r="K515" s="74">
        <f>if($C154=true,K176*(1-'Get Started'!$D$26),K176)</f>
        <v>0</v>
      </c>
      <c r="L515" s="74">
        <f>if($C154=true,L176*(1-'Get Started'!$D$26),L176)</f>
        <v>0</v>
      </c>
      <c r="M515" s="74">
        <f>if($C154=true,M176*(1-'Get Started'!$D$26),M176)</f>
        <v>0</v>
      </c>
      <c r="N515" s="74">
        <f>if($C154=true,N176*(1-'Get Started'!$D$26),N176)</f>
        <v>0</v>
      </c>
      <c r="O515" s="74">
        <f>if($C154=true,O176*(1-'Get Started'!$D$26),O176)</f>
        <v>0</v>
      </c>
      <c r="P515" s="74">
        <f>if($C154=true,P176*(1-'Get Started'!$D$26),P176)</f>
        <v>0</v>
      </c>
      <c r="Q515" s="74">
        <f>if($C154=true,Q176*(1-'Get Started'!$D$26),Q176)</f>
        <v>0</v>
      </c>
      <c r="R515" s="74">
        <f>if($C154=true,R176*(1-'Get Started'!$D$26),R176)</f>
        <v>0</v>
      </c>
      <c r="S515" s="74">
        <f>if($C154=true,S176*(1-'Get Started'!$D$26),S176)</f>
        <v>0</v>
      </c>
      <c r="T515" s="74">
        <f>if($C154=true,T176*(1-'Get Started'!$D$26),T176)</f>
        <v>0</v>
      </c>
      <c r="U515" s="74">
        <f>if($C154=true,U176*(1-'Get Started'!$D$26),U176)</f>
        <v>0</v>
      </c>
      <c r="V515" s="74">
        <f>if($C154=true,V176*(1-'Get Started'!$D$26),V176)</f>
        <v>0</v>
      </c>
      <c r="W515" s="74">
        <f>if($C154=true,W176*(1-'Get Started'!$D$26),W176)</f>
        <v>0</v>
      </c>
      <c r="X515" s="74">
        <f>if($C154=true,X176*(1-'Get Started'!$D$26),X176)</f>
        <v>0</v>
      </c>
      <c r="Y515" s="74">
        <f>if($C154=true,Y176*(1-'Get Started'!$D$26),Y176)</f>
        <v>0</v>
      </c>
      <c r="Z515" s="74">
        <f>if($C154=true,Z176*(1-'Get Started'!$D$26),Z176)</f>
        <v>0</v>
      </c>
    </row>
    <row r="516" hidden="1" outlineLevel="1">
      <c r="B516" s="93">
        <f t="shared" si="261"/>
        <v>19</v>
      </c>
      <c r="C516" s="40"/>
      <c r="D516" s="16" t="s">
        <v>161</v>
      </c>
      <c r="E516" s="74">
        <f t="shared" si="108"/>
        <v>0</v>
      </c>
      <c r="F516" s="74"/>
      <c r="G516" s="74">
        <f>if($C155=true,G177*(1-'Get Started'!$D$26),G177)</f>
        <v>0</v>
      </c>
      <c r="H516" s="74">
        <f>if($C155=true,H177*(1-'Get Started'!$D$26),H177)</f>
        <v>0</v>
      </c>
      <c r="I516" s="74">
        <f>if($C155=true,I177*(1-'Get Started'!$D$26),I177)</f>
        <v>0</v>
      </c>
      <c r="J516" s="74">
        <f>if($C155=true,J177*(1-'Get Started'!$D$26),J177)</f>
        <v>0</v>
      </c>
      <c r="K516" s="74">
        <f>if($C155=true,K177*(1-'Get Started'!$D$26),K177)</f>
        <v>0</v>
      </c>
      <c r="L516" s="74">
        <f>if($C155=true,L177*(1-'Get Started'!$D$26),L177)</f>
        <v>0</v>
      </c>
      <c r="M516" s="74">
        <f>if($C155=true,M177*(1-'Get Started'!$D$26),M177)</f>
        <v>0</v>
      </c>
      <c r="N516" s="74">
        <f>if($C155=true,N177*(1-'Get Started'!$D$26),N177)</f>
        <v>0</v>
      </c>
      <c r="O516" s="74">
        <f>if($C155=true,O177*(1-'Get Started'!$D$26),O177)</f>
        <v>0</v>
      </c>
      <c r="P516" s="74">
        <f>if($C155=true,P177*(1-'Get Started'!$D$26),P177)</f>
        <v>0</v>
      </c>
      <c r="Q516" s="74">
        <f>if($C155=true,Q177*(1-'Get Started'!$D$26),Q177)</f>
        <v>0</v>
      </c>
      <c r="R516" s="74">
        <f>if($C155=true,R177*(1-'Get Started'!$D$26),R177)</f>
        <v>0</v>
      </c>
      <c r="S516" s="74">
        <f>if($C155=true,S177*(1-'Get Started'!$D$26),S177)</f>
        <v>0</v>
      </c>
      <c r="T516" s="74">
        <f>if($C155=true,T177*(1-'Get Started'!$D$26),T177)</f>
        <v>0</v>
      </c>
      <c r="U516" s="74">
        <f>if($C155=true,U177*(1-'Get Started'!$D$26),U177)</f>
        <v>0</v>
      </c>
      <c r="V516" s="74">
        <f>if($C155=true,V177*(1-'Get Started'!$D$26),V177)</f>
        <v>0</v>
      </c>
      <c r="W516" s="74">
        <f>if($C155=true,W177*(1-'Get Started'!$D$26),W177)</f>
        <v>0</v>
      </c>
      <c r="X516" s="74">
        <f>if($C155=true,X177*(1-'Get Started'!$D$26),X177)</f>
        <v>0</v>
      </c>
      <c r="Y516" s="74">
        <f>if($C155=true,Y177*(1-'Get Started'!$D$26),Y177)</f>
        <v>0</v>
      </c>
      <c r="Z516" s="74">
        <f>if($C155=true,Z177*(1-'Get Started'!$D$26),Z177)</f>
        <v>0</v>
      </c>
    </row>
    <row r="517" hidden="1" outlineLevel="1">
      <c r="B517" s="93">
        <f t="shared" si="261"/>
        <v>20</v>
      </c>
      <c r="C517" s="40"/>
      <c r="D517" s="16" t="s">
        <v>161</v>
      </c>
      <c r="E517" s="74">
        <f t="shared" si="108"/>
        <v>0</v>
      </c>
      <c r="F517" s="74"/>
      <c r="G517" s="74">
        <f>if($C156=true,G178*(1-'Get Started'!$D$26),G178)</f>
        <v>0</v>
      </c>
      <c r="H517" s="74">
        <f>if($C156=true,H178*(1-'Get Started'!$D$26),H178)</f>
        <v>0</v>
      </c>
      <c r="I517" s="74">
        <f>if($C156=true,I178*(1-'Get Started'!$D$26),I178)</f>
        <v>0</v>
      </c>
      <c r="J517" s="74">
        <f>if($C156=true,J178*(1-'Get Started'!$D$26),J178)</f>
        <v>0</v>
      </c>
      <c r="K517" s="74">
        <f>if($C156=true,K178*(1-'Get Started'!$D$26),K178)</f>
        <v>0</v>
      </c>
      <c r="L517" s="74">
        <f>if($C156=true,L178*(1-'Get Started'!$D$26),L178)</f>
        <v>0</v>
      </c>
      <c r="M517" s="74">
        <f>if($C156=true,M178*(1-'Get Started'!$D$26),M178)</f>
        <v>0</v>
      </c>
      <c r="N517" s="74">
        <f>if($C156=true,N178*(1-'Get Started'!$D$26),N178)</f>
        <v>0</v>
      </c>
      <c r="O517" s="74">
        <f>if($C156=true,O178*(1-'Get Started'!$D$26),O178)</f>
        <v>0</v>
      </c>
      <c r="P517" s="74">
        <f>if($C156=true,P178*(1-'Get Started'!$D$26),P178)</f>
        <v>0</v>
      </c>
      <c r="Q517" s="74">
        <f>if($C156=true,Q178*(1-'Get Started'!$D$26),Q178)</f>
        <v>0</v>
      </c>
      <c r="R517" s="74">
        <f>if($C156=true,R178*(1-'Get Started'!$D$26),R178)</f>
        <v>0</v>
      </c>
      <c r="S517" s="74">
        <f>if($C156=true,S178*(1-'Get Started'!$D$26),S178)</f>
        <v>0</v>
      </c>
      <c r="T517" s="74">
        <f>if($C156=true,T178*(1-'Get Started'!$D$26),T178)</f>
        <v>0</v>
      </c>
      <c r="U517" s="74">
        <f>if($C156=true,U178*(1-'Get Started'!$D$26),U178)</f>
        <v>0</v>
      </c>
      <c r="V517" s="74">
        <f>if($C156=true,V178*(1-'Get Started'!$D$26),V178)</f>
        <v>0</v>
      </c>
      <c r="W517" s="74">
        <f>if($C156=true,W178*(1-'Get Started'!$D$26),W178)</f>
        <v>0</v>
      </c>
      <c r="X517" s="74">
        <f>if($C156=true,X178*(1-'Get Started'!$D$26),X178)</f>
        <v>0</v>
      </c>
      <c r="Y517" s="74">
        <f>if($C156=true,Y178*(1-'Get Started'!$D$26),Y178)</f>
        <v>0</v>
      </c>
      <c r="Z517" s="74">
        <f>if($C156=true,Z178*(1-'Get Started'!$D$26),Z178)</f>
        <v>0</v>
      </c>
    </row>
    <row r="518" collapsed="1">
      <c r="B518" s="40" t="str">
        <f>B413&amp;", from LPs"</f>
        <v>Change in Invested Capital, from LPs</v>
      </c>
      <c r="C518" s="16"/>
      <c r="D518" s="16" t="s">
        <v>161</v>
      </c>
      <c r="E518" s="74">
        <f t="shared" si="108"/>
        <v>-0.00000001676380634</v>
      </c>
      <c r="F518" s="78"/>
      <c r="G518" s="77">
        <f t="shared" ref="G518:Z518" si="262">sum(G519:G538)</f>
        <v>4656685</v>
      </c>
      <c r="H518" s="77">
        <f t="shared" si="262"/>
        <v>12417826.67</v>
      </c>
      <c r="I518" s="77">
        <f t="shared" si="262"/>
        <v>20178968.33</v>
      </c>
      <c r="J518" s="77">
        <f t="shared" si="262"/>
        <v>22701339.38</v>
      </c>
      <c r="K518" s="77">
        <f t="shared" si="262"/>
        <v>17462568.75</v>
      </c>
      <c r="L518" s="77">
        <f t="shared" si="262"/>
        <v>8149198.75</v>
      </c>
      <c r="M518" s="77">
        <f t="shared" si="262"/>
        <v>-582085.625</v>
      </c>
      <c r="N518" s="77">
        <f t="shared" si="262"/>
        <v>-4074599.375</v>
      </c>
      <c r="O518" s="77">
        <f t="shared" si="262"/>
        <v>-9701427.083</v>
      </c>
      <c r="P518" s="77">
        <f t="shared" si="262"/>
        <v>-14358112.08</v>
      </c>
      <c r="Q518" s="77">
        <f t="shared" si="262"/>
        <v>-19596882.71</v>
      </c>
      <c r="R518" s="77">
        <f t="shared" si="262"/>
        <v>-18626740</v>
      </c>
      <c r="S518" s="77">
        <f t="shared" si="262"/>
        <v>-12417826.67</v>
      </c>
      <c r="T518" s="77">
        <f t="shared" si="262"/>
        <v>-6208913.333</v>
      </c>
      <c r="U518" s="77">
        <f t="shared" si="262"/>
        <v>0</v>
      </c>
      <c r="V518" s="77">
        <f t="shared" si="262"/>
        <v>0</v>
      </c>
      <c r="W518" s="77">
        <f t="shared" si="262"/>
        <v>0</v>
      </c>
      <c r="X518" s="77">
        <f t="shared" si="262"/>
        <v>0</v>
      </c>
      <c r="Y518" s="77">
        <f t="shared" si="262"/>
        <v>0</v>
      </c>
      <c r="Z518" s="77">
        <f t="shared" si="262"/>
        <v>0</v>
      </c>
    </row>
    <row r="519" hidden="1" outlineLevel="1">
      <c r="B519" s="93">
        <f>G$4</f>
        <v>1</v>
      </c>
      <c r="C519" s="40"/>
      <c r="D519" s="16" t="s">
        <v>161</v>
      </c>
      <c r="E519" s="74">
        <f t="shared" si="108"/>
        <v>0.000000005587935448</v>
      </c>
      <c r="F519" s="74"/>
      <c r="G519" s="74">
        <f>if($C137=true,G414*(1-'Get Started'!$D$26),G414)</f>
        <v>4656685</v>
      </c>
      <c r="H519" s="74">
        <f>if($C137=true,H414*(1-'Get Started'!$D$26),H414)</f>
        <v>7761141.667</v>
      </c>
      <c r="I519" s="74">
        <f>if($C137=true,I414*(1-'Get Started'!$D$26),I414)</f>
        <v>7761141.667</v>
      </c>
      <c r="J519" s="74">
        <f>if($C137=true,J414*(1-'Get Started'!$D$26),J414)</f>
        <v>7179056.042</v>
      </c>
      <c r="K519" s="74">
        <f>if($C137=true,K414*(1-'Get Started'!$D$26),K414)</f>
        <v>2522371.042</v>
      </c>
      <c r="L519" s="74">
        <f>if($C137=true,L414*(1-'Get Started'!$D$26),L414)</f>
        <v>-1552228.333</v>
      </c>
      <c r="M519" s="74">
        <f>if($C137=true,M414*(1-'Get Started'!$D$26),M414)</f>
        <v>-1552228.333</v>
      </c>
      <c r="N519" s="74">
        <f>if($C137=true,N414*(1-'Get Started'!$D$26),N414)</f>
        <v>-970142.7083</v>
      </c>
      <c r="O519" s="74">
        <f>if($C137=true,O414*(1-'Get Started'!$D$26),O414)</f>
        <v>-7179056.042</v>
      </c>
      <c r="P519" s="74">
        <f>if($C137=true,P414*(1-'Get Started'!$D$26),P414)</f>
        <v>-6208913.333</v>
      </c>
      <c r="Q519" s="74">
        <f>if($C137=true,Q414*(1-'Get Started'!$D$26),Q414)</f>
        <v>-6208913.333</v>
      </c>
      <c r="R519" s="74">
        <f>if($C137=true,R414*(1-'Get Started'!$D$26),R414)</f>
        <v>-6208913.333</v>
      </c>
      <c r="S519" s="74">
        <f>if($C137=true,S414*(1-'Get Started'!$D$26),S414)</f>
        <v>0</v>
      </c>
      <c r="T519" s="74">
        <f>if($C137=true,T414*(1-'Get Started'!$D$26),T414)</f>
        <v>0</v>
      </c>
      <c r="U519" s="74">
        <f>if($C137=true,U414*(1-'Get Started'!$D$26),U414)</f>
        <v>0</v>
      </c>
      <c r="V519" s="74">
        <f>if($C137=true,V414*(1-'Get Started'!$D$26),V414)</f>
        <v>0</v>
      </c>
      <c r="W519" s="74">
        <f>if($C137=true,W414*(1-'Get Started'!$D$26),W414)</f>
        <v>0</v>
      </c>
      <c r="X519" s="74">
        <f>if($C137=true,X414*(1-'Get Started'!$D$26),X414)</f>
        <v>0</v>
      </c>
      <c r="Y519" s="74">
        <f>if($C137=true,Y414*(1-'Get Started'!$D$26),Y414)</f>
        <v>0</v>
      </c>
      <c r="Z519" s="74">
        <f>if($C137=true,Z414*(1-'Get Started'!$D$26),Z414)</f>
        <v>0</v>
      </c>
    </row>
    <row r="520" hidden="1" outlineLevel="1">
      <c r="B520" s="93">
        <f t="shared" ref="B520:B538" si="263">B519+1</f>
        <v>2</v>
      </c>
      <c r="C520" s="40"/>
      <c r="D520" s="16" t="s">
        <v>161</v>
      </c>
      <c r="E520" s="74">
        <f t="shared" si="108"/>
        <v>0.000000005587935448</v>
      </c>
      <c r="F520" s="74"/>
      <c r="G520" s="74">
        <f>if($C138=true,G415*(1-'Get Started'!$D$26),G415)</f>
        <v>0</v>
      </c>
      <c r="H520" s="74">
        <f>if($C138=true,H415*(1-'Get Started'!$D$26),H415)</f>
        <v>4656685</v>
      </c>
      <c r="I520" s="74">
        <f>if($C138=true,I415*(1-'Get Started'!$D$26),I415)</f>
        <v>7761141.667</v>
      </c>
      <c r="J520" s="74">
        <f>if($C138=true,J415*(1-'Get Started'!$D$26),J415)</f>
        <v>7761141.667</v>
      </c>
      <c r="K520" s="74">
        <f>if($C138=true,K415*(1-'Get Started'!$D$26),K415)</f>
        <v>7179056.042</v>
      </c>
      <c r="L520" s="74">
        <f>if($C138=true,L415*(1-'Get Started'!$D$26),L415)</f>
        <v>2522371.042</v>
      </c>
      <c r="M520" s="74">
        <f>if($C138=true,M415*(1-'Get Started'!$D$26),M415)</f>
        <v>-1552228.333</v>
      </c>
      <c r="N520" s="74">
        <f>if($C138=true,N415*(1-'Get Started'!$D$26),N415)</f>
        <v>-1552228.333</v>
      </c>
      <c r="O520" s="74">
        <f>if($C138=true,O415*(1-'Get Started'!$D$26),O415)</f>
        <v>-970142.7083</v>
      </c>
      <c r="P520" s="74">
        <f>if($C138=true,P415*(1-'Get Started'!$D$26),P415)</f>
        <v>-7179056.042</v>
      </c>
      <c r="Q520" s="74">
        <f>if($C138=true,Q415*(1-'Get Started'!$D$26),Q415)</f>
        <v>-6208913.333</v>
      </c>
      <c r="R520" s="74">
        <f>if($C138=true,R415*(1-'Get Started'!$D$26),R415)</f>
        <v>-6208913.333</v>
      </c>
      <c r="S520" s="74">
        <f>if($C138=true,S415*(1-'Get Started'!$D$26),S415)</f>
        <v>-6208913.333</v>
      </c>
      <c r="T520" s="74">
        <f>if($C138=true,T415*(1-'Get Started'!$D$26),T415)</f>
        <v>0</v>
      </c>
      <c r="U520" s="74">
        <f>if($C138=true,U415*(1-'Get Started'!$D$26),U415)</f>
        <v>0</v>
      </c>
      <c r="V520" s="74">
        <f>if($C138=true,V415*(1-'Get Started'!$D$26),V415)</f>
        <v>0</v>
      </c>
      <c r="W520" s="74">
        <f>if($C138=true,W415*(1-'Get Started'!$D$26),W415)</f>
        <v>0</v>
      </c>
      <c r="X520" s="74">
        <f>if($C138=true,X415*(1-'Get Started'!$D$26),X415)</f>
        <v>0</v>
      </c>
      <c r="Y520" s="74">
        <f>if($C138=true,Y415*(1-'Get Started'!$D$26),Y415)</f>
        <v>0</v>
      </c>
      <c r="Z520" s="74">
        <f>if($C138=true,Z415*(1-'Get Started'!$D$26),Z415)</f>
        <v>0</v>
      </c>
    </row>
    <row r="521" hidden="1" outlineLevel="1">
      <c r="B521" s="93">
        <f t="shared" si="263"/>
        <v>3</v>
      </c>
      <c r="C521" s="40"/>
      <c r="D521" s="16" t="s">
        <v>161</v>
      </c>
      <c r="E521" s="74">
        <f t="shared" si="108"/>
        <v>0.000000005587935448</v>
      </c>
      <c r="F521" s="74"/>
      <c r="G521" s="74">
        <f>if($C139=true,G416*(1-'Get Started'!$D$26),G416)</f>
        <v>0</v>
      </c>
      <c r="H521" s="74">
        <f>if($C139=true,H416*(1-'Get Started'!$D$26),H416)</f>
        <v>0</v>
      </c>
      <c r="I521" s="74">
        <f>if($C139=true,I416*(1-'Get Started'!$D$26),I416)</f>
        <v>4656685</v>
      </c>
      <c r="J521" s="74">
        <f>if($C139=true,J416*(1-'Get Started'!$D$26),J416)</f>
        <v>7761141.667</v>
      </c>
      <c r="K521" s="74">
        <f>if($C139=true,K416*(1-'Get Started'!$D$26),K416)</f>
        <v>7761141.667</v>
      </c>
      <c r="L521" s="74">
        <f>if($C139=true,L416*(1-'Get Started'!$D$26),L416)</f>
        <v>7179056.042</v>
      </c>
      <c r="M521" s="74">
        <f>if($C139=true,M416*(1-'Get Started'!$D$26),M416)</f>
        <v>2522371.042</v>
      </c>
      <c r="N521" s="74">
        <f>if($C139=true,N416*(1-'Get Started'!$D$26),N416)</f>
        <v>-1552228.333</v>
      </c>
      <c r="O521" s="74">
        <f>if($C139=true,O416*(1-'Get Started'!$D$26),O416)</f>
        <v>-1552228.333</v>
      </c>
      <c r="P521" s="74">
        <f>if($C139=true,P416*(1-'Get Started'!$D$26),P416)</f>
        <v>-970142.7083</v>
      </c>
      <c r="Q521" s="74">
        <f>if($C139=true,Q416*(1-'Get Started'!$D$26),Q416)</f>
        <v>-7179056.042</v>
      </c>
      <c r="R521" s="74">
        <f>if($C139=true,R416*(1-'Get Started'!$D$26),R416)</f>
        <v>-6208913.333</v>
      </c>
      <c r="S521" s="74">
        <f>if($C139=true,S416*(1-'Get Started'!$D$26),S416)</f>
        <v>-6208913.333</v>
      </c>
      <c r="T521" s="74">
        <f>if($C139=true,T416*(1-'Get Started'!$D$26),T416)</f>
        <v>-6208913.333</v>
      </c>
      <c r="U521" s="74">
        <f>if($C139=true,U416*(1-'Get Started'!$D$26),U416)</f>
        <v>0</v>
      </c>
      <c r="V521" s="74">
        <f>if($C139=true,V416*(1-'Get Started'!$D$26),V416)</f>
        <v>0</v>
      </c>
      <c r="W521" s="74">
        <f>if($C139=true,W416*(1-'Get Started'!$D$26),W416)</f>
        <v>0</v>
      </c>
      <c r="X521" s="74">
        <f>if($C139=true,X416*(1-'Get Started'!$D$26),X416)</f>
        <v>0</v>
      </c>
      <c r="Y521" s="74">
        <f>if($C139=true,Y416*(1-'Get Started'!$D$26),Y416)</f>
        <v>0</v>
      </c>
      <c r="Z521" s="74">
        <f>if($C139=true,Z416*(1-'Get Started'!$D$26),Z416)</f>
        <v>0</v>
      </c>
    </row>
    <row r="522" hidden="1" outlineLevel="1">
      <c r="B522" s="93">
        <f t="shared" si="263"/>
        <v>4</v>
      </c>
      <c r="C522" s="40"/>
      <c r="D522" s="16" t="s">
        <v>161</v>
      </c>
      <c r="E522" s="74">
        <f t="shared" si="108"/>
        <v>0</v>
      </c>
      <c r="F522" s="74"/>
      <c r="G522" s="74">
        <f>if($C140=true,G417*(1-'Get Started'!$D$26),G417)</f>
        <v>0</v>
      </c>
      <c r="H522" s="74">
        <f>if($C140=true,H417*(1-'Get Started'!$D$26),H417)</f>
        <v>0</v>
      </c>
      <c r="I522" s="74">
        <f>if($C140=true,I417*(1-'Get Started'!$D$26),I417)</f>
        <v>0</v>
      </c>
      <c r="J522" s="74">
        <f>if($C140=true,J417*(1-'Get Started'!$D$26),J417)</f>
        <v>0</v>
      </c>
      <c r="K522" s="74">
        <f>if($C140=true,K417*(1-'Get Started'!$D$26),K417)</f>
        <v>0</v>
      </c>
      <c r="L522" s="74">
        <f>if($C140=true,L417*(1-'Get Started'!$D$26),L417)</f>
        <v>0</v>
      </c>
      <c r="M522" s="74">
        <f>if($C140=true,M417*(1-'Get Started'!$D$26),M417)</f>
        <v>0</v>
      </c>
      <c r="N522" s="74">
        <f>if($C140=true,N417*(1-'Get Started'!$D$26),N417)</f>
        <v>0</v>
      </c>
      <c r="O522" s="74">
        <f>if($C140=true,O417*(1-'Get Started'!$D$26),O417)</f>
        <v>0</v>
      </c>
      <c r="P522" s="74">
        <f>if($C140=true,P417*(1-'Get Started'!$D$26),P417)</f>
        <v>0</v>
      </c>
      <c r="Q522" s="74">
        <f>if($C140=true,Q417*(1-'Get Started'!$D$26),Q417)</f>
        <v>0</v>
      </c>
      <c r="R522" s="74">
        <f>if($C140=true,R417*(1-'Get Started'!$D$26),R417)</f>
        <v>0</v>
      </c>
      <c r="S522" s="74">
        <f>if($C140=true,S417*(1-'Get Started'!$D$26),S417)</f>
        <v>0</v>
      </c>
      <c r="T522" s="74">
        <f>if($C140=true,T417*(1-'Get Started'!$D$26),T417)</f>
        <v>0</v>
      </c>
      <c r="U522" s="74">
        <f>if($C140=true,U417*(1-'Get Started'!$D$26),U417)</f>
        <v>0</v>
      </c>
      <c r="V522" s="74">
        <f>if($C140=true,V417*(1-'Get Started'!$D$26),V417)</f>
        <v>0</v>
      </c>
      <c r="W522" s="74">
        <f>if($C140=true,W417*(1-'Get Started'!$D$26),W417)</f>
        <v>0</v>
      </c>
      <c r="X522" s="74">
        <f>if($C140=true,X417*(1-'Get Started'!$D$26),X417)</f>
        <v>0</v>
      </c>
      <c r="Y522" s="74">
        <f>if($C140=true,Y417*(1-'Get Started'!$D$26),Y417)</f>
        <v>0</v>
      </c>
      <c r="Z522" s="74">
        <f>if($C140=true,Z417*(1-'Get Started'!$D$26),Z417)</f>
        <v>0</v>
      </c>
    </row>
    <row r="523" hidden="1" outlineLevel="1">
      <c r="B523" s="93">
        <f t="shared" si="263"/>
        <v>5</v>
      </c>
      <c r="C523" s="40"/>
      <c r="D523" s="16" t="s">
        <v>161</v>
      </c>
      <c r="E523" s="74">
        <f t="shared" si="108"/>
        <v>0</v>
      </c>
      <c r="F523" s="74"/>
      <c r="G523" s="74">
        <f>if($C141=true,G418*(1-'Get Started'!$D$26),G418)</f>
        <v>0</v>
      </c>
      <c r="H523" s="74">
        <f>if($C141=true,H418*(1-'Get Started'!$D$26),H418)</f>
        <v>0</v>
      </c>
      <c r="I523" s="74">
        <f>if($C141=true,I418*(1-'Get Started'!$D$26),I418)</f>
        <v>0</v>
      </c>
      <c r="J523" s="74">
        <f>if($C141=true,J418*(1-'Get Started'!$D$26),J418)</f>
        <v>0</v>
      </c>
      <c r="K523" s="74">
        <f>if($C141=true,K418*(1-'Get Started'!$D$26),K418)</f>
        <v>0</v>
      </c>
      <c r="L523" s="74">
        <f>if($C141=true,L418*(1-'Get Started'!$D$26),L418)</f>
        <v>0</v>
      </c>
      <c r="M523" s="74">
        <f>if($C141=true,M418*(1-'Get Started'!$D$26),M418)</f>
        <v>0</v>
      </c>
      <c r="N523" s="74">
        <f>if($C141=true,N418*(1-'Get Started'!$D$26),N418)</f>
        <v>0</v>
      </c>
      <c r="O523" s="74">
        <f>if($C141=true,O418*(1-'Get Started'!$D$26),O418)</f>
        <v>0</v>
      </c>
      <c r="P523" s="74">
        <f>if($C141=true,P418*(1-'Get Started'!$D$26),P418)</f>
        <v>0</v>
      </c>
      <c r="Q523" s="74">
        <f>if($C141=true,Q418*(1-'Get Started'!$D$26),Q418)</f>
        <v>0</v>
      </c>
      <c r="R523" s="74">
        <f>if($C141=true,R418*(1-'Get Started'!$D$26),R418)</f>
        <v>0</v>
      </c>
      <c r="S523" s="74">
        <f>if($C141=true,S418*(1-'Get Started'!$D$26),S418)</f>
        <v>0</v>
      </c>
      <c r="T523" s="74">
        <f>if($C141=true,T418*(1-'Get Started'!$D$26),T418)</f>
        <v>0</v>
      </c>
      <c r="U523" s="74">
        <f>if($C141=true,U418*(1-'Get Started'!$D$26),U418)</f>
        <v>0</v>
      </c>
      <c r="V523" s="74">
        <f>if($C141=true,V418*(1-'Get Started'!$D$26),V418)</f>
        <v>0</v>
      </c>
      <c r="W523" s="74">
        <f>if($C141=true,W418*(1-'Get Started'!$D$26),W418)</f>
        <v>0</v>
      </c>
      <c r="X523" s="74">
        <f>if($C141=true,X418*(1-'Get Started'!$D$26),X418)</f>
        <v>0</v>
      </c>
      <c r="Y523" s="74">
        <f>if($C141=true,Y418*(1-'Get Started'!$D$26),Y418)</f>
        <v>0</v>
      </c>
      <c r="Z523" s="74">
        <f>if($C141=true,Z418*(1-'Get Started'!$D$26),Z418)</f>
        <v>0</v>
      </c>
    </row>
    <row r="524" hidden="1" outlineLevel="1">
      <c r="B524" s="93">
        <f t="shared" si="263"/>
        <v>6</v>
      </c>
      <c r="C524" s="40"/>
      <c r="D524" s="16" t="s">
        <v>161</v>
      </c>
      <c r="E524" s="74">
        <f t="shared" si="108"/>
        <v>0</v>
      </c>
      <c r="F524" s="74"/>
      <c r="G524" s="74">
        <f>if($C142=true,G419*(1-'Get Started'!$D$26),G419)</f>
        <v>0</v>
      </c>
      <c r="H524" s="74">
        <f>if($C142=true,H419*(1-'Get Started'!$D$26),H419)</f>
        <v>0</v>
      </c>
      <c r="I524" s="74">
        <f>if($C142=true,I419*(1-'Get Started'!$D$26),I419)</f>
        <v>0</v>
      </c>
      <c r="J524" s="74">
        <f>if($C142=true,J419*(1-'Get Started'!$D$26),J419)</f>
        <v>0</v>
      </c>
      <c r="K524" s="74">
        <f>if($C142=true,K419*(1-'Get Started'!$D$26),K419)</f>
        <v>0</v>
      </c>
      <c r="L524" s="74">
        <f>if($C142=true,L419*(1-'Get Started'!$D$26),L419)</f>
        <v>0</v>
      </c>
      <c r="M524" s="74">
        <f>if($C142=true,M419*(1-'Get Started'!$D$26),M419)</f>
        <v>0</v>
      </c>
      <c r="N524" s="74">
        <f>if($C142=true,N419*(1-'Get Started'!$D$26),N419)</f>
        <v>0</v>
      </c>
      <c r="O524" s="74">
        <f>if($C142=true,O419*(1-'Get Started'!$D$26),O419)</f>
        <v>0</v>
      </c>
      <c r="P524" s="74">
        <f>if($C142=true,P419*(1-'Get Started'!$D$26),P419)</f>
        <v>0</v>
      </c>
      <c r="Q524" s="74">
        <f>if($C142=true,Q419*(1-'Get Started'!$D$26),Q419)</f>
        <v>0</v>
      </c>
      <c r="R524" s="74">
        <f>if($C142=true,R419*(1-'Get Started'!$D$26),R419)</f>
        <v>0</v>
      </c>
      <c r="S524" s="74">
        <f>if($C142=true,S419*(1-'Get Started'!$D$26),S419)</f>
        <v>0</v>
      </c>
      <c r="T524" s="74">
        <f>if($C142=true,T419*(1-'Get Started'!$D$26),T419)</f>
        <v>0</v>
      </c>
      <c r="U524" s="74">
        <f>if($C142=true,U419*(1-'Get Started'!$D$26),U419)</f>
        <v>0</v>
      </c>
      <c r="V524" s="74">
        <f>if($C142=true,V419*(1-'Get Started'!$D$26),V419)</f>
        <v>0</v>
      </c>
      <c r="W524" s="74">
        <f>if($C142=true,W419*(1-'Get Started'!$D$26),W419)</f>
        <v>0</v>
      </c>
      <c r="X524" s="74">
        <f>if($C142=true,X419*(1-'Get Started'!$D$26),X419)</f>
        <v>0</v>
      </c>
      <c r="Y524" s="74">
        <f>if($C142=true,Y419*(1-'Get Started'!$D$26),Y419)</f>
        <v>0</v>
      </c>
      <c r="Z524" s="74">
        <f>if($C142=true,Z419*(1-'Get Started'!$D$26),Z419)</f>
        <v>0</v>
      </c>
    </row>
    <row r="525" hidden="1" outlineLevel="1">
      <c r="B525" s="93">
        <f t="shared" si="263"/>
        <v>7</v>
      </c>
      <c r="C525" s="40"/>
      <c r="D525" s="16" t="s">
        <v>161</v>
      </c>
      <c r="E525" s="74">
        <f t="shared" si="108"/>
        <v>0</v>
      </c>
      <c r="F525" s="74"/>
      <c r="G525" s="74">
        <f>if($C143=true,G420*(1-'Get Started'!$D$26),G420)</f>
        <v>0</v>
      </c>
      <c r="H525" s="74">
        <f>if($C143=true,H420*(1-'Get Started'!$D$26),H420)</f>
        <v>0</v>
      </c>
      <c r="I525" s="74">
        <f>if($C143=true,I420*(1-'Get Started'!$D$26),I420)</f>
        <v>0</v>
      </c>
      <c r="J525" s="74">
        <f>if($C143=true,J420*(1-'Get Started'!$D$26),J420)</f>
        <v>0</v>
      </c>
      <c r="K525" s="74">
        <f>if($C143=true,K420*(1-'Get Started'!$D$26),K420)</f>
        <v>0</v>
      </c>
      <c r="L525" s="74">
        <f>if($C143=true,L420*(1-'Get Started'!$D$26),L420)</f>
        <v>0</v>
      </c>
      <c r="M525" s="74">
        <f>if($C143=true,M420*(1-'Get Started'!$D$26),M420)</f>
        <v>0</v>
      </c>
      <c r="N525" s="74">
        <f>if($C143=true,N420*(1-'Get Started'!$D$26),N420)</f>
        <v>0</v>
      </c>
      <c r="O525" s="74">
        <f>if($C143=true,O420*(1-'Get Started'!$D$26),O420)</f>
        <v>0</v>
      </c>
      <c r="P525" s="74">
        <f>if($C143=true,P420*(1-'Get Started'!$D$26),P420)</f>
        <v>0</v>
      </c>
      <c r="Q525" s="74">
        <f>if($C143=true,Q420*(1-'Get Started'!$D$26),Q420)</f>
        <v>0</v>
      </c>
      <c r="R525" s="74">
        <f>if($C143=true,R420*(1-'Get Started'!$D$26),R420)</f>
        <v>0</v>
      </c>
      <c r="S525" s="74">
        <f>if($C143=true,S420*(1-'Get Started'!$D$26),S420)</f>
        <v>0</v>
      </c>
      <c r="T525" s="74">
        <f>if($C143=true,T420*(1-'Get Started'!$D$26),T420)</f>
        <v>0</v>
      </c>
      <c r="U525" s="74">
        <f>if($C143=true,U420*(1-'Get Started'!$D$26),U420)</f>
        <v>0</v>
      </c>
      <c r="V525" s="74">
        <f>if($C143=true,V420*(1-'Get Started'!$D$26),V420)</f>
        <v>0</v>
      </c>
      <c r="W525" s="74">
        <f>if($C143=true,W420*(1-'Get Started'!$D$26),W420)</f>
        <v>0</v>
      </c>
      <c r="X525" s="74">
        <f>if($C143=true,X420*(1-'Get Started'!$D$26),X420)</f>
        <v>0</v>
      </c>
      <c r="Y525" s="74">
        <f>if($C143=true,Y420*(1-'Get Started'!$D$26),Y420)</f>
        <v>0</v>
      </c>
      <c r="Z525" s="74">
        <f>if($C143=true,Z420*(1-'Get Started'!$D$26),Z420)</f>
        <v>0</v>
      </c>
    </row>
    <row r="526" hidden="1" outlineLevel="1">
      <c r="B526" s="93">
        <f t="shared" si="263"/>
        <v>8</v>
      </c>
      <c r="C526" s="40"/>
      <c r="D526" s="16" t="s">
        <v>161</v>
      </c>
      <c r="E526" s="74">
        <f t="shared" si="108"/>
        <v>0</v>
      </c>
      <c r="F526" s="74"/>
      <c r="G526" s="74">
        <f>if($C144=true,G421*(1-'Get Started'!$D$26),G421)</f>
        <v>0</v>
      </c>
      <c r="H526" s="74">
        <f>if($C144=true,H421*(1-'Get Started'!$D$26),H421)</f>
        <v>0</v>
      </c>
      <c r="I526" s="74">
        <f>if($C144=true,I421*(1-'Get Started'!$D$26),I421)</f>
        <v>0</v>
      </c>
      <c r="J526" s="74">
        <f>if($C144=true,J421*(1-'Get Started'!$D$26),J421)</f>
        <v>0</v>
      </c>
      <c r="K526" s="74">
        <f>if($C144=true,K421*(1-'Get Started'!$D$26),K421)</f>
        <v>0</v>
      </c>
      <c r="L526" s="74">
        <f>if($C144=true,L421*(1-'Get Started'!$D$26),L421)</f>
        <v>0</v>
      </c>
      <c r="M526" s="74">
        <f>if($C144=true,M421*(1-'Get Started'!$D$26),M421)</f>
        <v>0</v>
      </c>
      <c r="N526" s="74">
        <f>if($C144=true,N421*(1-'Get Started'!$D$26),N421)</f>
        <v>0</v>
      </c>
      <c r="O526" s="74">
        <f>if($C144=true,O421*(1-'Get Started'!$D$26),O421)</f>
        <v>0</v>
      </c>
      <c r="P526" s="74">
        <f>if($C144=true,P421*(1-'Get Started'!$D$26),P421)</f>
        <v>0</v>
      </c>
      <c r="Q526" s="74">
        <f>if($C144=true,Q421*(1-'Get Started'!$D$26),Q421)</f>
        <v>0</v>
      </c>
      <c r="R526" s="74">
        <f>if($C144=true,R421*(1-'Get Started'!$D$26),R421)</f>
        <v>0</v>
      </c>
      <c r="S526" s="74">
        <f>if($C144=true,S421*(1-'Get Started'!$D$26),S421)</f>
        <v>0</v>
      </c>
      <c r="T526" s="74">
        <f>if($C144=true,T421*(1-'Get Started'!$D$26),T421)</f>
        <v>0</v>
      </c>
      <c r="U526" s="74">
        <f>if($C144=true,U421*(1-'Get Started'!$D$26),U421)</f>
        <v>0</v>
      </c>
      <c r="V526" s="74">
        <f>if($C144=true,V421*(1-'Get Started'!$D$26),V421)</f>
        <v>0</v>
      </c>
      <c r="W526" s="74">
        <f>if($C144=true,W421*(1-'Get Started'!$D$26),W421)</f>
        <v>0</v>
      </c>
      <c r="X526" s="74">
        <f>if($C144=true,X421*(1-'Get Started'!$D$26),X421)</f>
        <v>0</v>
      </c>
      <c r="Y526" s="74">
        <f>if($C144=true,Y421*(1-'Get Started'!$D$26),Y421)</f>
        <v>0</v>
      </c>
      <c r="Z526" s="74">
        <f>if($C144=true,Z421*(1-'Get Started'!$D$26),Z421)</f>
        <v>0</v>
      </c>
    </row>
    <row r="527" hidden="1" outlineLevel="1">
      <c r="B527" s="93">
        <f t="shared" si="263"/>
        <v>9</v>
      </c>
      <c r="C527" s="40"/>
      <c r="D527" s="16" t="s">
        <v>161</v>
      </c>
      <c r="E527" s="74">
        <f t="shared" si="108"/>
        <v>0</v>
      </c>
      <c r="F527" s="74"/>
      <c r="G527" s="74">
        <f>if($C145=true,G422*(1-'Get Started'!$D$26),G422)</f>
        <v>0</v>
      </c>
      <c r="H527" s="74">
        <f>if($C145=true,H422*(1-'Get Started'!$D$26),H422)</f>
        <v>0</v>
      </c>
      <c r="I527" s="74">
        <f>if($C145=true,I422*(1-'Get Started'!$D$26),I422)</f>
        <v>0</v>
      </c>
      <c r="J527" s="74">
        <f>if($C145=true,J422*(1-'Get Started'!$D$26),J422)</f>
        <v>0</v>
      </c>
      <c r="K527" s="74">
        <f>if($C145=true,K422*(1-'Get Started'!$D$26),K422)</f>
        <v>0</v>
      </c>
      <c r="L527" s="74">
        <f>if($C145=true,L422*(1-'Get Started'!$D$26),L422)</f>
        <v>0</v>
      </c>
      <c r="M527" s="74">
        <f>if($C145=true,M422*(1-'Get Started'!$D$26),M422)</f>
        <v>0</v>
      </c>
      <c r="N527" s="74">
        <f>if($C145=true,N422*(1-'Get Started'!$D$26),N422)</f>
        <v>0</v>
      </c>
      <c r="O527" s="74">
        <f>if($C145=true,O422*(1-'Get Started'!$D$26),O422)</f>
        <v>0</v>
      </c>
      <c r="P527" s="74">
        <f>if($C145=true,P422*(1-'Get Started'!$D$26),P422)</f>
        <v>0</v>
      </c>
      <c r="Q527" s="74">
        <f>if($C145=true,Q422*(1-'Get Started'!$D$26),Q422)</f>
        <v>0</v>
      </c>
      <c r="R527" s="74">
        <f>if($C145=true,R422*(1-'Get Started'!$D$26),R422)</f>
        <v>0</v>
      </c>
      <c r="S527" s="74">
        <f>if($C145=true,S422*(1-'Get Started'!$D$26),S422)</f>
        <v>0</v>
      </c>
      <c r="T527" s="74">
        <f>if($C145=true,T422*(1-'Get Started'!$D$26),T422)</f>
        <v>0</v>
      </c>
      <c r="U527" s="74">
        <f>if($C145=true,U422*(1-'Get Started'!$D$26),U422)</f>
        <v>0</v>
      </c>
      <c r="V527" s="74">
        <f>if($C145=true,V422*(1-'Get Started'!$D$26),V422)</f>
        <v>0</v>
      </c>
      <c r="W527" s="74">
        <f>if($C145=true,W422*(1-'Get Started'!$D$26),W422)</f>
        <v>0</v>
      </c>
      <c r="X527" s="74">
        <f>if($C145=true,X422*(1-'Get Started'!$D$26),X422)</f>
        <v>0</v>
      </c>
      <c r="Y527" s="74">
        <f>if($C145=true,Y422*(1-'Get Started'!$D$26),Y422)</f>
        <v>0</v>
      </c>
      <c r="Z527" s="74">
        <f>if($C145=true,Z422*(1-'Get Started'!$D$26),Z422)</f>
        <v>0</v>
      </c>
    </row>
    <row r="528" hidden="1" outlineLevel="1">
      <c r="B528" s="93">
        <f t="shared" si="263"/>
        <v>10</v>
      </c>
      <c r="C528" s="40"/>
      <c r="D528" s="16" t="s">
        <v>161</v>
      </c>
      <c r="E528" s="74">
        <f t="shared" si="108"/>
        <v>0</v>
      </c>
      <c r="F528" s="74"/>
      <c r="G528" s="74">
        <f>if($C146=true,G423*(1-'Get Started'!$D$26),G423)</f>
        <v>0</v>
      </c>
      <c r="H528" s="74">
        <f>if($C146=true,H423*(1-'Get Started'!$D$26),H423)</f>
        <v>0</v>
      </c>
      <c r="I528" s="74">
        <f>if($C146=true,I423*(1-'Get Started'!$D$26),I423)</f>
        <v>0</v>
      </c>
      <c r="J528" s="74">
        <f>if($C146=true,J423*(1-'Get Started'!$D$26),J423)</f>
        <v>0</v>
      </c>
      <c r="K528" s="74">
        <f>if($C146=true,K423*(1-'Get Started'!$D$26),K423)</f>
        <v>0</v>
      </c>
      <c r="L528" s="74">
        <f>if($C146=true,L423*(1-'Get Started'!$D$26),L423)</f>
        <v>0</v>
      </c>
      <c r="M528" s="74">
        <f>if($C146=true,M423*(1-'Get Started'!$D$26),M423)</f>
        <v>0</v>
      </c>
      <c r="N528" s="74">
        <f>if($C146=true,N423*(1-'Get Started'!$D$26),N423)</f>
        <v>0</v>
      </c>
      <c r="O528" s="74">
        <f>if($C146=true,O423*(1-'Get Started'!$D$26),O423)</f>
        <v>0</v>
      </c>
      <c r="P528" s="74">
        <f>if($C146=true,P423*(1-'Get Started'!$D$26),P423)</f>
        <v>0</v>
      </c>
      <c r="Q528" s="74">
        <f>if($C146=true,Q423*(1-'Get Started'!$D$26),Q423)</f>
        <v>0</v>
      </c>
      <c r="R528" s="74">
        <f>if($C146=true,R423*(1-'Get Started'!$D$26),R423)</f>
        <v>0</v>
      </c>
      <c r="S528" s="74">
        <f>if($C146=true,S423*(1-'Get Started'!$D$26),S423)</f>
        <v>0</v>
      </c>
      <c r="T528" s="74">
        <f>if($C146=true,T423*(1-'Get Started'!$D$26),T423)</f>
        <v>0</v>
      </c>
      <c r="U528" s="74">
        <f>if($C146=true,U423*(1-'Get Started'!$D$26),U423)</f>
        <v>0</v>
      </c>
      <c r="V528" s="74">
        <f>if($C146=true,V423*(1-'Get Started'!$D$26),V423)</f>
        <v>0</v>
      </c>
      <c r="W528" s="74">
        <f>if($C146=true,W423*(1-'Get Started'!$D$26),W423)</f>
        <v>0</v>
      </c>
      <c r="X528" s="74">
        <f>if($C146=true,X423*(1-'Get Started'!$D$26),X423)</f>
        <v>0</v>
      </c>
      <c r="Y528" s="74">
        <f>if($C146=true,Y423*(1-'Get Started'!$D$26),Y423)</f>
        <v>0</v>
      </c>
      <c r="Z528" s="74">
        <f>if($C146=true,Z423*(1-'Get Started'!$D$26),Z423)</f>
        <v>0</v>
      </c>
    </row>
    <row r="529" hidden="1" outlineLevel="1">
      <c r="B529" s="93">
        <f t="shared" si="263"/>
        <v>11</v>
      </c>
      <c r="C529" s="40"/>
      <c r="D529" s="16" t="s">
        <v>161</v>
      </c>
      <c r="E529" s="74">
        <f t="shared" si="108"/>
        <v>0</v>
      </c>
      <c r="F529" s="74"/>
      <c r="G529" s="74">
        <f>if($C147=true,G424*(1-'Get Started'!$D$26),G424)</f>
        <v>0</v>
      </c>
      <c r="H529" s="74">
        <f>if($C147=true,H424*(1-'Get Started'!$D$26),H424)</f>
        <v>0</v>
      </c>
      <c r="I529" s="74">
        <f>if($C147=true,I424*(1-'Get Started'!$D$26),I424)</f>
        <v>0</v>
      </c>
      <c r="J529" s="74">
        <f>if($C147=true,J424*(1-'Get Started'!$D$26),J424)</f>
        <v>0</v>
      </c>
      <c r="K529" s="74">
        <f>if($C147=true,K424*(1-'Get Started'!$D$26),K424)</f>
        <v>0</v>
      </c>
      <c r="L529" s="74">
        <f>if($C147=true,L424*(1-'Get Started'!$D$26),L424)</f>
        <v>0</v>
      </c>
      <c r="M529" s="74">
        <f>if($C147=true,M424*(1-'Get Started'!$D$26),M424)</f>
        <v>0</v>
      </c>
      <c r="N529" s="74">
        <f>if($C147=true,N424*(1-'Get Started'!$D$26),N424)</f>
        <v>0</v>
      </c>
      <c r="O529" s="74">
        <f>if($C147=true,O424*(1-'Get Started'!$D$26),O424)</f>
        <v>0</v>
      </c>
      <c r="P529" s="74">
        <f>if($C147=true,P424*(1-'Get Started'!$D$26),P424)</f>
        <v>0</v>
      </c>
      <c r="Q529" s="74">
        <f>if($C147=true,Q424*(1-'Get Started'!$D$26),Q424)</f>
        <v>0</v>
      </c>
      <c r="R529" s="74">
        <f>if($C147=true,R424*(1-'Get Started'!$D$26),R424)</f>
        <v>0</v>
      </c>
      <c r="S529" s="74">
        <f>if($C147=true,S424*(1-'Get Started'!$D$26),S424)</f>
        <v>0</v>
      </c>
      <c r="T529" s="74">
        <f>if($C147=true,T424*(1-'Get Started'!$D$26),T424)</f>
        <v>0</v>
      </c>
      <c r="U529" s="74">
        <f>if($C147=true,U424*(1-'Get Started'!$D$26),U424)</f>
        <v>0</v>
      </c>
      <c r="V529" s="74">
        <f>if($C147=true,V424*(1-'Get Started'!$D$26),V424)</f>
        <v>0</v>
      </c>
      <c r="W529" s="74">
        <f>if($C147=true,W424*(1-'Get Started'!$D$26),W424)</f>
        <v>0</v>
      </c>
      <c r="X529" s="74">
        <f>if($C147=true,X424*(1-'Get Started'!$D$26),X424)</f>
        <v>0</v>
      </c>
      <c r="Y529" s="74">
        <f>if($C147=true,Y424*(1-'Get Started'!$D$26),Y424)</f>
        <v>0</v>
      </c>
      <c r="Z529" s="74">
        <f>if($C147=true,Z424*(1-'Get Started'!$D$26),Z424)</f>
        <v>0</v>
      </c>
    </row>
    <row r="530" hidden="1" outlineLevel="1">
      <c r="B530" s="93">
        <f t="shared" si="263"/>
        <v>12</v>
      </c>
      <c r="C530" s="40"/>
      <c r="D530" s="16" t="s">
        <v>161</v>
      </c>
      <c r="E530" s="74">
        <f t="shared" si="108"/>
        <v>0</v>
      </c>
      <c r="F530" s="74"/>
      <c r="G530" s="74">
        <f>if($C148=true,G425*(1-'Get Started'!$D$26),G425)</f>
        <v>0</v>
      </c>
      <c r="H530" s="74">
        <f>if($C148=true,H425*(1-'Get Started'!$D$26),H425)</f>
        <v>0</v>
      </c>
      <c r="I530" s="74">
        <f>if($C148=true,I425*(1-'Get Started'!$D$26),I425)</f>
        <v>0</v>
      </c>
      <c r="J530" s="74">
        <f>if($C148=true,J425*(1-'Get Started'!$D$26),J425)</f>
        <v>0</v>
      </c>
      <c r="K530" s="74">
        <f>if($C148=true,K425*(1-'Get Started'!$D$26),K425)</f>
        <v>0</v>
      </c>
      <c r="L530" s="74">
        <f>if($C148=true,L425*(1-'Get Started'!$D$26),L425)</f>
        <v>0</v>
      </c>
      <c r="M530" s="74">
        <f>if($C148=true,M425*(1-'Get Started'!$D$26),M425)</f>
        <v>0</v>
      </c>
      <c r="N530" s="74">
        <f>if($C148=true,N425*(1-'Get Started'!$D$26),N425)</f>
        <v>0</v>
      </c>
      <c r="O530" s="74">
        <f>if($C148=true,O425*(1-'Get Started'!$D$26),O425)</f>
        <v>0</v>
      </c>
      <c r="P530" s="74">
        <f>if($C148=true,P425*(1-'Get Started'!$D$26),P425)</f>
        <v>0</v>
      </c>
      <c r="Q530" s="74">
        <f>if($C148=true,Q425*(1-'Get Started'!$D$26),Q425)</f>
        <v>0</v>
      </c>
      <c r="R530" s="74">
        <f>if($C148=true,R425*(1-'Get Started'!$D$26),R425)</f>
        <v>0</v>
      </c>
      <c r="S530" s="74">
        <f>if($C148=true,S425*(1-'Get Started'!$D$26),S425)</f>
        <v>0</v>
      </c>
      <c r="T530" s="74">
        <f>if($C148=true,T425*(1-'Get Started'!$D$26),T425)</f>
        <v>0</v>
      </c>
      <c r="U530" s="74">
        <f>if($C148=true,U425*(1-'Get Started'!$D$26),U425)</f>
        <v>0</v>
      </c>
      <c r="V530" s="74">
        <f>if($C148=true,V425*(1-'Get Started'!$D$26),V425)</f>
        <v>0</v>
      </c>
      <c r="W530" s="74">
        <f>if($C148=true,W425*(1-'Get Started'!$D$26),W425)</f>
        <v>0</v>
      </c>
      <c r="X530" s="74">
        <f>if($C148=true,X425*(1-'Get Started'!$D$26),X425)</f>
        <v>0</v>
      </c>
      <c r="Y530" s="74">
        <f>if($C148=true,Y425*(1-'Get Started'!$D$26),Y425)</f>
        <v>0</v>
      </c>
      <c r="Z530" s="74">
        <f>if($C148=true,Z425*(1-'Get Started'!$D$26),Z425)</f>
        <v>0</v>
      </c>
    </row>
    <row r="531" hidden="1" outlineLevel="1">
      <c r="B531" s="93">
        <f t="shared" si="263"/>
        <v>13</v>
      </c>
      <c r="C531" s="40"/>
      <c r="D531" s="16" t="s">
        <v>161</v>
      </c>
      <c r="E531" s="74">
        <f t="shared" si="108"/>
        <v>0</v>
      </c>
      <c r="F531" s="74"/>
      <c r="G531" s="74">
        <f>if($C149=true,G426*(1-'Get Started'!$D$26),G426)</f>
        <v>0</v>
      </c>
      <c r="H531" s="74">
        <f>if($C149=true,H426*(1-'Get Started'!$D$26),H426)</f>
        <v>0</v>
      </c>
      <c r="I531" s="74">
        <f>if($C149=true,I426*(1-'Get Started'!$D$26),I426)</f>
        <v>0</v>
      </c>
      <c r="J531" s="74">
        <f>if($C149=true,J426*(1-'Get Started'!$D$26),J426)</f>
        <v>0</v>
      </c>
      <c r="K531" s="74">
        <f>if($C149=true,K426*(1-'Get Started'!$D$26),K426)</f>
        <v>0</v>
      </c>
      <c r="L531" s="74">
        <f>if($C149=true,L426*(1-'Get Started'!$D$26),L426)</f>
        <v>0</v>
      </c>
      <c r="M531" s="74">
        <f>if($C149=true,M426*(1-'Get Started'!$D$26),M426)</f>
        <v>0</v>
      </c>
      <c r="N531" s="74">
        <f>if($C149=true,N426*(1-'Get Started'!$D$26),N426)</f>
        <v>0</v>
      </c>
      <c r="O531" s="74">
        <f>if($C149=true,O426*(1-'Get Started'!$D$26),O426)</f>
        <v>0</v>
      </c>
      <c r="P531" s="74">
        <f>if($C149=true,P426*(1-'Get Started'!$D$26),P426)</f>
        <v>0</v>
      </c>
      <c r="Q531" s="74">
        <f>if($C149=true,Q426*(1-'Get Started'!$D$26),Q426)</f>
        <v>0</v>
      </c>
      <c r="R531" s="74">
        <f>if($C149=true,R426*(1-'Get Started'!$D$26),R426)</f>
        <v>0</v>
      </c>
      <c r="S531" s="74">
        <f>if($C149=true,S426*(1-'Get Started'!$D$26),S426)</f>
        <v>0</v>
      </c>
      <c r="T531" s="74">
        <f>if($C149=true,T426*(1-'Get Started'!$D$26),T426)</f>
        <v>0</v>
      </c>
      <c r="U531" s="74">
        <f>if($C149=true,U426*(1-'Get Started'!$D$26),U426)</f>
        <v>0</v>
      </c>
      <c r="V531" s="74">
        <f>if($C149=true,V426*(1-'Get Started'!$D$26),V426)</f>
        <v>0</v>
      </c>
      <c r="W531" s="74">
        <f>if($C149=true,W426*(1-'Get Started'!$D$26),W426)</f>
        <v>0</v>
      </c>
      <c r="X531" s="74">
        <f>if($C149=true,X426*(1-'Get Started'!$D$26),X426)</f>
        <v>0</v>
      </c>
      <c r="Y531" s="74">
        <f>if($C149=true,Y426*(1-'Get Started'!$D$26),Y426)</f>
        <v>0</v>
      </c>
      <c r="Z531" s="74">
        <f>if($C149=true,Z426*(1-'Get Started'!$D$26),Z426)</f>
        <v>0</v>
      </c>
    </row>
    <row r="532" hidden="1" outlineLevel="1">
      <c r="B532" s="93">
        <f t="shared" si="263"/>
        <v>14</v>
      </c>
      <c r="C532" s="40"/>
      <c r="D532" s="16" t="s">
        <v>161</v>
      </c>
      <c r="E532" s="74">
        <f t="shared" si="108"/>
        <v>0</v>
      </c>
      <c r="F532" s="74"/>
      <c r="G532" s="74">
        <f>if($C150=true,G427*(1-'Get Started'!$D$26),G427)</f>
        <v>0</v>
      </c>
      <c r="H532" s="74">
        <f>if($C150=true,H427*(1-'Get Started'!$D$26),H427)</f>
        <v>0</v>
      </c>
      <c r="I532" s="74">
        <f>if($C150=true,I427*(1-'Get Started'!$D$26),I427)</f>
        <v>0</v>
      </c>
      <c r="J532" s="74">
        <f>if($C150=true,J427*(1-'Get Started'!$D$26),J427)</f>
        <v>0</v>
      </c>
      <c r="K532" s="74">
        <f>if($C150=true,K427*(1-'Get Started'!$D$26),K427)</f>
        <v>0</v>
      </c>
      <c r="L532" s="74">
        <f>if($C150=true,L427*(1-'Get Started'!$D$26),L427)</f>
        <v>0</v>
      </c>
      <c r="M532" s="74">
        <f>if($C150=true,M427*(1-'Get Started'!$D$26),M427)</f>
        <v>0</v>
      </c>
      <c r="N532" s="74">
        <f>if($C150=true,N427*(1-'Get Started'!$D$26),N427)</f>
        <v>0</v>
      </c>
      <c r="O532" s="74">
        <f>if($C150=true,O427*(1-'Get Started'!$D$26),O427)</f>
        <v>0</v>
      </c>
      <c r="P532" s="74">
        <f>if($C150=true,P427*(1-'Get Started'!$D$26),P427)</f>
        <v>0</v>
      </c>
      <c r="Q532" s="74">
        <f>if($C150=true,Q427*(1-'Get Started'!$D$26),Q427)</f>
        <v>0</v>
      </c>
      <c r="R532" s="74">
        <f>if($C150=true,R427*(1-'Get Started'!$D$26),R427)</f>
        <v>0</v>
      </c>
      <c r="S532" s="74">
        <f>if($C150=true,S427*(1-'Get Started'!$D$26),S427)</f>
        <v>0</v>
      </c>
      <c r="T532" s="74">
        <f>if($C150=true,T427*(1-'Get Started'!$D$26),T427)</f>
        <v>0</v>
      </c>
      <c r="U532" s="74">
        <f>if($C150=true,U427*(1-'Get Started'!$D$26),U427)</f>
        <v>0</v>
      </c>
      <c r="V532" s="74">
        <f>if($C150=true,V427*(1-'Get Started'!$D$26),V427)</f>
        <v>0</v>
      </c>
      <c r="W532" s="74">
        <f>if($C150=true,W427*(1-'Get Started'!$D$26),W427)</f>
        <v>0</v>
      </c>
      <c r="X532" s="74">
        <f>if($C150=true,X427*(1-'Get Started'!$D$26),X427)</f>
        <v>0</v>
      </c>
      <c r="Y532" s="74">
        <f>if($C150=true,Y427*(1-'Get Started'!$D$26),Y427)</f>
        <v>0</v>
      </c>
      <c r="Z532" s="74">
        <f>if($C150=true,Z427*(1-'Get Started'!$D$26),Z427)</f>
        <v>0</v>
      </c>
    </row>
    <row r="533" hidden="1" outlineLevel="1">
      <c r="B533" s="93">
        <f t="shared" si="263"/>
        <v>15</v>
      </c>
      <c r="C533" s="40"/>
      <c r="D533" s="16" t="s">
        <v>161</v>
      </c>
      <c r="E533" s="74">
        <f t="shared" si="108"/>
        <v>0</v>
      </c>
      <c r="F533" s="74"/>
      <c r="G533" s="74">
        <f>if($C151=true,G428*(1-'Get Started'!$D$26),G428)</f>
        <v>0</v>
      </c>
      <c r="H533" s="74">
        <f>if($C151=true,H428*(1-'Get Started'!$D$26),H428)</f>
        <v>0</v>
      </c>
      <c r="I533" s="74">
        <f>if($C151=true,I428*(1-'Get Started'!$D$26),I428)</f>
        <v>0</v>
      </c>
      <c r="J533" s="74">
        <f>if($C151=true,J428*(1-'Get Started'!$D$26),J428)</f>
        <v>0</v>
      </c>
      <c r="K533" s="74">
        <f>if($C151=true,K428*(1-'Get Started'!$D$26),K428)</f>
        <v>0</v>
      </c>
      <c r="L533" s="74">
        <f>if($C151=true,L428*(1-'Get Started'!$D$26),L428)</f>
        <v>0</v>
      </c>
      <c r="M533" s="74">
        <f>if($C151=true,M428*(1-'Get Started'!$D$26),M428)</f>
        <v>0</v>
      </c>
      <c r="N533" s="74">
        <f>if($C151=true,N428*(1-'Get Started'!$D$26),N428)</f>
        <v>0</v>
      </c>
      <c r="O533" s="74">
        <f>if($C151=true,O428*(1-'Get Started'!$D$26),O428)</f>
        <v>0</v>
      </c>
      <c r="P533" s="74">
        <f>if($C151=true,P428*(1-'Get Started'!$D$26),P428)</f>
        <v>0</v>
      </c>
      <c r="Q533" s="74">
        <f>if($C151=true,Q428*(1-'Get Started'!$D$26),Q428)</f>
        <v>0</v>
      </c>
      <c r="R533" s="74">
        <f>if($C151=true,R428*(1-'Get Started'!$D$26),R428)</f>
        <v>0</v>
      </c>
      <c r="S533" s="74">
        <f>if($C151=true,S428*(1-'Get Started'!$D$26),S428)</f>
        <v>0</v>
      </c>
      <c r="T533" s="74">
        <f>if($C151=true,T428*(1-'Get Started'!$D$26),T428)</f>
        <v>0</v>
      </c>
      <c r="U533" s="74">
        <f>if($C151=true,U428*(1-'Get Started'!$D$26),U428)</f>
        <v>0</v>
      </c>
      <c r="V533" s="74">
        <f>if($C151=true,V428*(1-'Get Started'!$D$26),V428)</f>
        <v>0</v>
      </c>
      <c r="W533" s="74">
        <f>if($C151=true,W428*(1-'Get Started'!$D$26),W428)</f>
        <v>0</v>
      </c>
      <c r="X533" s="74">
        <f>if($C151=true,X428*(1-'Get Started'!$D$26),X428)</f>
        <v>0</v>
      </c>
      <c r="Y533" s="74">
        <f>if($C151=true,Y428*(1-'Get Started'!$D$26),Y428)</f>
        <v>0</v>
      </c>
      <c r="Z533" s="74">
        <f>if($C151=true,Z428*(1-'Get Started'!$D$26),Z428)</f>
        <v>0</v>
      </c>
    </row>
    <row r="534" hidden="1" outlineLevel="1">
      <c r="B534" s="93">
        <f t="shared" si="263"/>
        <v>16</v>
      </c>
      <c r="C534" s="40"/>
      <c r="D534" s="16" t="s">
        <v>161</v>
      </c>
      <c r="E534" s="74">
        <f t="shared" si="108"/>
        <v>0</v>
      </c>
      <c r="F534" s="74"/>
      <c r="G534" s="74">
        <f>if($C152=true,G429*(1-'Get Started'!$D$26),G429)</f>
        <v>0</v>
      </c>
      <c r="H534" s="74">
        <f>if($C152=true,H429*(1-'Get Started'!$D$26),H429)</f>
        <v>0</v>
      </c>
      <c r="I534" s="74">
        <f>if($C152=true,I429*(1-'Get Started'!$D$26),I429)</f>
        <v>0</v>
      </c>
      <c r="J534" s="74">
        <f>if($C152=true,J429*(1-'Get Started'!$D$26),J429)</f>
        <v>0</v>
      </c>
      <c r="K534" s="74">
        <f>if($C152=true,K429*(1-'Get Started'!$D$26),K429)</f>
        <v>0</v>
      </c>
      <c r="L534" s="74">
        <f>if($C152=true,L429*(1-'Get Started'!$D$26),L429)</f>
        <v>0</v>
      </c>
      <c r="M534" s="74">
        <f>if($C152=true,M429*(1-'Get Started'!$D$26),M429)</f>
        <v>0</v>
      </c>
      <c r="N534" s="74">
        <f>if($C152=true,N429*(1-'Get Started'!$D$26),N429)</f>
        <v>0</v>
      </c>
      <c r="O534" s="74">
        <f>if($C152=true,O429*(1-'Get Started'!$D$26),O429)</f>
        <v>0</v>
      </c>
      <c r="P534" s="74">
        <f>if($C152=true,P429*(1-'Get Started'!$D$26),P429)</f>
        <v>0</v>
      </c>
      <c r="Q534" s="74">
        <f>if($C152=true,Q429*(1-'Get Started'!$D$26),Q429)</f>
        <v>0</v>
      </c>
      <c r="R534" s="74">
        <f>if($C152=true,R429*(1-'Get Started'!$D$26),R429)</f>
        <v>0</v>
      </c>
      <c r="S534" s="74">
        <f>if($C152=true,S429*(1-'Get Started'!$D$26),S429)</f>
        <v>0</v>
      </c>
      <c r="T534" s="74">
        <f>if($C152=true,T429*(1-'Get Started'!$D$26),T429)</f>
        <v>0</v>
      </c>
      <c r="U534" s="74">
        <f>if($C152=true,U429*(1-'Get Started'!$D$26),U429)</f>
        <v>0</v>
      </c>
      <c r="V534" s="74">
        <f>if($C152=true,V429*(1-'Get Started'!$D$26),V429)</f>
        <v>0</v>
      </c>
      <c r="W534" s="74">
        <f>if($C152=true,W429*(1-'Get Started'!$D$26),W429)</f>
        <v>0</v>
      </c>
      <c r="X534" s="74">
        <f>if($C152=true,X429*(1-'Get Started'!$D$26),X429)</f>
        <v>0</v>
      </c>
      <c r="Y534" s="74">
        <f>if($C152=true,Y429*(1-'Get Started'!$D$26),Y429)</f>
        <v>0</v>
      </c>
      <c r="Z534" s="74">
        <f>if($C152=true,Z429*(1-'Get Started'!$D$26),Z429)</f>
        <v>0</v>
      </c>
    </row>
    <row r="535" hidden="1" outlineLevel="1">
      <c r="B535" s="93">
        <f t="shared" si="263"/>
        <v>17</v>
      </c>
      <c r="C535" s="40"/>
      <c r="D535" s="16" t="s">
        <v>161</v>
      </c>
      <c r="E535" s="74">
        <f t="shared" si="108"/>
        <v>0</v>
      </c>
      <c r="F535" s="74"/>
      <c r="G535" s="74">
        <f>if($C153=true,G430*(1-'Get Started'!$D$26),G430)</f>
        <v>0</v>
      </c>
      <c r="H535" s="74">
        <f>if($C153=true,H430*(1-'Get Started'!$D$26),H430)</f>
        <v>0</v>
      </c>
      <c r="I535" s="74">
        <f>if($C153=true,I430*(1-'Get Started'!$D$26),I430)</f>
        <v>0</v>
      </c>
      <c r="J535" s="74">
        <f>if($C153=true,J430*(1-'Get Started'!$D$26),J430)</f>
        <v>0</v>
      </c>
      <c r="K535" s="74">
        <f>if($C153=true,K430*(1-'Get Started'!$D$26),K430)</f>
        <v>0</v>
      </c>
      <c r="L535" s="74">
        <f>if($C153=true,L430*(1-'Get Started'!$D$26),L430)</f>
        <v>0</v>
      </c>
      <c r="M535" s="74">
        <f>if($C153=true,M430*(1-'Get Started'!$D$26),M430)</f>
        <v>0</v>
      </c>
      <c r="N535" s="74">
        <f>if($C153=true,N430*(1-'Get Started'!$D$26),N430)</f>
        <v>0</v>
      </c>
      <c r="O535" s="74">
        <f>if($C153=true,O430*(1-'Get Started'!$D$26),O430)</f>
        <v>0</v>
      </c>
      <c r="P535" s="74">
        <f>if($C153=true,P430*(1-'Get Started'!$D$26),P430)</f>
        <v>0</v>
      </c>
      <c r="Q535" s="74">
        <f>if($C153=true,Q430*(1-'Get Started'!$D$26),Q430)</f>
        <v>0</v>
      </c>
      <c r="R535" s="74">
        <f>if($C153=true,R430*(1-'Get Started'!$D$26),R430)</f>
        <v>0</v>
      </c>
      <c r="S535" s="74">
        <f>if($C153=true,S430*(1-'Get Started'!$D$26),S430)</f>
        <v>0</v>
      </c>
      <c r="T535" s="74">
        <f>if($C153=true,T430*(1-'Get Started'!$D$26),T430)</f>
        <v>0</v>
      </c>
      <c r="U535" s="74">
        <f>if($C153=true,U430*(1-'Get Started'!$D$26),U430)</f>
        <v>0</v>
      </c>
      <c r="V535" s="74">
        <f>if($C153=true,V430*(1-'Get Started'!$D$26),V430)</f>
        <v>0</v>
      </c>
      <c r="W535" s="74">
        <f>if($C153=true,W430*(1-'Get Started'!$D$26),W430)</f>
        <v>0</v>
      </c>
      <c r="X535" s="74">
        <f>if($C153=true,X430*(1-'Get Started'!$D$26),X430)</f>
        <v>0</v>
      </c>
      <c r="Y535" s="74">
        <f>if($C153=true,Y430*(1-'Get Started'!$D$26),Y430)</f>
        <v>0</v>
      </c>
      <c r="Z535" s="74">
        <f>if($C153=true,Z430*(1-'Get Started'!$D$26),Z430)</f>
        <v>0</v>
      </c>
    </row>
    <row r="536" hidden="1" outlineLevel="1">
      <c r="B536" s="93">
        <f t="shared" si="263"/>
        <v>18</v>
      </c>
      <c r="C536" s="40"/>
      <c r="D536" s="16" t="s">
        <v>161</v>
      </c>
      <c r="E536" s="74">
        <f t="shared" si="108"/>
        <v>0</v>
      </c>
      <c r="F536" s="74"/>
      <c r="G536" s="74">
        <f>if($C154=true,G431*(1-'Get Started'!$D$26),G431)</f>
        <v>0</v>
      </c>
      <c r="H536" s="74">
        <f>if($C154=true,H431*(1-'Get Started'!$D$26),H431)</f>
        <v>0</v>
      </c>
      <c r="I536" s="74">
        <f>if($C154=true,I431*(1-'Get Started'!$D$26),I431)</f>
        <v>0</v>
      </c>
      <c r="J536" s="74">
        <f>if($C154=true,J431*(1-'Get Started'!$D$26),J431)</f>
        <v>0</v>
      </c>
      <c r="K536" s="74">
        <f>if($C154=true,K431*(1-'Get Started'!$D$26),K431)</f>
        <v>0</v>
      </c>
      <c r="L536" s="74">
        <f>if($C154=true,L431*(1-'Get Started'!$D$26),L431)</f>
        <v>0</v>
      </c>
      <c r="M536" s="74">
        <f>if($C154=true,M431*(1-'Get Started'!$D$26),M431)</f>
        <v>0</v>
      </c>
      <c r="N536" s="74">
        <f>if($C154=true,N431*(1-'Get Started'!$D$26),N431)</f>
        <v>0</v>
      </c>
      <c r="O536" s="74">
        <f>if($C154=true,O431*(1-'Get Started'!$D$26),O431)</f>
        <v>0</v>
      </c>
      <c r="P536" s="74">
        <f>if($C154=true,P431*(1-'Get Started'!$D$26),P431)</f>
        <v>0</v>
      </c>
      <c r="Q536" s="74">
        <f>if($C154=true,Q431*(1-'Get Started'!$D$26),Q431)</f>
        <v>0</v>
      </c>
      <c r="R536" s="74">
        <f>if($C154=true,R431*(1-'Get Started'!$D$26),R431)</f>
        <v>0</v>
      </c>
      <c r="S536" s="74">
        <f>if($C154=true,S431*(1-'Get Started'!$D$26),S431)</f>
        <v>0</v>
      </c>
      <c r="T536" s="74">
        <f>if($C154=true,T431*(1-'Get Started'!$D$26),T431)</f>
        <v>0</v>
      </c>
      <c r="U536" s="74">
        <f>if($C154=true,U431*(1-'Get Started'!$D$26),U431)</f>
        <v>0</v>
      </c>
      <c r="V536" s="74">
        <f>if($C154=true,V431*(1-'Get Started'!$D$26),V431)</f>
        <v>0</v>
      </c>
      <c r="W536" s="74">
        <f>if($C154=true,W431*(1-'Get Started'!$D$26),W431)</f>
        <v>0</v>
      </c>
      <c r="X536" s="74">
        <f>if($C154=true,X431*(1-'Get Started'!$D$26),X431)</f>
        <v>0</v>
      </c>
      <c r="Y536" s="74">
        <f>if($C154=true,Y431*(1-'Get Started'!$D$26),Y431)</f>
        <v>0</v>
      </c>
      <c r="Z536" s="74">
        <f>if($C154=true,Z431*(1-'Get Started'!$D$26),Z431)</f>
        <v>0</v>
      </c>
    </row>
    <row r="537" hidden="1" outlineLevel="1">
      <c r="B537" s="93">
        <f t="shared" si="263"/>
        <v>19</v>
      </c>
      <c r="C537" s="40"/>
      <c r="D537" s="16" t="s">
        <v>161</v>
      </c>
      <c r="E537" s="74">
        <f t="shared" si="108"/>
        <v>0</v>
      </c>
      <c r="F537" s="74"/>
      <c r="G537" s="74">
        <f>if($C155=true,G432*(1-'Get Started'!$D$26),G432)</f>
        <v>0</v>
      </c>
      <c r="H537" s="74">
        <f>if($C155=true,H432*(1-'Get Started'!$D$26),H432)</f>
        <v>0</v>
      </c>
      <c r="I537" s="74">
        <f>if($C155=true,I432*(1-'Get Started'!$D$26),I432)</f>
        <v>0</v>
      </c>
      <c r="J537" s="74">
        <f>if($C155=true,J432*(1-'Get Started'!$D$26),J432)</f>
        <v>0</v>
      </c>
      <c r="K537" s="74">
        <f>if($C155=true,K432*(1-'Get Started'!$D$26),K432)</f>
        <v>0</v>
      </c>
      <c r="L537" s="74">
        <f>if($C155=true,L432*(1-'Get Started'!$D$26),L432)</f>
        <v>0</v>
      </c>
      <c r="M537" s="74">
        <f>if($C155=true,M432*(1-'Get Started'!$D$26),M432)</f>
        <v>0</v>
      </c>
      <c r="N537" s="74">
        <f>if($C155=true,N432*(1-'Get Started'!$D$26),N432)</f>
        <v>0</v>
      </c>
      <c r="O537" s="74">
        <f>if($C155=true,O432*(1-'Get Started'!$D$26),O432)</f>
        <v>0</v>
      </c>
      <c r="P537" s="74">
        <f>if($C155=true,P432*(1-'Get Started'!$D$26),P432)</f>
        <v>0</v>
      </c>
      <c r="Q537" s="74">
        <f>if($C155=true,Q432*(1-'Get Started'!$D$26),Q432)</f>
        <v>0</v>
      </c>
      <c r="R537" s="74">
        <f>if($C155=true,R432*(1-'Get Started'!$D$26),R432)</f>
        <v>0</v>
      </c>
      <c r="S537" s="74">
        <f>if($C155=true,S432*(1-'Get Started'!$D$26),S432)</f>
        <v>0</v>
      </c>
      <c r="T537" s="74">
        <f>if($C155=true,T432*(1-'Get Started'!$D$26),T432)</f>
        <v>0</v>
      </c>
      <c r="U537" s="74">
        <f>if($C155=true,U432*(1-'Get Started'!$D$26),U432)</f>
        <v>0</v>
      </c>
      <c r="V537" s="74">
        <f>if($C155=true,V432*(1-'Get Started'!$D$26),V432)</f>
        <v>0</v>
      </c>
      <c r="W537" s="74">
        <f>if($C155=true,W432*(1-'Get Started'!$D$26),W432)</f>
        <v>0</v>
      </c>
      <c r="X537" s="74">
        <f>if($C155=true,X432*(1-'Get Started'!$D$26),X432)</f>
        <v>0</v>
      </c>
      <c r="Y537" s="74">
        <f>if($C155=true,Y432*(1-'Get Started'!$D$26),Y432)</f>
        <v>0</v>
      </c>
      <c r="Z537" s="74">
        <f>if($C155=true,Z432*(1-'Get Started'!$D$26),Z432)</f>
        <v>0</v>
      </c>
    </row>
    <row r="538" hidden="1" outlineLevel="1">
      <c r="B538" s="93">
        <f t="shared" si="263"/>
        <v>20</v>
      </c>
      <c r="C538" s="40"/>
      <c r="D538" s="16" t="s">
        <v>161</v>
      </c>
      <c r="E538" s="74">
        <f t="shared" si="108"/>
        <v>0</v>
      </c>
      <c r="F538" s="74"/>
      <c r="G538" s="74">
        <f>if($C156=true,G433*(1-'Get Started'!$D$26),G433)</f>
        <v>0</v>
      </c>
      <c r="H538" s="74">
        <f>if($C156=true,H433*(1-'Get Started'!$D$26),H433)</f>
        <v>0</v>
      </c>
      <c r="I538" s="74">
        <f>if($C156=true,I433*(1-'Get Started'!$D$26),I433)</f>
        <v>0</v>
      </c>
      <c r="J538" s="74">
        <f>if($C156=true,J433*(1-'Get Started'!$D$26),J433)</f>
        <v>0</v>
      </c>
      <c r="K538" s="74">
        <f>if($C156=true,K433*(1-'Get Started'!$D$26),K433)</f>
        <v>0</v>
      </c>
      <c r="L538" s="74">
        <f>if($C156=true,L433*(1-'Get Started'!$D$26),L433)</f>
        <v>0</v>
      </c>
      <c r="M538" s="74">
        <f>if($C156=true,M433*(1-'Get Started'!$D$26),M433)</f>
        <v>0</v>
      </c>
      <c r="N538" s="74">
        <f>if($C156=true,N433*(1-'Get Started'!$D$26),N433)</f>
        <v>0</v>
      </c>
      <c r="O538" s="74">
        <f>if($C156=true,O433*(1-'Get Started'!$D$26),O433)</f>
        <v>0</v>
      </c>
      <c r="P538" s="74">
        <f>if($C156=true,P433*(1-'Get Started'!$D$26),P433)</f>
        <v>0</v>
      </c>
      <c r="Q538" s="74">
        <f>if($C156=true,Q433*(1-'Get Started'!$D$26),Q433)</f>
        <v>0</v>
      </c>
      <c r="R538" s="74">
        <f>if($C156=true,R433*(1-'Get Started'!$D$26),R433)</f>
        <v>0</v>
      </c>
      <c r="S538" s="74">
        <f>if($C156=true,S433*(1-'Get Started'!$D$26),S433)</f>
        <v>0</v>
      </c>
      <c r="T538" s="74">
        <f>if($C156=true,T433*(1-'Get Started'!$D$26),T433)</f>
        <v>0</v>
      </c>
      <c r="U538" s="74">
        <f>if($C156=true,U433*(1-'Get Started'!$D$26),U433)</f>
        <v>0</v>
      </c>
      <c r="V538" s="74">
        <f>if($C156=true,V433*(1-'Get Started'!$D$26),V433)</f>
        <v>0</v>
      </c>
      <c r="W538" s="74">
        <f>if($C156=true,W433*(1-'Get Started'!$D$26),W433)</f>
        <v>0</v>
      </c>
      <c r="X538" s="74">
        <f>if($C156=true,X433*(1-'Get Started'!$D$26),X433)</f>
        <v>0</v>
      </c>
      <c r="Y538" s="74">
        <f>if($C156=true,Y433*(1-'Get Started'!$D$26),Y433)</f>
        <v>0</v>
      </c>
      <c r="Z538" s="74">
        <f>if($C156=true,Z433*(1-'Get Started'!$D$26),Z433)</f>
        <v>0</v>
      </c>
    </row>
    <row r="539" collapsed="1">
      <c r="B539" s="40" t="s">
        <v>199</v>
      </c>
      <c r="C539" s="16"/>
      <c r="D539" s="16" t="s">
        <v>161</v>
      </c>
      <c r="E539" s="74">
        <f t="shared" si="108"/>
        <v>301965840</v>
      </c>
      <c r="F539" s="78"/>
      <c r="G539" s="77">
        <f t="shared" ref="G539:Z539" si="264">sum(G540:G559)</f>
        <v>0</v>
      </c>
      <c r="H539" s="77">
        <f t="shared" si="264"/>
        <v>0</v>
      </c>
      <c r="I539" s="77">
        <f t="shared" si="264"/>
        <v>0</v>
      </c>
      <c r="J539" s="77">
        <f t="shared" si="264"/>
        <v>359342.5</v>
      </c>
      <c r="K539" s="77">
        <f t="shared" si="264"/>
        <v>359342.5</v>
      </c>
      <c r="L539" s="77">
        <f t="shared" si="264"/>
        <v>4302265</v>
      </c>
      <c r="M539" s="77">
        <f t="shared" si="264"/>
        <v>10151835.83</v>
      </c>
      <c r="N539" s="77">
        <f t="shared" si="264"/>
        <v>14032406.67</v>
      </c>
      <c r="O539" s="77">
        <f t="shared" si="264"/>
        <v>36747447</v>
      </c>
      <c r="P539" s="77">
        <f t="shared" si="264"/>
        <v>50407056.33</v>
      </c>
      <c r="Q539" s="77">
        <f t="shared" si="264"/>
        <v>66395008.17</v>
      </c>
      <c r="R539" s="77">
        <f t="shared" si="264"/>
        <v>59605568</v>
      </c>
      <c r="S539" s="77">
        <f t="shared" si="264"/>
        <v>39737045.33</v>
      </c>
      <c r="T539" s="77">
        <f t="shared" si="264"/>
        <v>19868522.67</v>
      </c>
      <c r="U539" s="77">
        <f t="shared" si="264"/>
        <v>0</v>
      </c>
      <c r="V539" s="77">
        <f t="shared" si="264"/>
        <v>0</v>
      </c>
      <c r="W539" s="77">
        <f t="shared" si="264"/>
        <v>0</v>
      </c>
      <c r="X539" s="77">
        <f t="shared" si="264"/>
        <v>0</v>
      </c>
      <c r="Y539" s="77">
        <f t="shared" si="264"/>
        <v>0</v>
      </c>
      <c r="Z539" s="77">
        <f t="shared" si="264"/>
        <v>0</v>
      </c>
    </row>
    <row r="540" hidden="1" outlineLevel="1">
      <c r="B540" s="93">
        <f>G$4</f>
        <v>1</v>
      </c>
      <c r="C540" s="40"/>
      <c r="D540" s="16" t="s">
        <v>161</v>
      </c>
      <c r="E540" s="74">
        <f t="shared" si="108"/>
        <v>100655280</v>
      </c>
      <c r="F540" s="74"/>
      <c r="G540" s="74">
        <f t="shared" ref="G540:Z540" si="265">G348-G327-G561</f>
        <v>0</v>
      </c>
      <c r="H540" s="74">
        <f t="shared" si="265"/>
        <v>0</v>
      </c>
      <c r="I540" s="74">
        <f t="shared" si="265"/>
        <v>0</v>
      </c>
      <c r="J540" s="74">
        <f t="shared" si="265"/>
        <v>359342.5</v>
      </c>
      <c r="K540" s="74">
        <f t="shared" si="265"/>
        <v>0</v>
      </c>
      <c r="L540" s="74">
        <f t="shared" si="265"/>
        <v>3942922.5</v>
      </c>
      <c r="M540" s="74">
        <f t="shared" si="265"/>
        <v>6208913.333</v>
      </c>
      <c r="N540" s="74">
        <f t="shared" si="265"/>
        <v>3880570.833</v>
      </c>
      <c r="O540" s="74">
        <f t="shared" si="265"/>
        <v>26657962.83</v>
      </c>
      <c r="P540" s="74">
        <f t="shared" si="265"/>
        <v>19868522.67</v>
      </c>
      <c r="Q540" s="74">
        <f t="shared" si="265"/>
        <v>19868522.67</v>
      </c>
      <c r="R540" s="74">
        <f t="shared" si="265"/>
        <v>19868522.67</v>
      </c>
      <c r="S540" s="74">
        <f t="shared" si="265"/>
        <v>0</v>
      </c>
      <c r="T540" s="74">
        <f t="shared" si="265"/>
        <v>0</v>
      </c>
      <c r="U540" s="74">
        <f t="shared" si="265"/>
        <v>0</v>
      </c>
      <c r="V540" s="74">
        <f t="shared" si="265"/>
        <v>0</v>
      </c>
      <c r="W540" s="74">
        <f t="shared" si="265"/>
        <v>0</v>
      </c>
      <c r="X540" s="74">
        <f t="shared" si="265"/>
        <v>0</v>
      </c>
      <c r="Y540" s="74">
        <f t="shared" si="265"/>
        <v>0</v>
      </c>
      <c r="Z540" s="74">
        <f t="shared" si="265"/>
        <v>0</v>
      </c>
    </row>
    <row r="541" hidden="1" outlineLevel="1">
      <c r="B541" s="93">
        <f t="shared" ref="B541:B559" si="267">B540+1</f>
        <v>2</v>
      </c>
      <c r="C541" s="40"/>
      <c r="D541" s="16" t="s">
        <v>161</v>
      </c>
      <c r="E541" s="74">
        <f t="shared" si="108"/>
        <v>100655280</v>
      </c>
      <c r="F541" s="74"/>
      <c r="G541" s="74">
        <f t="shared" ref="G541:Z541" si="266">G349-G328-G562</f>
        <v>0</v>
      </c>
      <c r="H541" s="74">
        <f t="shared" si="266"/>
        <v>0</v>
      </c>
      <c r="I541" s="74">
        <f t="shared" si="266"/>
        <v>0</v>
      </c>
      <c r="J541" s="74">
        <f t="shared" si="266"/>
        <v>0</v>
      </c>
      <c r="K541" s="74">
        <f t="shared" si="266"/>
        <v>359342.5</v>
      </c>
      <c r="L541" s="74">
        <f t="shared" si="266"/>
        <v>0</v>
      </c>
      <c r="M541" s="74">
        <f t="shared" si="266"/>
        <v>3942922.5</v>
      </c>
      <c r="N541" s="74">
        <f t="shared" si="266"/>
        <v>6208913.333</v>
      </c>
      <c r="O541" s="74">
        <f t="shared" si="266"/>
        <v>3880570.833</v>
      </c>
      <c r="P541" s="74">
        <f t="shared" si="266"/>
        <v>26657962.83</v>
      </c>
      <c r="Q541" s="74">
        <f t="shared" si="266"/>
        <v>19868522.67</v>
      </c>
      <c r="R541" s="74">
        <f t="shared" si="266"/>
        <v>19868522.67</v>
      </c>
      <c r="S541" s="74">
        <f t="shared" si="266"/>
        <v>19868522.67</v>
      </c>
      <c r="T541" s="74">
        <f t="shared" si="266"/>
        <v>0</v>
      </c>
      <c r="U541" s="74">
        <f t="shared" si="266"/>
        <v>0</v>
      </c>
      <c r="V541" s="74">
        <f t="shared" si="266"/>
        <v>0</v>
      </c>
      <c r="W541" s="74">
        <f t="shared" si="266"/>
        <v>0</v>
      </c>
      <c r="X541" s="74">
        <f t="shared" si="266"/>
        <v>0</v>
      </c>
      <c r="Y541" s="74">
        <f t="shared" si="266"/>
        <v>0</v>
      </c>
      <c r="Z541" s="74">
        <f t="shared" si="266"/>
        <v>0</v>
      </c>
    </row>
    <row r="542" hidden="1" outlineLevel="1">
      <c r="B542" s="93">
        <f t="shared" si="267"/>
        <v>3</v>
      </c>
      <c r="C542" s="40"/>
      <c r="D542" s="16" t="s">
        <v>161</v>
      </c>
      <c r="E542" s="74">
        <f t="shared" si="108"/>
        <v>100655280</v>
      </c>
      <c r="F542" s="74"/>
      <c r="G542" s="74">
        <f t="shared" ref="G542:Z542" si="268">G350-G329-G563</f>
        <v>0</v>
      </c>
      <c r="H542" s="74">
        <f t="shared" si="268"/>
        <v>0</v>
      </c>
      <c r="I542" s="74">
        <f t="shared" si="268"/>
        <v>0</v>
      </c>
      <c r="J542" s="74">
        <f t="shared" si="268"/>
        <v>0</v>
      </c>
      <c r="K542" s="74">
        <f t="shared" si="268"/>
        <v>0</v>
      </c>
      <c r="L542" s="74">
        <f t="shared" si="268"/>
        <v>359342.5</v>
      </c>
      <c r="M542" s="74">
        <f t="shared" si="268"/>
        <v>0</v>
      </c>
      <c r="N542" s="74">
        <f t="shared" si="268"/>
        <v>3942922.5</v>
      </c>
      <c r="O542" s="74">
        <f t="shared" si="268"/>
        <v>6208913.333</v>
      </c>
      <c r="P542" s="74">
        <f t="shared" si="268"/>
        <v>3880570.833</v>
      </c>
      <c r="Q542" s="74">
        <f t="shared" si="268"/>
        <v>26657962.83</v>
      </c>
      <c r="R542" s="74">
        <f t="shared" si="268"/>
        <v>19868522.67</v>
      </c>
      <c r="S542" s="74">
        <f t="shared" si="268"/>
        <v>19868522.67</v>
      </c>
      <c r="T542" s="74">
        <f t="shared" si="268"/>
        <v>19868522.67</v>
      </c>
      <c r="U542" s="74">
        <f t="shared" si="268"/>
        <v>0</v>
      </c>
      <c r="V542" s="74">
        <f t="shared" si="268"/>
        <v>0</v>
      </c>
      <c r="W542" s="74">
        <f t="shared" si="268"/>
        <v>0</v>
      </c>
      <c r="X542" s="74">
        <f t="shared" si="268"/>
        <v>0</v>
      </c>
      <c r="Y542" s="74">
        <f t="shared" si="268"/>
        <v>0</v>
      </c>
      <c r="Z542" s="74">
        <f t="shared" si="268"/>
        <v>0</v>
      </c>
    </row>
    <row r="543" hidden="1" outlineLevel="1">
      <c r="B543" s="93">
        <f t="shared" si="267"/>
        <v>4</v>
      </c>
      <c r="C543" s="40"/>
      <c r="D543" s="16" t="s">
        <v>161</v>
      </c>
      <c r="E543" s="74">
        <f t="shared" si="108"/>
        <v>0</v>
      </c>
      <c r="F543" s="74"/>
      <c r="G543" s="74">
        <f t="shared" ref="G543:Z543" si="269">G351-G330-G564</f>
        <v>0</v>
      </c>
      <c r="H543" s="74">
        <f t="shared" si="269"/>
        <v>0</v>
      </c>
      <c r="I543" s="74">
        <f t="shared" si="269"/>
        <v>0</v>
      </c>
      <c r="J543" s="74">
        <f t="shared" si="269"/>
        <v>0</v>
      </c>
      <c r="K543" s="74">
        <f t="shared" si="269"/>
        <v>0</v>
      </c>
      <c r="L543" s="74">
        <f t="shared" si="269"/>
        <v>0</v>
      </c>
      <c r="M543" s="74">
        <f t="shared" si="269"/>
        <v>0</v>
      </c>
      <c r="N543" s="74">
        <f t="shared" si="269"/>
        <v>0</v>
      </c>
      <c r="O543" s="74">
        <f t="shared" si="269"/>
        <v>0</v>
      </c>
      <c r="P543" s="74">
        <f t="shared" si="269"/>
        <v>0</v>
      </c>
      <c r="Q543" s="74">
        <f t="shared" si="269"/>
        <v>0</v>
      </c>
      <c r="R543" s="74">
        <f t="shared" si="269"/>
        <v>0</v>
      </c>
      <c r="S543" s="74">
        <f t="shared" si="269"/>
        <v>0</v>
      </c>
      <c r="T543" s="74">
        <f t="shared" si="269"/>
        <v>0</v>
      </c>
      <c r="U543" s="74">
        <f t="shared" si="269"/>
        <v>0</v>
      </c>
      <c r="V543" s="74">
        <f t="shared" si="269"/>
        <v>0</v>
      </c>
      <c r="W543" s="74">
        <f t="shared" si="269"/>
        <v>0</v>
      </c>
      <c r="X543" s="74">
        <f t="shared" si="269"/>
        <v>0</v>
      </c>
      <c r="Y543" s="74">
        <f t="shared" si="269"/>
        <v>0</v>
      </c>
      <c r="Z543" s="74">
        <f t="shared" si="269"/>
        <v>0</v>
      </c>
    </row>
    <row r="544" hidden="1" outlineLevel="1">
      <c r="B544" s="93">
        <f t="shared" si="267"/>
        <v>5</v>
      </c>
      <c r="C544" s="40"/>
      <c r="D544" s="16" t="s">
        <v>161</v>
      </c>
      <c r="E544" s="74">
        <f t="shared" si="108"/>
        <v>0</v>
      </c>
      <c r="F544" s="74"/>
      <c r="G544" s="74">
        <f t="shared" ref="G544:Z544" si="270">G352-G331-G565</f>
        <v>0</v>
      </c>
      <c r="H544" s="74">
        <f t="shared" si="270"/>
        <v>0</v>
      </c>
      <c r="I544" s="74">
        <f t="shared" si="270"/>
        <v>0</v>
      </c>
      <c r="J544" s="74">
        <f t="shared" si="270"/>
        <v>0</v>
      </c>
      <c r="K544" s="74">
        <f t="shared" si="270"/>
        <v>0</v>
      </c>
      <c r="L544" s="74">
        <f t="shared" si="270"/>
        <v>0</v>
      </c>
      <c r="M544" s="74">
        <f t="shared" si="270"/>
        <v>0</v>
      </c>
      <c r="N544" s="74">
        <f t="shared" si="270"/>
        <v>0</v>
      </c>
      <c r="O544" s="74">
        <f t="shared" si="270"/>
        <v>0</v>
      </c>
      <c r="P544" s="74">
        <f t="shared" si="270"/>
        <v>0</v>
      </c>
      <c r="Q544" s="74">
        <f t="shared" si="270"/>
        <v>0</v>
      </c>
      <c r="R544" s="74">
        <f t="shared" si="270"/>
        <v>0</v>
      </c>
      <c r="S544" s="74">
        <f t="shared" si="270"/>
        <v>0</v>
      </c>
      <c r="T544" s="74">
        <f t="shared" si="270"/>
        <v>0</v>
      </c>
      <c r="U544" s="74">
        <f t="shared" si="270"/>
        <v>0</v>
      </c>
      <c r="V544" s="74">
        <f t="shared" si="270"/>
        <v>0</v>
      </c>
      <c r="W544" s="74">
        <f t="shared" si="270"/>
        <v>0</v>
      </c>
      <c r="X544" s="74">
        <f t="shared" si="270"/>
        <v>0</v>
      </c>
      <c r="Y544" s="74">
        <f t="shared" si="270"/>
        <v>0</v>
      </c>
      <c r="Z544" s="74">
        <f t="shared" si="270"/>
        <v>0</v>
      </c>
    </row>
    <row r="545" hidden="1" outlineLevel="1">
      <c r="B545" s="93">
        <f t="shared" si="267"/>
        <v>6</v>
      </c>
      <c r="C545" s="40"/>
      <c r="D545" s="16" t="s">
        <v>161</v>
      </c>
      <c r="E545" s="74">
        <f t="shared" si="108"/>
        <v>0</v>
      </c>
      <c r="F545" s="74"/>
      <c r="G545" s="74">
        <f t="shared" ref="G545:Z545" si="271">G353-G332-G566</f>
        <v>0</v>
      </c>
      <c r="H545" s="74">
        <f t="shared" si="271"/>
        <v>0</v>
      </c>
      <c r="I545" s="74">
        <f t="shared" si="271"/>
        <v>0</v>
      </c>
      <c r="J545" s="74">
        <f t="shared" si="271"/>
        <v>0</v>
      </c>
      <c r="K545" s="74">
        <f t="shared" si="271"/>
        <v>0</v>
      </c>
      <c r="L545" s="74">
        <f t="shared" si="271"/>
        <v>0</v>
      </c>
      <c r="M545" s="74">
        <f t="shared" si="271"/>
        <v>0</v>
      </c>
      <c r="N545" s="74">
        <f t="shared" si="271"/>
        <v>0</v>
      </c>
      <c r="O545" s="74">
        <f t="shared" si="271"/>
        <v>0</v>
      </c>
      <c r="P545" s="74">
        <f t="shared" si="271"/>
        <v>0</v>
      </c>
      <c r="Q545" s="74">
        <f t="shared" si="271"/>
        <v>0</v>
      </c>
      <c r="R545" s="74">
        <f t="shared" si="271"/>
        <v>0</v>
      </c>
      <c r="S545" s="74">
        <f t="shared" si="271"/>
        <v>0</v>
      </c>
      <c r="T545" s="74">
        <f t="shared" si="271"/>
        <v>0</v>
      </c>
      <c r="U545" s="74">
        <f t="shared" si="271"/>
        <v>0</v>
      </c>
      <c r="V545" s="74">
        <f t="shared" si="271"/>
        <v>0</v>
      </c>
      <c r="W545" s="74">
        <f t="shared" si="271"/>
        <v>0</v>
      </c>
      <c r="X545" s="74">
        <f t="shared" si="271"/>
        <v>0</v>
      </c>
      <c r="Y545" s="74">
        <f t="shared" si="271"/>
        <v>0</v>
      </c>
      <c r="Z545" s="74">
        <f t="shared" si="271"/>
        <v>0</v>
      </c>
    </row>
    <row r="546" hidden="1" outlineLevel="1">
      <c r="B546" s="93">
        <f t="shared" si="267"/>
        <v>7</v>
      </c>
      <c r="C546" s="40"/>
      <c r="D546" s="16" t="s">
        <v>161</v>
      </c>
      <c r="E546" s="74">
        <f t="shared" si="108"/>
        <v>0</v>
      </c>
      <c r="F546" s="74"/>
      <c r="G546" s="74">
        <f t="shared" ref="G546:Z546" si="272">G354-G333-G567</f>
        <v>0</v>
      </c>
      <c r="H546" s="74">
        <f t="shared" si="272"/>
        <v>0</v>
      </c>
      <c r="I546" s="74">
        <f t="shared" si="272"/>
        <v>0</v>
      </c>
      <c r="J546" s="74">
        <f t="shared" si="272"/>
        <v>0</v>
      </c>
      <c r="K546" s="74">
        <f t="shared" si="272"/>
        <v>0</v>
      </c>
      <c r="L546" s="74">
        <f t="shared" si="272"/>
        <v>0</v>
      </c>
      <c r="M546" s="74">
        <f t="shared" si="272"/>
        <v>0</v>
      </c>
      <c r="N546" s="74">
        <f t="shared" si="272"/>
        <v>0</v>
      </c>
      <c r="O546" s="74">
        <f t="shared" si="272"/>
        <v>0</v>
      </c>
      <c r="P546" s="74">
        <f t="shared" si="272"/>
        <v>0</v>
      </c>
      <c r="Q546" s="74">
        <f t="shared" si="272"/>
        <v>0</v>
      </c>
      <c r="R546" s="74">
        <f t="shared" si="272"/>
        <v>0</v>
      </c>
      <c r="S546" s="74">
        <f t="shared" si="272"/>
        <v>0</v>
      </c>
      <c r="T546" s="74">
        <f t="shared" si="272"/>
        <v>0</v>
      </c>
      <c r="U546" s="74">
        <f t="shared" si="272"/>
        <v>0</v>
      </c>
      <c r="V546" s="74">
        <f t="shared" si="272"/>
        <v>0</v>
      </c>
      <c r="W546" s="74">
        <f t="shared" si="272"/>
        <v>0</v>
      </c>
      <c r="X546" s="74">
        <f t="shared" si="272"/>
        <v>0</v>
      </c>
      <c r="Y546" s="74">
        <f t="shared" si="272"/>
        <v>0</v>
      </c>
      <c r="Z546" s="74">
        <f t="shared" si="272"/>
        <v>0</v>
      </c>
    </row>
    <row r="547" hidden="1" outlineLevel="1">
      <c r="B547" s="93">
        <f t="shared" si="267"/>
        <v>8</v>
      </c>
      <c r="C547" s="40"/>
      <c r="D547" s="16" t="s">
        <v>161</v>
      </c>
      <c r="E547" s="74">
        <f t="shared" si="108"/>
        <v>0</v>
      </c>
      <c r="F547" s="74"/>
      <c r="G547" s="74">
        <f t="shared" ref="G547:Z547" si="273">G355-G334-G568</f>
        <v>0</v>
      </c>
      <c r="H547" s="74">
        <f t="shared" si="273"/>
        <v>0</v>
      </c>
      <c r="I547" s="74">
        <f t="shared" si="273"/>
        <v>0</v>
      </c>
      <c r="J547" s="74">
        <f t="shared" si="273"/>
        <v>0</v>
      </c>
      <c r="K547" s="74">
        <f t="shared" si="273"/>
        <v>0</v>
      </c>
      <c r="L547" s="74">
        <f t="shared" si="273"/>
        <v>0</v>
      </c>
      <c r="M547" s="74">
        <f t="shared" si="273"/>
        <v>0</v>
      </c>
      <c r="N547" s="74">
        <f t="shared" si="273"/>
        <v>0</v>
      </c>
      <c r="O547" s="74">
        <f t="shared" si="273"/>
        <v>0</v>
      </c>
      <c r="P547" s="74">
        <f t="shared" si="273"/>
        <v>0</v>
      </c>
      <c r="Q547" s="74">
        <f t="shared" si="273"/>
        <v>0</v>
      </c>
      <c r="R547" s="74">
        <f t="shared" si="273"/>
        <v>0</v>
      </c>
      <c r="S547" s="74">
        <f t="shared" si="273"/>
        <v>0</v>
      </c>
      <c r="T547" s="74">
        <f t="shared" si="273"/>
        <v>0</v>
      </c>
      <c r="U547" s="74">
        <f t="shared" si="273"/>
        <v>0</v>
      </c>
      <c r="V547" s="74">
        <f t="shared" si="273"/>
        <v>0</v>
      </c>
      <c r="W547" s="74">
        <f t="shared" si="273"/>
        <v>0</v>
      </c>
      <c r="X547" s="74">
        <f t="shared" si="273"/>
        <v>0</v>
      </c>
      <c r="Y547" s="74">
        <f t="shared" si="273"/>
        <v>0</v>
      </c>
      <c r="Z547" s="74">
        <f t="shared" si="273"/>
        <v>0</v>
      </c>
    </row>
    <row r="548" hidden="1" outlineLevel="1">
      <c r="B548" s="93">
        <f t="shared" si="267"/>
        <v>9</v>
      </c>
      <c r="C548" s="40"/>
      <c r="D548" s="16" t="s">
        <v>161</v>
      </c>
      <c r="E548" s="74">
        <f t="shared" si="108"/>
        <v>0</v>
      </c>
      <c r="F548" s="74"/>
      <c r="G548" s="74">
        <f t="shared" ref="G548:Z548" si="274">G356-G335-G569</f>
        <v>0</v>
      </c>
      <c r="H548" s="74">
        <f t="shared" si="274"/>
        <v>0</v>
      </c>
      <c r="I548" s="74">
        <f t="shared" si="274"/>
        <v>0</v>
      </c>
      <c r="J548" s="74">
        <f t="shared" si="274"/>
        <v>0</v>
      </c>
      <c r="K548" s="74">
        <f t="shared" si="274"/>
        <v>0</v>
      </c>
      <c r="L548" s="74">
        <f t="shared" si="274"/>
        <v>0</v>
      </c>
      <c r="M548" s="74">
        <f t="shared" si="274"/>
        <v>0</v>
      </c>
      <c r="N548" s="74">
        <f t="shared" si="274"/>
        <v>0</v>
      </c>
      <c r="O548" s="74">
        <f t="shared" si="274"/>
        <v>0</v>
      </c>
      <c r="P548" s="74">
        <f t="shared" si="274"/>
        <v>0</v>
      </c>
      <c r="Q548" s="74">
        <f t="shared" si="274"/>
        <v>0</v>
      </c>
      <c r="R548" s="74">
        <f t="shared" si="274"/>
        <v>0</v>
      </c>
      <c r="S548" s="74">
        <f t="shared" si="274"/>
        <v>0</v>
      </c>
      <c r="T548" s="74">
        <f t="shared" si="274"/>
        <v>0</v>
      </c>
      <c r="U548" s="74">
        <f t="shared" si="274"/>
        <v>0</v>
      </c>
      <c r="V548" s="74">
        <f t="shared" si="274"/>
        <v>0</v>
      </c>
      <c r="W548" s="74">
        <f t="shared" si="274"/>
        <v>0</v>
      </c>
      <c r="X548" s="74">
        <f t="shared" si="274"/>
        <v>0</v>
      </c>
      <c r="Y548" s="74">
        <f t="shared" si="274"/>
        <v>0</v>
      </c>
      <c r="Z548" s="74">
        <f t="shared" si="274"/>
        <v>0</v>
      </c>
    </row>
    <row r="549" hidden="1" outlineLevel="1">
      <c r="B549" s="93">
        <f t="shared" si="267"/>
        <v>10</v>
      </c>
      <c r="C549" s="40"/>
      <c r="D549" s="16" t="s">
        <v>161</v>
      </c>
      <c r="E549" s="74">
        <f t="shared" si="108"/>
        <v>0</v>
      </c>
      <c r="F549" s="74"/>
      <c r="G549" s="74">
        <f t="shared" ref="G549:Z549" si="275">G357-G336-G570</f>
        <v>0</v>
      </c>
      <c r="H549" s="74">
        <f t="shared" si="275"/>
        <v>0</v>
      </c>
      <c r="I549" s="74">
        <f t="shared" si="275"/>
        <v>0</v>
      </c>
      <c r="J549" s="74">
        <f t="shared" si="275"/>
        <v>0</v>
      </c>
      <c r="K549" s="74">
        <f t="shared" si="275"/>
        <v>0</v>
      </c>
      <c r="L549" s="74">
        <f t="shared" si="275"/>
        <v>0</v>
      </c>
      <c r="M549" s="74">
        <f t="shared" si="275"/>
        <v>0</v>
      </c>
      <c r="N549" s="74">
        <f t="shared" si="275"/>
        <v>0</v>
      </c>
      <c r="O549" s="74">
        <f t="shared" si="275"/>
        <v>0</v>
      </c>
      <c r="P549" s="74">
        <f t="shared" si="275"/>
        <v>0</v>
      </c>
      <c r="Q549" s="74">
        <f t="shared" si="275"/>
        <v>0</v>
      </c>
      <c r="R549" s="74">
        <f t="shared" si="275"/>
        <v>0</v>
      </c>
      <c r="S549" s="74">
        <f t="shared" si="275"/>
        <v>0</v>
      </c>
      <c r="T549" s="74">
        <f t="shared" si="275"/>
        <v>0</v>
      </c>
      <c r="U549" s="74">
        <f t="shared" si="275"/>
        <v>0</v>
      </c>
      <c r="V549" s="74">
        <f t="shared" si="275"/>
        <v>0</v>
      </c>
      <c r="W549" s="74">
        <f t="shared" si="275"/>
        <v>0</v>
      </c>
      <c r="X549" s="74">
        <f t="shared" si="275"/>
        <v>0</v>
      </c>
      <c r="Y549" s="74">
        <f t="shared" si="275"/>
        <v>0</v>
      </c>
      <c r="Z549" s="74">
        <f t="shared" si="275"/>
        <v>0</v>
      </c>
    </row>
    <row r="550" hidden="1" outlineLevel="1">
      <c r="B550" s="93">
        <f t="shared" si="267"/>
        <v>11</v>
      </c>
      <c r="C550" s="40"/>
      <c r="D550" s="16" t="s">
        <v>161</v>
      </c>
      <c r="E550" s="74">
        <f t="shared" si="108"/>
        <v>0</v>
      </c>
      <c r="F550" s="74"/>
      <c r="G550" s="74">
        <f t="shared" ref="G550:Z550" si="276">G358-G337-G571</f>
        <v>0</v>
      </c>
      <c r="H550" s="74">
        <f t="shared" si="276"/>
        <v>0</v>
      </c>
      <c r="I550" s="74">
        <f t="shared" si="276"/>
        <v>0</v>
      </c>
      <c r="J550" s="74">
        <f t="shared" si="276"/>
        <v>0</v>
      </c>
      <c r="K550" s="74">
        <f t="shared" si="276"/>
        <v>0</v>
      </c>
      <c r="L550" s="74">
        <f t="shared" si="276"/>
        <v>0</v>
      </c>
      <c r="M550" s="74">
        <f t="shared" si="276"/>
        <v>0</v>
      </c>
      <c r="N550" s="74">
        <f t="shared" si="276"/>
        <v>0</v>
      </c>
      <c r="O550" s="74">
        <f t="shared" si="276"/>
        <v>0</v>
      </c>
      <c r="P550" s="74">
        <f t="shared" si="276"/>
        <v>0</v>
      </c>
      <c r="Q550" s="74">
        <f t="shared" si="276"/>
        <v>0</v>
      </c>
      <c r="R550" s="74">
        <f t="shared" si="276"/>
        <v>0</v>
      </c>
      <c r="S550" s="74">
        <f t="shared" si="276"/>
        <v>0</v>
      </c>
      <c r="T550" s="74">
        <f t="shared" si="276"/>
        <v>0</v>
      </c>
      <c r="U550" s="74">
        <f t="shared" si="276"/>
        <v>0</v>
      </c>
      <c r="V550" s="74">
        <f t="shared" si="276"/>
        <v>0</v>
      </c>
      <c r="W550" s="74">
        <f t="shared" si="276"/>
        <v>0</v>
      </c>
      <c r="X550" s="74">
        <f t="shared" si="276"/>
        <v>0</v>
      </c>
      <c r="Y550" s="74">
        <f t="shared" si="276"/>
        <v>0</v>
      </c>
      <c r="Z550" s="74">
        <f t="shared" si="276"/>
        <v>0</v>
      </c>
    </row>
    <row r="551" hidden="1" outlineLevel="1">
      <c r="B551" s="93">
        <f t="shared" si="267"/>
        <v>12</v>
      </c>
      <c r="C551" s="40"/>
      <c r="D551" s="16" t="s">
        <v>161</v>
      </c>
      <c r="E551" s="74">
        <f t="shared" si="108"/>
        <v>0</v>
      </c>
      <c r="F551" s="74"/>
      <c r="G551" s="74">
        <f t="shared" ref="G551:Z551" si="277">G359-G338-G572</f>
        <v>0</v>
      </c>
      <c r="H551" s="74">
        <f t="shared" si="277"/>
        <v>0</v>
      </c>
      <c r="I551" s="74">
        <f t="shared" si="277"/>
        <v>0</v>
      </c>
      <c r="J551" s="74">
        <f t="shared" si="277"/>
        <v>0</v>
      </c>
      <c r="K551" s="74">
        <f t="shared" si="277"/>
        <v>0</v>
      </c>
      <c r="L551" s="74">
        <f t="shared" si="277"/>
        <v>0</v>
      </c>
      <c r="M551" s="74">
        <f t="shared" si="277"/>
        <v>0</v>
      </c>
      <c r="N551" s="74">
        <f t="shared" si="277"/>
        <v>0</v>
      </c>
      <c r="O551" s="74">
        <f t="shared" si="277"/>
        <v>0</v>
      </c>
      <c r="P551" s="74">
        <f t="shared" si="277"/>
        <v>0</v>
      </c>
      <c r="Q551" s="74">
        <f t="shared" si="277"/>
        <v>0</v>
      </c>
      <c r="R551" s="74">
        <f t="shared" si="277"/>
        <v>0</v>
      </c>
      <c r="S551" s="74">
        <f t="shared" si="277"/>
        <v>0</v>
      </c>
      <c r="T551" s="74">
        <f t="shared" si="277"/>
        <v>0</v>
      </c>
      <c r="U551" s="74">
        <f t="shared" si="277"/>
        <v>0</v>
      </c>
      <c r="V551" s="74">
        <f t="shared" si="277"/>
        <v>0</v>
      </c>
      <c r="W551" s="74">
        <f t="shared" si="277"/>
        <v>0</v>
      </c>
      <c r="X551" s="74">
        <f t="shared" si="277"/>
        <v>0</v>
      </c>
      <c r="Y551" s="74">
        <f t="shared" si="277"/>
        <v>0</v>
      </c>
      <c r="Z551" s="74">
        <f t="shared" si="277"/>
        <v>0</v>
      </c>
    </row>
    <row r="552" hidden="1" outlineLevel="1">
      <c r="B552" s="93">
        <f t="shared" si="267"/>
        <v>13</v>
      </c>
      <c r="C552" s="40"/>
      <c r="D552" s="16" t="s">
        <v>161</v>
      </c>
      <c r="E552" s="74">
        <f t="shared" si="108"/>
        <v>0</v>
      </c>
      <c r="F552" s="74"/>
      <c r="G552" s="74">
        <f t="shared" ref="G552:Z552" si="278">G360-G339-G573</f>
        <v>0</v>
      </c>
      <c r="H552" s="74">
        <f t="shared" si="278"/>
        <v>0</v>
      </c>
      <c r="I552" s="74">
        <f t="shared" si="278"/>
        <v>0</v>
      </c>
      <c r="J552" s="74">
        <f t="shared" si="278"/>
        <v>0</v>
      </c>
      <c r="K552" s="74">
        <f t="shared" si="278"/>
        <v>0</v>
      </c>
      <c r="L552" s="74">
        <f t="shared" si="278"/>
        <v>0</v>
      </c>
      <c r="M552" s="74">
        <f t="shared" si="278"/>
        <v>0</v>
      </c>
      <c r="N552" s="74">
        <f t="shared" si="278"/>
        <v>0</v>
      </c>
      <c r="O552" s="74">
        <f t="shared" si="278"/>
        <v>0</v>
      </c>
      <c r="P552" s="74">
        <f t="shared" si="278"/>
        <v>0</v>
      </c>
      <c r="Q552" s="74">
        <f t="shared" si="278"/>
        <v>0</v>
      </c>
      <c r="R552" s="74">
        <f t="shared" si="278"/>
        <v>0</v>
      </c>
      <c r="S552" s="74">
        <f t="shared" si="278"/>
        <v>0</v>
      </c>
      <c r="T552" s="74">
        <f t="shared" si="278"/>
        <v>0</v>
      </c>
      <c r="U552" s="74">
        <f t="shared" si="278"/>
        <v>0</v>
      </c>
      <c r="V552" s="74">
        <f t="shared" si="278"/>
        <v>0</v>
      </c>
      <c r="W552" s="74">
        <f t="shared" si="278"/>
        <v>0</v>
      </c>
      <c r="X552" s="74">
        <f t="shared" si="278"/>
        <v>0</v>
      </c>
      <c r="Y552" s="74">
        <f t="shared" si="278"/>
        <v>0</v>
      </c>
      <c r="Z552" s="74">
        <f t="shared" si="278"/>
        <v>0</v>
      </c>
    </row>
    <row r="553" hidden="1" outlineLevel="1">
      <c r="B553" s="93">
        <f t="shared" si="267"/>
        <v>14</v>
      </c>
      <c r="C553" s="40"/>
      <c r="D553" s="16" t="s">
        <v>161</v>
      </c>
      <c r="E553" s="74">
        <f t="shared" si="108"/>
        <v>0</v>
      </c>
      <c r="F553" s="74"/>
      <c r="G553" s="74">
        <f t="shared" ref="G553:Z553" si="279">G361-G340-G574</f>
        <v>0</v>
      </c>
      <c r="H553" s="74">
        <f t="shared" si="279"/>
        <v>0</v>
      </c>
      <c r="I553" s="74">
        <f t="shared" si="279"/>
        <v>0</v>
      </c>
      <c r="J553" s="74">
        <f t="shared" si="279"/>
        <v>0</v>
      </c>
      <c r="K553" s="74">
        <f t="shared" si="279"/>
        <v>0</v>
      </c>
      <c r="L553" s="74">
        <f t="shared" si="279"/>
        <v>0</v>
      </c>
      <c r="M553" s="74">
        <f t="shared" si="279"/>
        <v>0</v>
      </c>
      <c r="N553" s="74">
        <f t="shared" si="279"/>
        <v>0</v>
      </c>
      <c r="O553" s="74">
        <f t="shared" si="279"/>
        <v>0</v>
      </c>
      <c r="P553" s="74">
        <f t="shared" si="279"/>
        <v>0</v>
      </c>
      <c r="Q553" s="74">
        <f t="shared" si="279"/>
        <v>0</v>
      </c>
      <c r="R553" s="74">
        <f t="shared" si="279"/>
        <v>0</v>
      </c>
      <c r="S553" s="74">
        <f t="shared" si="279"/>
        <v>0</v>
      </c>
      <c r="T553" s="74">
        <f t="shared" si="279"/>
        <v>0</v>
      </c>
      <c r="U553" s="74">
        <f t="shared" si="279"/>
        <v>0</v>
      </c>
      <c r="V553" s="74">
        <f t="shared" si="279"/>
        <v>0</v>
      </c>
      <c r="W553" s="74">
        <f t="shared" si="279"/>
        <v>0</v>
      </c>
      <c r="X553" s="74">
        <f t="shared" si="279"/>
        <v>0</v>
      </c>
      <c r="Y553" s="74">
        <f t="shared" si="279"/>
        <v>0</v>
      </c>
      <c r="Z553" s="74">
        <f t="shared" si="279"/>
        <v>0</v>
      </c>
    </row>
    <row r="554" hidden="1" outlineLevel="1">
      <c r="B554" s="93">
        <f t="shared" si="267"/>
        <v>15</v>
      </c>
      <c r="C554" s="40"/>
      <c r="D554" s="16" t="s">
        <v>161</v>
      </c>
      <c r="E554" s="74">
        <f t="shared" si="108"/>
        <v>0</v>
      </c>
      <c r="F554" s="74"/>
      <c r="G554" s="74">
        <f t="shared" ref="G554:Z554" si="280">G362-G341-G575</f>
        <v>0</v>
      </c>
      <c r="H554" s="74">
        <f t="shared" si="280"/>
        <v>0</v>
      </c>
      <c r="I554" s="74">
        <f t="shared" si="280"/>
        <v>0</v>
      </c>
      <c r="J554" s="74">
        <f t="shared" si="280"/>
        <v>0</v>
      </c>
      <c r="K554" s="74">
        <f t="shared" si="280"/>
        <v>0</v>
      </c>
      <c r="L554" s="74">
        <f t="shared" si="280"/>
        <v>0</v>
      </c>
      <c r="M554" s="74">
        <f t="shared" si="280"/>
        <v>0</v>
      </c>
      <c r="N554" s="74">
        <f t="shared" si="280"/>
        <v>0</v>
      </c>
      <c r="O554" s="74">
        <f t="shared" si="280"/>
        <v>0</v>
      </c>
      <c r="P554" s="74">
        <f t="shared" si="280"/>
        <v>0</v>
      </c>
      <c r="Q554" s="74">
        <f t="shared" si="280"/>
        <v>0</v>
      </c>
      <c r="R554" s="74">
        <f t="shared" si="280"/>
        <v>0</v>
      </c>
      <c r="S554" s="74">
        <f t="shared" si="280"/>
        <v>0</v>
      </c>
      <c r="T554" s="74">
        <f t="shared" si="280"/>
        <v>0</v>
      </c>
      <c r="U554" s="74">
        <f t="shared" si="280"/>
        <v>0</v>
      </c>
      <c r="V554" s="74">
        <f t="shared" si="280"/>
        <v>0</v>
      </c>
      <c r="W554" s="74">
        <f t="shared" si="280"/>
        <v>0</v>
      </c>
      <c r="X554" s="74">
        <f t="shared" si="280"/>
        <v>0</v>
      </c>
      <c r="Y554" s="74">
        <f t="shared" si="280"/>
        <v>0</v>
      </c>
      <c r="Z554" s="74">
        <f t="shared" si="280"/>
        <v>0</v>
      </c>
    </row>
    <row r="555" hidden="1" outlineLevel="1">
      <c r="B555" s="93">
        <f t="shared" si="267"/>
        <v>16</v>
      </c>
      <c r="C555" s="40"/>
      <c r="D555" s="16" t="s">
        <v>161</v>
      </c>
      <c r="E555" s="74">
        <f t="shared" si="108"/>
        <v>0</v>
      </c>
      <c r="F555" s="74"/>
      <c r="G555" s="74">
        <f t="shared" ref="G555:Z555" si="281">G363-G342-G576</f>
        <v>0</v>
      </c>
      <c r="H555" s="74">
        <f t="shared" si="281"/>
        <v>0</v>
      </c>
      <c r="I555" s="74">
        <f t="shared" si="281"/>
        <v>0</v>
      </c>
      <c r="J555" s="74">
        <f t="shared" si="281"/>
        <v>0</v>
      </c>
      <c r="K555" s="74">
        <f t="shared" si="281"/>
        <v>0</v>
      </c>
      <c r="L555" s="74">
        <f t="shared" si="281"/>
        <v>0</v>
      </c>
      <c r="M555" s="74">
        <f t="shared" si="281"/>
        <v>0</v>
      </c>
      <c r="N555" s="74">
        <f t="shared" si="281"/>
        <v>0</v>
      </c>
      <c r="O555" s="74">
        <f t="shared" si="281"/>
        <v>0</v>
      </c>
      <c r="P555" s="74">
        <f t="shared" si="281"/>
        <v>0</v>
      </c>
      <c r="Q555" s="74">
        <f t="shared" si="281"/>
        <v>0</v>
      </c>
      <c r="R555" s="74">
        <f t="shared" si="281"/>
        <v>0</v>
      </c>
      <c r="S555" s="74">
        <f t="shared" si="281"/>
        <v>0</v>
      </c>
      <c r="T555" s="74">
        <f t="shared" si="281"/>
        <v>0</v>
      </c>
      <c r="U555" s="74">
        <f t="shared" si="281"/>
        <v>0</v>
      </c>
      <c r="V555" s="74">
        <f t="shared" si="281"/>
        <v>0</v>
      </c>
      <c r="W555" s="74">
        <f t="shared" si="281"/>
        <v>0</v>
      </c>
      <c r="X555" s="74">
        <f t="shared" si="281"/>
        <v>0</v>
      </c>
      <c r="Y555" s="74">
        <f t="shared" si="281"/>
        <v>0</v>
      </c>
      <c r="Z555" s="74">
        <f t="shared" si="281"/>
        <v>0</v>
      </c>
    </row>
    <row r="556" hidden="1" outlineLevel="1">
      <c r="B556" s="93">
        <f t="shared" si="267"/>
        <v>17</v>
      </c>
      <c r="C556" s="40"/>
      <c r="D556" s="16" t="s">
        <v>161</v>
      </c>
      <c r="E556" s="74">
        <f t="shared" si="108"/>
        <v>0</v>
      </c>
      <c r="F556" s="74"/>
      <c r="G556" s="74">
        <f t="shared" ref="G556:Z556" si="282">G364-G343-G577</f>
        <v>0</v>
      </c>
      <c r="H556" s="74">
        <f t="shared" si="282"/>
        <v>0</v>
      </c>
      <c r="I556" s="74">
        <f t="shared" si="282"/>
        <v>0</v>
      </c>
      <c r="J556" s="74">
        <f t="shared" si="282"/>
        <v>0</v>
      </c>
      <c r="K556" s="74">
        <f t="shared" si="282"/>
        <v>0</v>
      </c>
      <c r="L556" s="74">
        <f t="shared" si="282"/>
        <v>0</v>
      </c>
      <c r="M556" s="74">
        <f t="shared" si="282"/>
        <v>0</v>
      </c>
      <c r="N556" s="74">
        <f t="shared" si="282"/>
        <v>0</v>
      </c>
      <c r="O556" s="74">
        <f t="shared" si="282"/>
        <v>0</v>
      </c>
      <c r="P556" s="74">
        <f t="shared" si="282"/>
        <v>0</v>
      </c>
      <c r="Q556" s="74">
        <f t="shared" si="282"/>
        <v>0</v>
      </c>
      <c r="R556" s="74">
        <f t="shared" si="282"/>
        <v>0</v>
      </c>
      <c r="S556" s="74">
        <f t="shared" si="282"/>
        <v>0</v>
      </c>
      <c r="T556" s="74">
        <f t="shared" si="282"/>
        <v>0</v>
      </c>
      <c r="U556" s="74">
        <f t="shared" si="282"/>
        <v>0</v>
      </c>
      <c r="V556" s="74">
        <f t="shared" si="282"/>
        <v>0</v>
      </c>
      <c r="W556" s="74">
        <f t="shared" si="282"/>
        <v>0</v>
      </c>
      <c r="X556" s="74">
        <f t="shared" si="282"/>
        <v>0</v>
      </c>
      <c r="Y556" s="74">
        <f t="shared" si="282"/>
        <v>0</v>
      </c>
      <c r="Z556" s="74">
        <f t="shared" si="282"/>
        <v>0</v>
      </c>
    </row>
    <row r="557" hidden="1" outlineLevel="1">
      <c r="B557" s="93">
        <f t="shared" si="267"/>
        <v>18</v>
      </c>
      <c r="C557" s="40"/>
      <c r="D557" s="16" t="s">
        <v>161</v>
      </c>
      <c r="E557" s="74">
        <f t="shared" si="108"/>
        <v>0</v>
      </c>
      <c r="F557" s="74"/>
      <c r="G557" s="74">
        <f t="shared" ref="G557:Z557" si="283">G365-G344-G578</f>
        <v>0</v>
      </c>
      <c r="H557" s="74">
        <f t="shared" si="283"/>
        <v>0</v>
      </c>
      <c r="I557" s="74">
        <f t="shared" si="283"/>
        <v>0</v>
      </c>
      <c r="J557" s="74">
        <f t="shared" si="283"/>
        <v>0</v>
      </c>
      <c r="K557" s="74">
        <f t="shared" si="283"/>
        <v>0</v>
      </c>
      <c r="L557" s="74">
        <f t="shared" si="283"/>
        <v>0</v>
      </c>
      <c r="M557" s="74">
        <f t="shared" si="283"/>
        <v>0</v>
      </c>
      <c r="N557" s="74">
        <f t="shared" si="283"/>
        <v>0</v>
      </c>
      <c r="O557" s="74">
        <f t="shared" si="283"/>
        <v>0</v>
      </c>
      <c r="P557" s="74">
        <f t="shared" si="283"/>
        <v>0</v>
      </c>
      <c r="Q557" s="74">
        <f t="shared" si="283"/>
        <v>0</v>
      </c>
      <c r="R557" s="74">
        <f t="shared" si="283"/>
        <v>0</v>
      </c>
      <c r="S557" s="74">
        <f t="shared" si="283"/>
        <v>0</v>
      </c>
      <c r="T557" s="74">
        <f t="shared" si="283"/>
        <v>0</v>
      </c>
      <c r="U557" s="74">
        <f t="shared" si="283"/>
        <v>0</v>
      </c>
      <c r="V557" s="74">
        <f t="shared" si="283"/>
        <v>0</v>
      </c>
      <c r="W557" s="74">
        <f t="shared" si="283"/>
        <v>0</v>
      </c>
      <c r="X557" s="74">
        <f t="shared" si="283"/>
        <v>0</v>
      </c>
      <c r="Y557" s="74">
        <f t="shared" si="283"/>
        <v>0</v>
      </c>
      <c r="Z557" s="74">
        <f t="shared" si="283"/>
        <v>0</v>
      </c>
    </row>
    <row r="558" hidden="1" outlineLevel="1">
      <c r="B558" s="93">
        <f t="shared" si="267"/>
        <v>19</v>
      </c>
      <c r="C558" s="40"/>
      <c r="D558" s="16" t="s">
        <v>161</v>
      </c>
      <c r="E558" s="74">
        <f t="shared" si="108"/>
        <v>0</v>
      </c>
      <c r="F558" s="74"/>
      <c r="G558" s="74">
        <f t="shared" ref="G558:Z558" si="284">G366-G345-G579</f>
        <v>0</v>
      </c>
      <c r="H558" s="74">
        <f t="shared" si="284"/>
        <v>0</v>
      </c>
      <c r="I558" s="74">
        <f t="shared" si="284"/>
        <v>0</v>
      </c>
      <c r="J558" s="74">
        <f t="shared" si="284"/>
        <v>0</v>
      </c>
      <c r="K558" s="74">
        <f t="shared" si="284"/>
        <v>0</v>
      </c>
      <c r="L558" s="74">
        <f t="shared" si="284"/>
        <v>0</v>
      </c>
      <c r="M558" s="74">
        <f t="shared" si="284"/>
        <v>0</v>
      </c>
      <c r="N558" s="74">
        <f t="shared" si="284"/>
        <v>0</v>
      </c>
      <c r="O558" s="74">
        <f t="shared" si="284"/>
        <v>0</v>
      </c>
      <c r="P558" s="74">
        <f t="shared" si="284"/>
        <v>0</v>
      </c>
      <c r="Q558" s="74">
        <f t="shared" si="284"/>
        <v>0</v>
      </c>
      <c r="R558" s="74">
        <f t="shared" si="284"/>
        <v>0</v>
      </c>
      <c r="S558" s="74">
        <f t="shared" si="284"/>
        <v>0</v>
      </c>
      <c r="T558" s="74">
        <f t="shared" si="284"/>
        <v>0</v>
      </c>
      <c r="U558" s="74">
        <f t="shared" si="284"/>
        <v>0</v>
      </c>
      <c r="V558" s="74">
        <f t="shared" si="284"/>
        <v>0</v>
      </c>
      <c r="W558" s="74">
        <f t="shared" si="284"/>
        <v>0</v>
      </c>
      <c r="X558" s="74">
        <f t="shared" si="284"/>
        <v>0</v>
      </c>
      <c r="Y558" s="74">
        <f t="shared" si="284"/>
        <v>0</v>
      </c>
      <c r="Z558" s="74">
        <f t="shared" si="284"/>
        <v>0</v>
      </c>
    </row>
    <row r="559" hidden="1" outlineLevel="1">
      <c r="B559" s="93">
        <f t="shared" si="267"/>
        <v>20</v>
      </c>
      <c r="C559" s="40"/>
      <c r="D559" s="16" t="s">
        <v>161</v>
      </c>
      <c r="E559" s="74">
        <f t="shared" si="108"/>
        <v>0</v>
      </c>
      <c r="F559" s="74"/>
      <c r="G559" s="74">
        <f t="shared" ref="G559:Z559" si="285">G367-G346-G580</f>
        <v>0</v>
      </c>
      <c r="H559" s="74">
        <f t="shared" si="285"/>
        <v>0</v>
      </c>
      <c r="I559" s="74">
        <f t="shared" si="285"/>
        <v>0</v>
      </c>
      <c r="J559" s="74">
        <f t="shared" si="285"/>
        <v>0</v>
      </c>
      <c r="K559" s="74">
        <f t="shared" si="285"/>
        <v>0</v>
      </c>
      <c r="L559" s="74">
        <f t="shared" si="285"/>
        <v>0</v>
      </c>
      <c r="M559" s="74">
        <f t="shared" si="285"/>
        <v>0</v>
      </c>
      <c r="N559" s="74">
        <f t="shared" si="285"/>
        <v>0</v>
      </c>
      <c r="O559" s="74">
        <f t="shared" si="285"/>
        <v>0</v>
      </c>
      <c r="P559" s="74">
        <f t="shared" si="285"/>
        <v>0</v>
      </c>
      <c r="Q559" s="74">
        <f t="shared" si="285"/>
        <v>0</v>
      </c>
      <c r="R559" s="74">
        <f t="shared" si="285"/>
        <v>0</v>
      </c>
      <c r="S559" s="74">
        <f t="shared" si="285"/>
        <v>0</v>
      </c>
      <c r="T559" s="74">
        <f t="shared" si="285"/>
        <v>0</v>
      </c>
      <c r="U559" s="74">
        <f t="shared" si="285"/>
        <v>0</v>
      </c>
      <c r="V559" s="74">
        <f t="shared" si="285"/>
        <v>0</v>
      </c>
      <c r="W559" s="74">
        <f t="shared" si="285"/>
        <v>0</v>
      </c>
      <c r="X559" s="74">
        <f t="shared" si="285"/>
        <v>0</v>
      </c>
      <c r="Y559" s="74">
        <f t="shared" si="285"/>
        <v>0</v>
      </c>
      <c r="Z559" s="74">
        <f t="shared" si="285"/>
        <v>0</v>
      </c>
    </row>
    <row r="560" collapsed="1">
      <c r="B560" s="36" t="s">
        <v>200</v>
      </c>
      <c r="C560" s="16"/>
      <c r="D560" s="16" t="s">
        <v>161</v>
      </c>
      <c r="E560" s="74">
        <f t="shared" si="108"/>
        <v>50878960</v>
      </c>
      <c r="F560" s="78"/>
      <c r="G560" s="77">
        <f t="shared" ref="G560:Z560" si="286">sum(G561:G580)</f>
        <v>0</v>
      </c>
      <c r="H560" s="77">
        <f t="shared" si="286"/>
        <v>0</v>
      </c>
      <c r="I560" s="77">
        <f t="shared" si="286"/>
        <v>0</v>
      </c>
      <c r="J560" s="77">
        <f t="shared" si="286"/>
        <v>0</v>
      </c>
      <c r="K560" s="77">
        <f t="shared" si="286"/>
        <v>0</v>
      </c>
      <c r="L560" s="77">
        <f t="shared" si="286"/>
        <v>0</v>
      </c>
      <c r="M560" s="77">
        <f t="shared" si="286"/>
        <v>0</v>
      </c>
      <c r="N560" s="77">
        <f t="shared" si="286"/>
        <v>0</v>
      </c>
      <c r="O560" s="77">
        <f t="shared" si="286"/>
        <v>2058261.333</v>
      </c>
      <c r="P560" s="77">
        <f t="shared" si="286"/>
        <v>7025392</v>
      </c>
      <c r="Q560" s="77">
        <f t="shared" si="286"/>
        <v>11992522.67</v>
      </c>
      <c r="R560" s="77">
        <f t="shared" si="286"/>
        <v>14901392</v>
      </c>
      <c r="S560" s="77">
        <f t="shared" si="286"/>
        <v>9934261.333</v>
      </c>
      <c r="T560" s="77">
        <f t="shared" si="286"/>
        <v>4967130.667</v>
      </c>
      <c r="U560" s="77">
        <f t="shared" si="286"/>
        <v>0</v>
      </c>
      <c r="V560" s="77">
        <f t="shared" si="286"/>
        <v>0</v>
      </c>
      <c r="W560" s="77">
        <f t="shared" si="286"/>
        <v>0</v>
      </c>
      <c r="X560" s="77">
        <f t="shared" si="286"/>
        <v>0</v>
      </c>
      <c r="Y560" s="77">
        <f t="shared" si="286"/>
        <v>0</v>
      </c>
      <c r="Z560" s="77">
        <f t="shared" si="286"/>
        <v>0</v>
      </c>
    </row>
    <row r="561" hidden="1" outlineLevel="1">
      <c r="B561" s="93">
        <f>G$4</f>
        <v>1</v>
      </c>
      <c r="C561" s="40"/>
      <c r="D561" s="40" t="s">
        <v>161</v>
      </c>
      <c r="E561" s="74">
        <f t="shared" si="108"/>
        <v>16959653.33</v>
      </c>
      <c r="F561" s="78"/>
      <c r="G561" s="77">
        <f>if($C137=true,G371,G371+G392*'Get Started'!$D$26)</f>
        <v>0</v>
      </c>
      <c r="H561" s="77">
        <f>if($C137=true,H371,H371+H392*'Get Started'!$D$26)</f>
        <v>0</v>
      </c>
      <c r="I561" s="77">
        <f>if($C137=true,I371,I371+I392*'Get Started'!$D$26)</f>
        <v>0</v>
      </c>
      <c r="J561" s="77">
        <f>if($C137=true,J371,J371+J392*'Get Started'!$D$26)</f>
        <v>0</v>
      </c>
      <c r="K561" s="77">
        <f>if($C137=true,K371,K371+K392*'Get Started'!$D$26)</f>
        <v>0</v>
      </c>
      <c r="L561" s="77">
        <f>if($C137=true,L371,L371+L392*'Get Started'!$D$26)</f>
        <v>0</v>
      </c>
      <c r="M561" s="77">
        <f>if($C137=true,M371,M371+M392*'Get Started'!$D$26)</f>
        <v>0</v>
      </c>
      <c r="N561" s="77">
        <f>if($C137=true,N371,N371+N392*'Get Started'!$D$26)</f>
        <v>0</v>
      </c>
      <c r="O561" s="77">
        <f>if($C137=true,O371,O371+O392*'Get Started'!$D$26)</f>
        <v>2058261.333</v>
      </c>
      <c r="P561" s="77">
        <f>if($C137=true,P371,P371+P392*'Get Started'!$D$26)</f>
        <v>4967130.667</v>
      </c>
      <c r="Q561" s="77">
        <f>if($C137=true,Q371,Q371+Q392*'Get Started'!$D$26)</f>
        <v>4967130.667</v>
      </c>
      <c r="R561" s="77">
        <f>if($C137=true,R371,R371+R392*'Get Started'!$D$26)</f>
        <v>4967130.667</v>
      </c>
      <c r="S561" s="77">
        <f>if($C137=true,S371,S371+S392*'Get Started'!$D$26)</f>
        <v>0</v>
      </c>
      <c r="T561" s="77">
        <f>if($C137=true,T371,T371+T392*'Get Started'!$D$26)</f>
        <v>0</v>
      </c>
      <c r="U561" s="77">
        <f>if($C137=true,U371,U371+U392*'Get Started'!$D$26)</f>
        <v>0</v>
      </c>
      <c r="V561" s="77">
        <f>if($C137=true,V371,V371+V392*'Get Started'!$D$26)</f>
        <v>0</v>
      </c>
      <c r="W561" s="77">
        <f>if($C137=true,W371,W371+W392*'Get Started'!$D$26)</f>
        <v>0</v>
      </c>
      <c r="X561" s="77">
        <f>if($C137=true,X371,X371+X392*'Get Started'!$D$26)</f>
        <v>0</v>
      </c>
      <c r="Y561" s="77">
        <f>if($C137=true,Y371,Y371+Y392*'Get Started'!$D$26)</f>
        <v>0</v>
      </c>
      <c r="Z561" s="77">
        <f>if($C137=true,Z371,Z371+Z392*'Get Started'!$D$26)</f>
        <v>0</v>
      </c>
    </row>
    <row r="562" hidden="1" outlineLevel="1">
      <c r="B562" s="93">
        <f t="shared" ref="B562:B580" si="287">B561+1</f>
        <v>2</v>
      </c>
      <c r="C562" s="40"/>
      <c r="D562" s="40" t="s">
        <v>161</v>
      </c>
      <c r="E562" s="74">
        <f t="shared" si="108"/>
        <v>16959653.33</v>
      </c>
      <c r="F562" s="78"/>
      <c r="G562" s="77">
        <f>if($C138=true,G372,G372+G393*'Get Started'!$D$26)</f>
        <v>0</v>
      </c>
      <c r="H562" s="77">
        <f>if($C138=true,H372,H372+H393*'Get Started'!$D$26)</f>
        <v>0</v>
      </c>
      <c r="I562" s="77">
        <f>if($C138=true,I372,I372+I393*'Get Started'!$D$26)</f>
        <v>0</v>
      </c>
      <c r="J562" s="77">
        <f>if($C138=true,J372,J372+J393*'Get Started'!$D$26)</f>
        <v>0</v>
      </c>
      <c r="K562" s="77">
        <f>if($C138=true,K372,K372+K393*'Get Started'!$D$26)</f>
        <v>0</v>
      </c>
      <c r="L562" s="77">
        <f>if($C138=true,L372,L372+L393*'Get Started'!$D$26)</f>
        <v>0</v>
      </c>
      <c r="M562" s="77">
        <f>if($C138=true,M372,M372+M393*'Get Started'!$D$26)</f>
        <v>0</v>
      </c>
      <c r="N562" s="77">
        <f>if($C138=true,N372,N372+N393*'Get Started'!$D$26)</f>
        <v>0</v>
      </c>
      <c r="O562" s="77">
        <f>if($C138=true,O372,O372+O393*'Get Started'!$D$26)</f>
        <v>0</v>
      </c>
      <c r="P562" s="77">
        <f>if($C138=true,P372,P372+P393*'Get Started'!$D$26)</f>
        <v>2058261.333</v>
      </c>
      <c r="Q562" s="77">
        <f>if($C138=true,Q372,Q372+Q393*'Get Started'!$D$26)</f>
        <v>4967130.667</v>
      </c>
      <c r="R562" s="77">
        <f>if($C138=true,R372,R372+R393*'Get Started'!$D$26)</f>
        <v>4967130.667</v>
      </c>
      <c r="S562" s="77">
        <f>if($C138=true,S372,S372+S393*'Get Started'!$D$26)</f>
        <v>4967130.667</v>
      </c>
      <c r="T562" s="77">
        <f>if($C138=true,T372,T372+T393*'Get Started'!$D$26)</f>
        <v>0</v>
      </c>
      <c r="U562" s="77">
        <f>if($C138=true,U372,U372+U393*'Get Started'!$D$26)</f>
        <v>0</v>
      </c>
      <c r="V562" s="77">
        <f>if($C138=true,V372,V372+V393*'Get Started'!$D$26)</f>
        <v>0</v>
      </c>
      <c r="W562" s="77">
        <f>if($C138=true,W372,W372+W393*'Get Started'!$D$26)</f>
        <v>0</v>
      </c>
      <c r="X562" s="77">
        <f>if($C138=true,X372,X372+X393*'Get Started'!$D$26)</f>
        <v>0</v>
      </c>
      <c r="Y562" s="77">
        <f>if($C138=true,Y372,Y372+Y393*'Get Started'!$D$26)</f>
        <v>0</v>
      </c>
      <c r="Z562" s="77">
        <f>if($C138=true,Z372,Z372+Z393*'Get Started'!$D$26)</f>
        <v>0</v>
      </c>
    </row>
    <row r="563" hidden="1" outlineLevel="1">
      <c r="B563" s="93">
        <f t="shared" si="287"/>
        <v>3</v>
      </c>
      <c r="C563" s="40"/>
      <c r="D563" s="40" t="s">
        <v>161</v>
      </c>
      <c r="E563" s="74">
        <f t="shared" si="108"/>
        <v>16959653.33</v>
      </c>
      <c r="F563" s="78"/>
      <c r="G563" s="77">
        <f>if($C139=true,G373,G373+G394*'Get Started'!$D$26)</f>
        <v>0</v>
      </c>
      <c r="H563" s="77">
        <f>if($C139=true,H373,H373+H394*'Get Started'!$D$26)</f>
        <v>0</v>
      </c>
      <c r="I563" s="77">
        <f>if($C139=true,I373,I373+I394*'Get Started'!$D$26)</f>
        <v>0</v>
      </c>
      <c r="J563" s="77">
        <f>if($C139=true,J373,J373+J394*'Get Started'!$D$26)</f>
        <v>0</v>
      </c>
      <c r="K563" s="77">
        <f>if($C139=true,K373,K373+K394*'Get Started'!$D$26)</f>
        <v>0</v>
      </c>
      <c r="L563" s="77">
        <f>if($C139=true,L373,L373+L394*'Get Started'!$D$26)</f>
        <v>0</v>
      </c>
      <c r="M563" s="77">
        <f>if($C139=true,M373,M373+M394*'Get Started'!$D$26)</f>
        <v>0</v>
      </c>
      <c r="N563" s="77">
        <f>if($C139=true,N373,N373+N394*'Get Started'!$D$26)</f>
        <v>0</v>
      </c>
      <c r="O563" s="77">
        <f>if($C139=true,O373,O373+O394*'Get Started'!$D$26)</f>
        <v>0</v>
      </c>
      <c r="P563" s="77">
        <f>if($C139=true,P373,P373+P394*'Get Started'!$D$26)</f>
        <v>0</v>
      </c>
      <c r="Q563" s="77">
        <f>if($C139=true,Q373,Q373+Q394*'Get Started'!$D$26)</f>
        <v>2058261.333</v>
      </c>
      <c r="R563" s="77">
        <f>if($C139=true,R373,R373+R394*'Get Started'!$D$26)</f>
        <v>4967130.667</v>
      </c>
      <c r="S563" s="77">
        <f>if($C139=true,S373,S373+S394*'Get Started'!$D$26)</f>
        <v>4967130.667</v>
      </c>
      <c r="T563" s="77">
        <f>if($C139=true,T373,T373+T394*'Get Started'!$D$26)</f>
        <v>4967130.667</v>
      </c>
      <c r="U563" s="77">
        <f>if($C139=true,U373,U373+U394*'Get Started'!$D$26)</f>
        <v>0</v>
      </c>
      <c r="V563" s="77">
        <f>if($C139=true,V373,V373+V394*'Get Started'!$D$26)</f>
        <v>0</v>
      </c>
      <c r="W563" s="77">
        <f>if($C139=true,W373,W373+W394*'Get Started'!$D$26)</f>
        <v>0</v>
      </c>
      <c r="X563" s="77">
        <f>if($C139=true,X373,X373+X394*'Get Started'!$D$26)</f>
        <v>0</v>
      </c>
      <c r="Y563" s="77">
        <f>if($C139=true,Y373,Y373+Y394*'Get Started'!$D$26)</f>
        <v>0</v>
      </c>
      <c r="Z563" s="77">
        <f>if($C139=true,Z373,Z373+Z394*'Get Started'!$D$26)</f>
        <v>0</v>
      </c>
    </row>
    <row r="564" hidden="1" outlineLevel="1">
      <c r="B564" s="93">
        <f t="shared" si="287"/>
        <v>4</v>
      </c>
      <c r="C564" s="40"/>
      <c r="D564" s="40" t="s">
        <v>161</v>
      </c>
      <c r="E564" s="74">
        <f t="shared" si="108"/>
        <v>0</v>
      </c>
      <c r="F564" s="78"/>
      <c r="G564" s="77">
        <f>if($C140=true,G374,G374+G395*'Get Started'!$D$26)</f>
        <v>0</v>
      </c>
      <c r="H564" s="77">
        <f>if($C140=true,H374,H374+H395*'Get Started'!$D$26)</f>
        <v>0</v>
      </c>
      <c r="I564" s="77">
        <f>if($C140=true,I374,I374+I395*'Get Started'!$D$26)</f>
        <v>0</v>
      </c>
      <c r="J564" s="77">
        <f>if($C140=true,J374,J374+J395*'Get Started'!$D$26)</f>
        <v>0</v>
      </c>
      <c r="K564" s="77">
        <f>if($C140=true,K374,K374+K395*'Get Started'!$D$26)</f>
        <v>0</v>
      </c>
      <c r="L564" s="77">
        <f>if($C140=true,L374,L374+L395*'Get Started'!$D$26)</f>
        <v>0</v>
      </c>
      <c r="M564" s="77">
        <f>if($C140=true,M374,M374+M395*'Get Started'!$D$26)</f>
        <v>0</v>
      </c>
      <c r="N564" s="77">
        <f>if($C140=true,N374,N374+N395*'Get Started'!$D$26)</f>
        <v>0</v>
      </c>
      <c r="O564" s="77">
        <f>if($C140=true,O374,O374+O395*'Get Started'!$D$26)</f>
        <v>0</v>
      </c>
      <c r="P564" s="77">
        <f>if($C140=true,P374,P374+P395*'Get Started'!$D$26)</f>
        <v>0</v>
      </c>
      <c r="Q564" s="77">
        <f>if($C140=true,Q374,Q374+Q395*'Get Started'!$D$26)</f>
        <v>0</v>
      </c>
      <c r="R564" s="77">
        <f>if($C140=true,R374,R374+R395*'Get Started'!$D$26)</f>
        <v>0</v>
      </c>
      <c r="S564" s="77">
        <f>if($C140=true,S374,S374+S395*'Get Started'!$D$26)</f>
        <v>0</v>
      </c>
      <c r="T564" s="77">
        <f>if($C140=true,T374,T374+T395*'Get Started'!$D$26)</f>
        <v>0</v>
      </c>
      <c r="U564" s="77">
        <f>if($C140=true,U374,U374+U395*'Get Started'!$D$26)</f>
        <v>0</v>
      </c>
      <c r="V564" s="77">
        <f>if($C140=true,V374,V374+V395*'Get Started'!$D$26)</f>
        <v>0</v>
      </c>
      <c r="W564" s="77">
        <f>if($C140=true,W374,W374+W395*'Get Started'!$D$26)</f>
        <v>0</v>
      </c>
      <c r="X564" s="77">
        <f>if($C140=true,X374,X374+X395*'Get Started'!$D$26)</f>
        <v>0</v>
      </c>
      <c r="Y564" s="77">
        <f>if($C140=true,Y374,Y374+Y395*'Get Started'!$D$26)</f>
        <v>0</v>
      </c>
      <c r="Z564" s="77">
        <f>if($C140=true,Z374,Z374+Z395*'Get Started'!$D$26)</f>
        <v>0</v>
      </c>
    </row>
    <row r="565" hidden="1" outlineLevel="1">
      <c r="B565" s="93">
        <f t="shared" si="287"/>
        <v>5</v>
      </c>
      <c r="C565" s="40"/>
      <c r="D565" s="40" t="s">
        <v>161</v>
      </c>
      <c r="E565" s="74">
        <f t="shared" si="108"/>
        <v>0</v>
      </c>
      <c r="F565" s="78"/>
      <c r="G565" s="77">
        <f>if($C141=true,G375,G375+G396*'Get Started'!$D$26)</f>
        <v>0</v>
      </c>
      <c r="H565" s="77">
        <f>if($C141=true,H375,H375+H396*'Get Started'!$D$26)</f>
        <v>0</v>
      </c>
      <c r="I565" s="77">
        <f>if($C141=true,I375,I375+I396*'Get Started'!$D$26)</f>
        <v>0</v>
      </c>
      <c r="J565" s="77">
        <f>if($C141=true,J375,J375+J396*'Get Started'!$D$26)</f>
        <v>0</v>
      </c>
      <c r="K565" s="77">
        <f>if($C141=true,K375,K375+K396*'Get Started'!$D$26)</f>
        <v>0</v>
      </c>
      <c r="L565" s="77">
        <f>if($C141=true,L375,L375+L396*'Get Started'!$D$26)</f>
        <v>0</v>
      </c>
      <c r="M565" s="77">
        <f>if($C141=true,M375,M375+M396*'Get Started'!$D$26)</f>
        <v>0</v>
      </c>
      <c r="N565" s="77">
        <f>if($C141=true,N375,N375+N396*'Get Started'!$D$26)</f>
        <v>0</v>
      </c>
      <c r="O565" s="77">
        <f>if($C141=true,O375,O375+O396*'Get Started'!$D$26)</f>
        <v>0</v>
      </c>
      <c r="P565" s="77">
        <f>if($C141=true,P375,P375+P396*'Get Started'!$D$26)</f>
        <v>0</v>
      </c>
      <c r="Q565" s="77">
        <f>if($C141=true,Q375,Q375+Q396*'Get Started'!$D$26)</f>
        <v>0</v>
      </c>
      <c r="R565" s="77">
        <f>if($C141=true,R375,R375+R396*'Get Started'!$D$26)</f>
        <v>0</v>
      </c>
      <c r="S565" s="77">
        <f>if($C141=true,S375,S375+S396*'Get Started'!$D$26)</f>
        <v>0</v>
      </c>
      <c r="T565" s="77">
        <f>if($C141=true,T375,T375+T396*'Get Started'!$D$26)</f>
        <v>0</v>
      </c>
      <c r="U565" s="77">
        <f>if($C141=true,U375,U375+U396*'Get Started'!$D$26)</f>
        <v>0</v>
      </c>
      <c r="V565" s="77">
        <f>if($C141=true,V375,V375+V396*'Get Started'!$D$26)</f>
        <v>0</v>
      </c>
      <c r="W565" s="77">
        <f>if($C141=true,W375,W375+W396*'Get Started'!$D$26)</f>
        <v>0</v>
      </c>
      <c r="X565" s="77">
        <f>if($C141=true,X375,X375+X396*'Get Started'!$D$26)</f>
        <v>0</v>
      </c>
      <c r="Y565" s="77">
        <f>if($C141=true,Y375,Y375+Y396*'Get Started'!$D$26)</f>
        <v>0</v>
      </c>
      <c r="Z565" s="77">
        <f>if($C141=true,Z375,Z375+Z396*'Get Started'!$D$26)</f>
        <v>0</v>
      </c>
    </row>
    <row r="566" hidden="1" outlineLevel="1">
      <c r="B566" s="93">
        <f t="shared" si="287"/>
        <v>6</v>
      </c>
      <c r="C566" s="40"/>
      <c r="D566" s="40" t="s">
        <v>161</v>
      </c>
      <c r="E566" s="74">
        <f t="shared" si="108"/>
        <v>0</v>
      </c>
      <c r="F566" s="78"/>
      <c r="G566" s="77">
        <f>if($C142=true,G376,G376+G397*'Get Started'!$D$26)</f>
        <v>0</v>
      </c>
      <c r="H566" s="77">
        <f>if($C142=true,H376,H376+H397*'Get Started'!$D$26)</f>
        <v>0</v>
      </c>
      <c r="I566" s="77">
        <f>if($C142=true,I376,I376+I397*'Get Started'!$D$26)</f>
        <v>0</v>
      </c>
      <c r="J566" s="77">
        <f>if($C142=true,J376,J376+J397*'Get Started'!$D$26)</f>
        <v>0</v>
      </c>
      <c r="K566" s="77">
        <f>if($C142=true,K376,K376+K397*'Get Started'!$D$26)</f>
        <v>0</v>
      </c>
      <c r="L566" s="77">
        <f>if($C142=true,L376,L376+L397*'Get Started'!$D$26)</f>
        <v>0</v>
      </c>
      <c r="M566" s="77">
        <f>if($C142=true,M376,M376+M397*'Get Started'!$D$26)</f>
        <v>0</v>
      </c>
      <c r="N566" s="77">
        <f>if($C142=true,N376,N376+N397*'Get Started'!$D$26)</f>
        <v>0</v>
      </c>
      <c r="O566" s="77">
        <f>if($C142=true,O376,O376+O397*'Get Started'!$D$26)</f>
        <v>0</v>
      </c>
      <c r="P566" s="77">
        <f>if($C142=true,P376,P376+P397*'Get Started'!$D$26)</f>
        <v>0</v>
      </c>
      <c r="Q566" s="77">
        <f>if($C142=true,Q376,Q376+Q397*'Get Started'!$D$26)</f>
        <v>0</v>
      </c>
      <c r="R566" s="77">
        <f>if($C142=true,R376,R376+R397*'Get Started'!$D$26)</f>
        <v>0</v>
      </c>
      <c r="S566" s="77">
        <f>if($C142=true,S376,S376+S397*'Get Started'!$D$26)</f>
        <v>0</v>
      </c>
      <c r="T566" s="77">
        <f>if($C142=true,T376,T376+T397*'Get Started'!$D$26)</f>
        <v>0</v>
      </c>
      <c r="U566" s="77">
        <f>if($C142=true,U376,U376+U397*'Get Started'!$D$26)</f>
        <v>0</v>
      </c>
      <c r="V566" s="77">
        <f>if($C142=true,V376,V376+V397*'Get Started'!$D$26)</f>
        <v>0</v>
      </c>
      <c r="W566" s="77">
        <f>if($C142=true,W376,W376+W397*'Get Started'!$D$26)</f>
        <v>0</v>
      </c>
      <c r="X566" s="77">
        <f>if($C142=true,X376,X376+X397*'Get Started'!$D$26)</f>
        <v>0</v>
      </c>
      <c r="Y566" s="77">
        <f>if($C142=true,Y376,Y376+Y397*'Get Started'!$D$26)</f>
        <v>0</v>
      </c>
      <c r="Z566" s="77">
        <f>if($C142=true,Z376,Z376+Z397*'Get Started'!$D$26)</f>
        <v>0</v>
      </c>
    </row>
    <row r="567" hidden="1" outlineLevel="1">
      <c r="B567" s="93">
        <f t="shared" si="287"/>
        <v>7</v>
      </c>
      <c r="C567" s="40"/>
      <c r="D567" s="40" t="s">
        <v>161</v>
      </c>
      <c r="E567" s="74">
        <f t="shared" si="108"/>
        <v>0</v>
      </c>
      <c r="F567" s="78"/>
      <c r="G567" s="77">
        <f>if($C143=true,G377,G377+G398*'Get Started'!$D$26)</f>
        <v>0</v>
      </c>
      <c r="H567" s="77">
        <f>if($C143=true,H377,H377+H398*'Get Started'!$D$26)</f>
        <v>0</v>
      </c>
      <c r="I567" s="77">
        <f>if($C143=true,I377,I377+I398*'Get Started'!$D$26)</f>
        <v>0</v>
      </c>
      <c r="J567" s="77">
        <f>if($C143=true,J377,J377+J398*'Get Started'!$D$26)</f>
        <v>0</v>
      </c>
      <c r="K567" s="77">
        <f>if($C143=true,K377,K377+K398*'Get Started'!$D$26)</f>
        <v>0</v>
      </c>
      <c r="L567" s="77">
        <f>if($C143=true,L377,L377+L398*'Get Started'!$D$26)</f>
        <v>0</v>
      </c>
      <c r="M567" s="77">
        <f>if($C143=true,M377,M377+M398*'Get Started'!$D$26)</f>
        <v>0</v>
      </c>
      <c r="N567" s="77">
        <f>if($C143=true,N377,N377+N398*'Get Started'!$D$26)</f>
        <v>0</v>
      </c>
      <c r="O567" s="77">
        <f>if($C143=true,O377,O377+O398*'Get Started'!$D$26)</f>
        <v>0</v>
      </c>
      <c r="P567" s="77">
        <f>if($C143=true,P377,P377+P398*'Get Started'!$D$26)</f>
        <v>0</v>
      </c>
      <c r="Q567" s="77">
        <f>if($C143=true,Q377,Q377+Q398*'Get Started'!$D$26)</f>
        <v>0</v>
      </c>
      <c r="R567" s="77">
        <f>if($C143=true,R377,R377+R398*'Get Started'!$D$26)</f>
        <v>0</v>
      </c>
      <c r="S567" s="77">
        <f>if($C143=true,S377,S377+S398*'Get Started'!$D$26)</f>
        <v>0</v>
      </c>
      <c r="T567" s="77">
        <f>if($C143=true,T377,T377+T398*'Get Started'!$D$26)</f>
        <v>0</v>
      </c>
      <c r="U567" s="77">
        <f>if($C143=true,U377,U377+U398*'Get Started'!$D$26)</f>
        <v>0</v>
      </c>
      <c r="V567" s="77">
        <f>if($C143=true,V377,V377+V398*'Get Started'!$D$26)</f>
        <v>0</v>
      </c>
      <c r="W567" s="77">
        <f>if($C143=true,W377,W377+W398*'Get Started'!$D$26)</f>
        <v>0</v>
      </c>
      <c r="X567" s="77">
        <f>if($C143=true,X377,X377+X398*'Get Started'!$D$26)</f>
        <v>0</v>
      </c>
      <c r="Y567" s="77">
        <f>if($C143=true,Y377,Y377+Y398*'Get Started'!$D$26)</f>
        <v>0</v>
      </c>
      <c r="Z567" s="77">
        <f>if($C143=true,Z377,Z377+Z398*'Get Started'!$D$26)</f>
        <v>0</v>
      </c>
    </row>
    <row r="568" hidden="1" outlineLevel="1">
      <c r="B568" s="93">
        <f t="shared" si="287"/>
        <v>8</v>
      </c>
      <c r="C568" s="40"/>
      <c r="D568" s="40" t="s">
        <v>161</v>
      </c>
      <c r="E568" s="74">
        <f t="shared" si="108"/>
        <v>0</v>
      </c>
      <c r="F568" s="78"/>
      <c r="G568" s="77">
        <f>if($C144=true,G378,G378+G399*'Get Started'!$D$26)</f>
        <v>0</v>
      </c>
      <c r="H568" s="77">
        <f>if($C144=true,H378,H378+H399*'Get Started'!$D$26)</f>
        <v>0</v>
      </c>
      <c r="I568" s="77">
        <f>if($C144=true,I378,I378+I399*'Get Started'!$D$26)</f>
        <v>0</v>
      </c>
      <c r="J568" s="77">
        <f>if($C144=true,J378,J378+J399*'Get Started'!$D$26)</f>
        <v>0</v>
      </c>
      <c r="K568" s="77">
        <f>if($C144=true,K378,K378+K399*'Get Started'!$D$26)</f>
        <v>0</v>
      </c>
      <c r="L568" s="77">
        <f>if($C144=true,L378,L378+L399*'Get Started'!$D$26)</f>
        <v>0</v>
      </c>
      <c r="M568" s="77">
        <f>if($C144=true,M378,M378+M399*'Get Started'!$D$26)</f>
        <v>0</v>
      </c>
      <c r="N568" s="77">
        <f>if($C144=true,N378,N378+N399*'Get Started'!$D$26)</f>
        <v>0</v>
      </c>
      <c r="O568" s="77">
        <f>if($C144=true,O378,O378+O399*'Get Started'!$D$26)</f>
        <v>0</v>
      </c>
      <c r="P568" s="77">
        <f>if($C144=true,P378,P378+P399*'Get Started'!$D$26)</f>
        <v>0</v>
      </c>
      <c r="Q568" s="77">
        <f>if($C144=true,Q378,Q378+Q399*'Get Started'!$D$26)</f>
        <v>0</v>
      </c>
      <c r="R568" s="77">
        <f>if($C144=true,R378,R378+R399*'Get Started'!$D$26)</f>
        <v>0</v>
      </c>
      <c r="S568" s="77">
        <f>if($C144=true,S378,S378+S399*'Get Started'!$D$26)</f>
        <v>0</v>
      </c>
      <c r="T568" s="77">
        <f>if($C144=true,T378,T378+T399*'Get Started'!$D$26)</f>
        <v>0</v>
      </c>
      <c r="U568" s="77">
        <f>if($C144=true,U378,U378+U399*'Get Started'!$D$26)</f>
        <v>0</v>
      </c>
      <c r="V568" s="77">
        <f>if($C144=true,V378,V378+V399*'Get Started'!$D$26)</f>
        <v>0</v>
      </c>
      <c r="W568" s="77">
        <f>if($C144=true,W378,W378+W399*'Get Started'!$D$26)</f>
        <v>0</v>
      </c>
      <c r="X568" s="77">
        <f>if($C144=true,X378,X378+X399*'Get Started'!$D$26)</f>
        <v>0</v>
      </c>
      <c r="Y568" s="77">
        <f>if($C144=true,Y378,Y378+Y399*'Get Started'!$D$26)</f>
        <v>0</v>
      </c>
      <c r="Z568" s="77">
        <f>if($C144=true,Z378,Z378+Z399*'Get Started'!$D$26)</f>
        <v>0</v>
      </c>
    </row>
    <row r="569" hidden="1" outlineLevel="1">
      <c r="B569" s="93">
        <f t="shared" si="287"/>
        <v>9</v>
      </c>
      <c r="C569" s="40"/>
      <c r="D569" s="40" t="s">
        <v>161</v>
      </c>
      <c r="E569" s="74">
        <f t="shared" si="108"/>
        <v>0</v>
      </c>
      <c r="F569" s="78"/>
      <c r="G569" s="77">
        <f>if($C145=true,G379,G379+G400*'Get Started'!$D$26)</f>
        <v>0</v>
      </c>
      <c r="H569" s="77">
        <f>if($C145=true,H379,H379+H400*'Get Started'!$D$26)</f>
        <v>0</v>
      </c>
      <c r="I569" s="77">
        <f>if($C145=true,I379,I379+I400*'Get Started'!$D$26)</f>
        <v>0</v>
      </c>
      <c r="J569" s="77">
        <f>if($C145=true,J379,J379+J400*'Get Started'!$D$26)</f>
        <v>0</v>
      </c>
      <c r="K569" s="77">
        <f>if($C145=true,K379,K379+K400*'Get Started'!$D$26)</f>
        <v>0</v>
      </c>
      <c r="L569" s="77">
        <f>if($C145=true,L379,L379+L400*'Get Started'!$D$26)</f>
        <v>0</v>
      </c>
      <c r="M569" s="77">
        <f>if($C145=true,M379,M379+M400*'Get Started'!$D$26)</f>
        <v>0</v>
      </c>
      <c r="N569" s="77">
        <f>if($C145=true,N379,N379+N400*'Get Started'!$D$26)</f>
        <v>0</v>
      </c>
      <c r="O569" s="77">
        <f>if($C145=true,O379,O379+O400*'Get Started'!$D$26)</f>
        <v>0</v>
      </c>
      <c r="P569" s="77">
        <f>if($C145=true,P379,P379+P400*'Get Started'!$D$26)</f>
        <v>0</v>
      </c>
      <c r="Q569" s="77">
        <f>if($C145=true,Q379,Q379+Q400*'Get Started'!$D$26)</f>
        <v>0</v>
      </c>
      <c r="R569" s="77">
        <f>if($C145=true,R379,R379+R400*'Get Started'!$D$26)</f>
        <v>0</v>
      </c>
      <c r="S569" s="77">
        <f>if($C145=true,S379,S379+S400*'Get Started'!$D$26)</f>
        <v>0</v>
      </c>
      <c r="T569" s="77">
        <f>if($C145=true,T379,T379+T400*'Get Started'!$D$26)</f>
        <v>0</v>
      </c>
      <c r="U569" s="77">
        <f>if($C145=true,U379,U379+U400*'Get Started'!$D$26)</f>
        <v>0</v>
      </c>
      <c r="V569" s="77">
        <f>if($C145=true,V379,V379+V400*'Get Started'!$D$26)</f>
        <v>0</v>
      </c>
      <c r="W569" s="77">
        <f>if($C145=true,W379,W379+W400*'Get Started'!$D$26)</f>
        <v>0</v>
      </c>
      <c r="X569" s="77">
        <f>if($C145=true,X379,X379+X400*'Get Started'!$D$26)</f>
        <v>0</v>
      </c>
      <c r="Y569" s="77">
        <f>if($C145=true,Y379,Y379+Y400*'Get Started'!$D$26)</f>
        <v>0</v>
      </c>
      <c r="Z569" s="77">
        <f>if($C145=true,Z379,Z379+Z400*'Get Started'!$D$26)</f>
        <v>0</v>
      </c>
    </row>
    <row r="570" hidden="1" outlineLevel="1">
      <c r="B570" s="93">
        <f t="shared" si="287"/>
        <v>10</v>
      </c>
      <c r="C570" s="40"/>
      <c r="D570" s="40" t="s">
        <v>161</v>
      </c>
      <c r="E570" s="74">
        <f t="shared" si="108"/>
        <v>0</v>
      </c>
      <c r="F570" s="78"/>
      <c r="G570" s="77">
        <f>if($C146=true,G380,G380+G401*'Get Started'!$D$26)</f>
        <v>0</v>
      </c>
      <c r="H570" s="77">
        <f>if($C146=true,H380,H380+H401*'Get Started'!$D$26)</f>
        <v>0</v>
      </c>
      <c r="I570" s="77">
        <f>if($C146=true,I380,I380+I401*'Get Started'!$D$26)</f>
        <v>0</v>
      </c>
      <c r="J570" s="77">
        <f>if($C146=true,J380,J380+J401*'Get Started'!$D$26)</f>
        <v>0</v>
      </c>
      <c r="K570" s="77">
        <f>if($C146=true,K380,K380+K401*'Get Started'!$D$26)</f>
        <v>0</v>
      </c>
      <c r="L570" s="77">
        <f>if($C146=true,L380,L380+L401*'Get Started'!$D$26)</f>
        <v>0</v>
      </c>
      <c r="M570" s="77">
        <f>if($C146=true,M380,M380+M401*'Get Started'!$D$26)</f>
        <v>0</v>
      </c>
      <c r="N570" s="77">
        <f>if($C146=true,N380,N380+N401*'Get Started'!$D$26)</f>
        <v>0</v>
      </c>
      <c r="O570" s="77">
        <f>if($C146=true,O380,O380+O401*'Get Started'!$D$26)</f>
        <v>0</v>
      </c>
      <c r="P570" s="77">
        <f>if($C146=true,P380,P380+P401*'Get Started'!$D$26)</f>
        <v>0</v>
      </c>
      <c r="Q570" s="77">
        <f>if($C146=true,Q380,Q380+Q401*'Get Started'!$D$26)</f>
        <v>0</v>
      </c>
      <c r="R570" s="77">
        <f>if($C146=true,R380,R380+R401*'Get Started'!$D$26)</f>
        <v>0</v>
      </c>
      <c r="S570" s="77">
        <f>if($C146=true,S380,S380+S401*'Get Started'!$D$26)</f>
        <v>0</v>
      </c>
      <c r="T570" s="77">
        <f>if($C146=true,T380,T380+T401*'Get Started'!$D$26)</f>
        <v>0</v>
      </c>
      <c r="U570" s="77">
        <f>if($C146=true,U380,U380+U401*'Get Started'!$D$26)</f>
        <v>0</v>
      </c>
      <c r="V570" s="77">
        <f>if($C146=true,V380,V380+V401*'Get Started'!$D$26)</f>
        <v>0</v>
      </c>
      <c r="W570" s="77">
        <f>if($C146=true,W380,W380+W401*'Get Started'!$D$26)</f>
        <v>0</v>
      </c>
      <c r="X570" s="77">
        <f>if($C146=true,X380,X380+X401*'Get Started'!$D$26)</f>
        <v>0</v>
      </c>
      <c r="Y570" s="77">
        <f>if($C146=true,Y380,Y380+Y401*'Get Started'!$D$26)</f>
        <v>0</v>
      </c>
      <c r="Z570" s="77">
        <f>if($C146=true,Z380,Z380+Z401*'Get Started'!$D$26)</f>
        <v>0</v>
      </c>
    </row>
    <row r="571" hidden="1" outlineLevel="1">
      <c r="B571" s="93">
        <f t="shared" si="287"/>
        <v>11</v>
      </c>
      <c r="C571" s="40"/>
      <c r="D571" s="40" t="s">
        <v>161</v>
      </c>
      <c r="E571" s="74">
        <f t="shared" si="108"/>
        <v>0</v>
      </c>
      <c r="F571" s="78"/>
      <c r="G571" s="77">
        <f>if($C147=true,G381,G381+G402*'Get Started'!$D$26)</f>
        <v>0</v>
      </c>
      <c r="H571" s="77">
        <f>if($C147=true,H381,H381+H402*'Get Started'!$D$26)</f>
        <v>0</v>
      </c>
      <c r="I571" s="77">
        <f>if($C147=true,I381,I381+I402*'Get Started'!$D$26)</f>
        <v>0</v>
      </c>
      <c r="J571" s="77">
        <f>if($C147=true,J381,J381+J402*'Get Started'!$D$26)</f>
        <v>0</v>
      </c>
      <c r="K571" s="77">
        <f>if($C147=true,K381,K381+K402*'Get Started'!$D$26)</f>
        <v>0</v>
      </c>
      <c r="L571" s="77">
        <f>if($C147=true,L381,L381+L402*'Get Started'!$D$26)</f>
        <v>0</v>
      </c>
      <c r="M571" s="77">
        <f>if($C147=true,M381,M381+M402*'Get Started'!$D$26)</f>
        <v>0</v>
      </c>
      <c r="N571" s="77">
        <f>if($C147=true,N381,N381+N402*'Get Started'!$D$26)</f>
        <v>0</v>
      </c>
      <c r="O571" s="77">
        <f>if($C147=true,O381,O381+O402*'Get Started'!$D$26)</f>
        <v>0</v>
      </c>
      <c r="P571" s="77">
        <f>if($C147=true,P381,P381+P402*'Get Started'!$D$26)</f>
        <v>0</v>
      </c>
      <c r="Q571" s="77">
        <f>if($C147=true,Q381,Q381+Q402*'Get Started'!$D$26)</f>
        <v>0</v>
      </c>
      <c r="R571" s="77">
        <f>if($C147=true,R381,R381+R402*'Get Started'!$D$26)</f>
        <v>0</v>
      </c>
      <c r="S571" s="77">
        <f>if($C147=true,S381,S381+S402*'Get Started'!$D$26)</f>
        <v>0</v>
      </c>
      <c r="T571" s="77">
        <f>if($C147=true,T381,T381+T402*'Get Started'!$D$26)</f>
        <v>0</v>
      </c>
      <c r="U571" s="77">
        <f>if($C147=true,U381,U381+U402*'Get Started'!$D$26)</f>
        <v>0</v>
      </c>
      <c r="V571" s="77">
        <f>if($C147=true,V381,V381+V402*'Get Started'!$D$26)</f>
        <v>0</v>
      </c>
      <c r="W571" s="77">
        <f>if($C147=true,W381,W381+W402*'Get Started'!$D$26)</f>
        <v>0</v>
      </c>
      <c r="X571" s="77">
        <f>if($C147=true,X381,X381+X402*'Get Started'!$D$26)</f>
        <v>0</v>
      </c>
      <c r="Y571" s="77">
        <f>if($C147=true,Y381,Y381+Y402*'Get Started'!$D$26)</f>
        <v>0</v>
      </c>
      <c r="Z571" s="77">
        <f>if($C147=true,Z381,Z381+Z402*'Get Started'!$D$26)</f>
        <v>0</v>
      </c>
    </row>
    <row r="572" hidden="1" outlineLevel="1">
      <c r="B572" s="93">
        <f t="shared" si="287"/>
        <v>12</v>
      </c>
      <c r="C572" s="40"/>
      <c r="D572" s="40" t="s">
        <v>161</v>
      </c>
      <c r="E572" s="74">
        <f t="shared" si="108"/>
        <v>0</v>
      </c>
      <c r="F572" s="78"/>
      <c r="G572" s="77">
        <f>if($C148=true,G382,G382+G403*'Get Started'!$D$26)</f>
        <v>0</v>
      </c>
      <c r="H572" s="77">
        <f>if($C148=true,H382,H382+H403*'Get Started'!$D$26)</f>
        <v>0</v>
      </c>
      <c r="I572" s="77">
        <f>if($C148=true,I382,I382+I403*'Get Started'!$D$26)</f>
        <v>0</v>
      </c>
      <c r="J572" s="77">
        <f>if($C148=true,J382,J382+J403*'Get Started'!$D$26)</f>
        <v>0</v>
      </c>
      <c r="K572" s="77">
        <f>if($C148=true,K382,K382+K403*'Get Started'!$D$26)</f>
        <v>0</v>
      </c>
      <c r="L572" s="77">
        <f>if($C148=true,L382,L382+L403*'Get Started'!$D$26)</f>
        <v>0</v>
      </c>
      <c r="M572" s="77">
        <f>if($C148=true,M382,M382+M403*'Get Started'!$D$26)</f>
        <v>0</v>
      </c>
      <c r="N572" s="77">
        <f>if($C148=true,N382,N382+N403*'Get Started'!$D$26)</f>
        <v>0</v>
      </c>
      <c r="O572" s="77">
        <f>if($C148=true,O382,O382+O403*'Get Started'!$D$26)</f>
        <v>0</v>
      </c>
      <c r="P572" s="77">
        <f>if($C148=true,P382,P382+P403*'Get Started'!$D$26)</f>
        <v>0</v>
      </c>
      <c r="Q572" s="77">
        <f>if($C148=true,Q382,Q382+Q403*'Get Started'!$D$26)</f>
        <v>0</v>
      </c>
      <c r="R572" s="77">
        <f>if($C148=true,R382,R382+R403*'Get Started'!$D$26)</f>
        <v>0</v>
      </c>
      <c r="S572" s="77">
        <f>if($C148=true,S382,S382+S403*'Get Started'!$D$26)</f>
        <v>0</v>
      </c>
      <c r="T572" s="77">
        <f>if($C148=true,T382,T382+T403*'Get Started'!$D$26)</f>
        <v>0</v>
      </c>
      <c r="U572" s="77">
        <f>if($C148=true,U382,U382+U403*'Get Started'!$D$26)</f>
        <v>0</v>
      </c>
      <c r="V572" s="77">
        <f>if($C148=true,V382,V382+V403*'Get Started'!$D$26)</f>
        <v>0</v>
      </c>
      <c r="W572" s="77">
        <f>if($C148=true,W382,W382+W403*'Get Started'!$D$26)</f>
        <v>0</v>
      </c>
      <c r="X572" s="77">
        <f>if($C148=true,X382,X382+X403*'Get Started'!$D$26)</f>
        <v>0</v>
      </c>
      <c r="Y572" s="77">
        <f>if($C148=true,Y382,Y382+Y403*'Get Started'!$D$26)</f>
        <v>0</v>
      </c>
      <c r="Z572" s="77">
        <f>if($C148=true,Z382,Z382+Z403*'Get Started'!$D$26)</f>
        <v>0</v>
      </c>
    </row>
    <row r="573" hidden="1" outlineLevel="1">
      <c r="B573" s="93">
        <f t="shared" si="287"/>
        <v>13</v>
      </c>
      <c r="C573" s="40"/>
      <c r="D573" s="40" t="s">
        <v>161</v>
      </c>
      <c r="E573" s="74">
        <f t="shared" si="108"/>
        <v>0</v>
      </c>
      <c r="F573" s="78"/>
      <c r="G573" s="77">
        <f>if($C149=true,G383,G383+G404*'Get Started'!$D$26)</f>
        <v>0</v>
      </c>
      <c r="H573" s="77">
        <f>if($C149=true,H383,H383+H404*'Get Started'!$D$26)</f>
        <v>0</v>
      </c>
      <c r="I573" s="77">
        <f>if($C149=true,I383,I383+I404*'Get Started'!$D$26)</f>
        <v>0</v>
      </c>
      <c r="J573" s="77">
        <f>if($C149=true,J383,J383+J404*'Get Started'!$D$26)</f>
        <v>0</v>
      </c>
      <c r="K573" s="77">
        <f>if($C149=true,K383,K383+K404*'Get Started'!$D$26)</f>
        <v>0</v>
      </c>
      <c r="L573" s="77">
        <f>if($C149=true,L383,L383+L404*'Get Started'!$D$26)</f>
        <v>0</v>
      </c>
      <c r="M573" s="77">
        <f>if($C149=true,M383,M383+M404*'Get Started'!$D$26)</f>
        <v>0</v>
      </c>
      <c r="N573" s="77">
        <f>if($C149=true,N383,N383+N404*'Get Started'!$D$26)</f>
        <v>0</v>
      </c>
      <c r="O573" s="77">
        <f>if($C149=true,O383,O383+O404*'Get Started'!$D$26)</f>
        <v>0</v>
      </c>
      <c r="P573" s="77">
        <f>if($C149=true,P383,P383+P404*'Get Started'!$D$26)</f>
        <v>0</v>
      </c>
      <c r="Q573" s="77">
        <f>if($C149=true,Q383,Q383+Q404*'Get Started'!$D$26)</f>
        <v>0</v>
      </c>
      <c r="R573" s="77">
        <f>if($C149=true,R383,R383+R404*'Get Started'!$D$26)</f>
        <v>0</v>
      </c>
      <c r="S573" s="77">
        <f>if($C149=true,S383,S383+S404*'Get Started'!$D$26)</f>
        <v>0</v>
      </c>
      <c r="T573" s="77">
        <f>if($C149=true,T383,T383+T404*'Get Started'!$D$26)</f>
        <v>0</v>
      </c>
      <c r="U573" s="77">
        <f>if($C149=true,U383,U383+U404*'Get Started'!$D$26)</f>
        <v>0</v>
      </c>
      <c r="V573" s="77">
        <f>if($C149=true,V383,V383+V404*'Get Started'!$D$26)</f>
        <v>0</v>
      </c>
      <c r="W573" s="77">
        <f>if($C149=true,W383,W383+W404*'Get Started'!$D$26)</f>
        <v>0</v>
      </c>
      <c r="X573" s="77">
        <f>if($C149=true,X383,X383+X404*'Get Started'!$D$26)</f>
        <v>0</v>
      </c>
      <c r="Y573" s="77">
        <f>if($C149=true,Y383,Y383+Y404*'Get Started'!$D$26)</f>
        <v>0</v>
      </c>
      <c r="Z573" s="77">
        <f>if($C149=true,Z383,Z383+Z404*'Get Started'!$D$26)</f>
        <v>0</v>
      </c>
    </row>
    <row r="574" hidden="1" outlineLevel="1">
      <c r="B574" s="93">
        <f t="shared" si="287"/>
        <v>14</v>
      </c>
      <c r="C574" s="40"/>
      <c r="D574" s="40" t="s">
        <v>161</v>
      </c>
      <c r="E574" s="74">
        <f t="shared" si="108"/>
        <v>0</v>
      </c>
      <c r="F574" s="78"/>
      <c r="G574" s="77">
        <f>if($C150=true,G384,G384+G405*'Get Started'!$D$26)</f>
        <v>0</v>
      </c>
      <c r="H574" s="77">
        <f>if($C150=true,H384,H384+H405*'Get Started'!$D$26)</f>
        <v>0</v>
      </c>
      <c r="I574" s="77">
        <f>if($C150=true,I384,I384+I405*'Get Started'!$D$26)</f>
        <v>0</v>
      </c>
      <c r="J574" s="77">
        <f>if($C150=true,J384,J384+J405*'Get Started'!$D$26)</f>
        <v>0</v>
      </c>
      <c r="K574" s="77">
        <f>if($C150=true,K384,K384+K405*'Get Started'!$D$26)</f>
        <v>0</v>
      </c>
      <c r="L574" s="77">
        <f>if($C150=true,L384,L384+L405*'Get Started'!$D$26)</f>
        <v>0</v>
      </c>
      <c r="M574" s="77">
        <f>if($C150=true,M384,M384+M405*'Get Started'!$D$26)</f>
        <v>0</v>
      </c>
      <c r="N574" s="77">
        <f>if($C150=true,N384,N384+N405*'Get Started'!$D$26)</f>
        <v>0</v>
      </c>
      <c r="O574" s="77">
        <f>if($C150=true,O384,O384+O405*'Get Started'!$D$26)</f>
        <v>0</v>
      </c>
      <c r="P574" s="77">
        <f>if($C150=true,P384,P384+P405*'Get Started'!$D$26)</f>
        <v>0</v>
      </c>
      <c r="Q574" s="77">
        <f>if($C150=true,Q384,Q384+Q405*'Get Started'!$D$26)</f>
        <v>0</v>
      </c>
      <c r="R574" s="77">
        <f>if($C150=true,R384,R384+R405*'Get Started'!$D$26)</f>
        <v>0</v>
      </c>
      <c r="S574" s="77">
        <f>if($C150=true,S384,S384+S405*'Get Started'!$D$26)</f>
        <v>0</v>
      </c>
      <c r="T574" s="77">
        <f>if($C150=true,T384,T384+T405*'Get Started'!$D$26)</f>
        <v>0</v>
      </c>
      <c r="U574" s="77">
        <f>if($C150=true,U384,U384+U405*'Get Started'!$D$26)</f>
        <v>0</v>
      </c>
      <c r="V574" s="77">
        <f>if($C150=true,V384,V384+V405*'Get Started'!$D$26)</f>
        <v>0</v>
      </c>
      <c r="W574" s="77">
        <f>if($C150=true,W384,W384+W405*'Get Started'!$D$26)</f>
        <v>0</v>
      </c>
      <c r="X574" s="77">
        <f>if($C150=true,X384,X384+X405*'Get Started'!$D$26)</f>
        <v>0</v>
      </c>
      <c r="Y574" s="77">
        <f>if($C150=true,Y384,Y384+Y405*'Get Started'!$D$26)</f>
        <v>0</v>
      </c>
      <c r="Z574" s="77">
        <f>if($C150=true,Z384,Z384+Z405*'Get Started'!$D$26)</f>
        <v>0</v>
      </c>
    </row>
    <row r="575" hidden="1" outlineLevel="1">
      <c r="B575" s="93">
        <f t="shared" si="287"/>
        <v>15</v>
      </c>
      <c r="C575" s="40"/>
      <c r="D575" s="40" t="s">
        <v>161</v>
      </c>
      <c r="E575" s="74">
        <f t="shared" si="108"/>
        <v>0</v>
      </c>
      <c r="F575" s="78"/>
      <c r="G575" s="77">
        <f>if($C151=true,G385,G385+G406*'Get Started'!$D$26)</f>
        <v>0</v>
      </c>
      <c r="H575" s="77">
        <f>if($C151=true,H385,H385+H406*'Get Started'!$D$26)</f>
        <v>0</v>
      </c>
      <c r="I575" s="77">
        <f>if($C151=true,I385,I385+I406*'Get Started'!$D$26)</f>
        <v>0</v>
      </c>
      <c r="J575" s="77">
        <f>if($C151=true,J385,J385+J406*'Get Started'!$D$26)</f>
        <v>0</v>
      </c>
      <c r="K575" s="77">
        <f>if($C151=true,K385,K385+K406*'Get Started'!$D$26)</f>
        <v>0</v>
      </c>
      <c r="L575" s="77">
        <f>if($C151=true,L385,L385+L406*'Get Started'!$D$26)</f>
        <v>0</v>
      </c>
      <c r="M575" s="77">
        <f>if($C151=true,M385,M385+M406*'Get Started'!$D$26)</f>
        <v>0</v>
      </c>
      <c r="N575" s="77">
        <f>if($C151=true,N385,N385+N406*'Get Started'!$D$26)</f>
        <v>0</v>
      </c>
      <c r="O575" s="77">
        <f>if($C151=true,O385,O385+O406*'Get Started'!$D$26)</f>
        <v>0</v>
      </c>
      <c r="P575" s="77">
        <f>if($C151=true,P385,P385+P406*'Get Started'!$D$26)</f>
        <v>0</v>
      </c>
      <c r="Q575" s="77">
        <f>if($C151=true,Q385,Q385+Q406*'Get Started'!$D$26)</f>
        <v>0</v>
      </c>
      <c r="R575" s="77">
        <f>if($C151=true,R385,R385+R406*'Get Started'!$D$26)</f>
        <v>0</v>
      </c>
      <c r="S575" s="77">
        <f>if($C151=true,S385,S385+S406*'Get Started'!$D$26)</f>
        <v>0</v>
      </c>
      <c r="T575" s="77">
        <f>if($C151=true,T385,T385+T406*'Get Started'!$D$26)</f>
        <v>0</v>
      </c>
      <c r="U575" s="77">
        <f>if($C151=true,U385,U385+U406*'Get Started'!$D$26)</f>
        <v>0</v>
      </c>
      <c r="V575" s="77">
        <f>if($C151=true,V385,V385+V406*'Get Started'!$D$26)</f>
        <v>0</v>
      </c>
      <c r="W575" s="77">
        <f>if($C151=true,W385,W385+W406*'Get Started'!$D$26)</f>
        <v>0</v>
      </c>
      <c r="X575" s="77">
        <f>if($C151=true,X385,X385+X406*'Get Started'!$D$26)</f>
        <v>0</v>
      </c>
      <c r="Y575" s="77">
        <f>if($C151=true,Y385,Y385+Y406*'Get Started'!$D$26)</f>
        <v>0</v>
      </c>
      <c r="Z575" s="77">
        <f>if($C151=true,Z385,Z385+Z406*'Get Started'!$D$26)</f>
        <v>0</v>
      </c>
    </row>
    <row r="576" hidden="1" outlineLevel="1">
      <c r="B576" s="93">
        <f t="shared" si="287"/>
        <v>16</v>
      </c>
      <c r="C576" s="40"/>
      <c r="D576" s="40" t="s">
        <v>161</v>
      </c>
      <c r="E576" s="74">
        <f t="shared" si="108"/>
        <v>0</v>
      </c>
      <c r="F576" s="78"/>
      <c r="G576" s="77">
        <f>if($C152=true,G386,G386+G407*'Get Started'!$D$26)</f>
        <v>0</v>
      </c>
      <c r="H576" s="77">
        <f>if($C152=true,H386,H386+H407*'Get Started'!$D$26)</f>
        <v>0</v>
      </c>
      <c r="I576" s="77">
        <f>if($C152=true,I386,I386+I407*'Get Started'!$D$26)</f>
        <v>0</v>
      </c>
      <c r="J576" s="77">
        <f>if($C152=true,J386,J386+J407*'Get Started'!$D$26)</f>
        <v>0</v>
      </c>
      <c r="K576" s="77">
        <f>if($C152=true,K386,K386+K407*'Get Started'!$D$26)</f>
        <v>0</v>
      </c>
      <c r="L576" s="77">
        <f>if($C152=true,L386,L386+L407*'Get Started'!$D$26)</f>
        <v>0</v>
      </c>
      <c r="M576" s="77">
        <f>if($C152=true,M386,M386+M407*'Get Started'!$D$26)</f>
        <v>0</v>
      </c>
      <c r="N576" s="77">
        <f>if($C152=true,N386,N386+N407*'Get Started'!$D$26)</f>
        <v>0</v>
      </c>
      <c r="O576" s="77">
        <f>if($C152=true,O386,O386+O407*'Get Started'!$D$26)</f>
        <v>0</v>
      </c>
      <c r="P576" s="77">
        <f>if($C152=true,P386,P386+P407*'Get Started'!$D$26)</f>
        <v>0</v>
      </c>
      <c r="Q576" s="77">
        <f>if($C152=true,Q386,Q386+Q407*'Get Started'!$D$26)</f>
        <v>0</v>
      </c>
      <c r="R576" s="77">
        <f>if($C152=true,R386,R386+R407*'Get Started'!$D$26)</f>
        <v>0</v>
      </c>
      <c r="S576" s="77">
        <f>if($C152=true,S386,S386+S407*'Get Started'!$D$26)</f>
        <v>0</v>
      </c>
      <c r="T576" s="77">
        <f>if($C152=true,T386,T386+T407*'Get Started'!$D$26)</f>
        <v>0</v>
      </c>
      <c r="U576" s="77">
        <f>if($C152=true,U386,U386+U407*'Get Started'!$D$26)</f>
        <v>0</v>
      </c>
      <c r="V576" s="77">
        <f>if($C152=true,V386,V386+V407*'Get Started'!$D$26)</f>
        <v>0</v>
      </c>
      <c r="W576" s="77">
        <f>if($C152=true,W386,W386+W407*'Get Started'!$D$26)</f>
        <v>0</v>
      </c>
      <c r="X576" s="77">
        <f>if($C152=true,X386,X386+X407*'Get Started'!$D$26)</f>
        <v>0</v>
      </c>
      <c r="Y576" s="77">
        <f>if($C152=true,Y386,Y386+Y407*'Get Started'!$D$26)</f>
        <v>0</v>
      </c>
      <c r="Z576" s="77">
        <f>if($C152=true,Z386,Z386+Z407*'Get Started'!$D$26)</f>
        <v>0</v>
      </c>
    </row>
    <row r="577" hidden="1" outlineLevel="1">
      <c r="B577" s="93">
        <f t="shared" si="287"/>
        <v>17</v>
      </c>
      <c r="C577" s="40"/>
      <c r="D577" s="40" t="s">
        <v>161</v>
      </c>
      <c r="E577" s="74">
        <f t="shared" si="108"/>
        <v>0</v>
      </c>
      <c r="F577" s="78"/>
      <c r="G577" s="77">
        <f>if($C153=true,G387,G387+G408*'Get Started'!$D$26)</f>
        <v>0</v>
      </c>
      <c r="H577" s="77">
        <f>if($C153=true,H387,H387+H408*'Get Started'!$D$26)</f>
        <v>0</v>
      </c>
      <c r="I577" s="77">
        <f>if($C153=true,I387,I387+I408*'Get Started'!$D$26)</f>
        <v>0</v>
      </c>
      <c r="J577" s="77">
        <f>if($C153=true,J387,J387+J408*'Get Started'!$D$26)</f>
        <v>0</v>
      </c>
      <c r="K577" s="77">
        <f>if($C153=true,K387,K387+K408*'Get Started'!$D$26)</f>
        <v>0</v>
      </c>
      <c r="L577" s="77">
        <f>if($C153=true,L387,L387+L408*'Get Started'!$D$26)</f>
        <v>0</v>
      </c>
      <c r="M577" s="77">
        <f>if($C153=true,M387,M387+M408*'Get Started'!$D$26)</f>
        <v>0</v>
      </c>
      <c r="N577" s="77">
        <f>if($C153=true,N387,N387+N408*'Get Started'!$D$26)</f>
        <v>0</v>
      </c>
      <c r="O577" s="77">
        <f>if($C153=true,O387,O387+O408*'Get Started'!$D$26)</f>
        <v>0</v>
      </c>
      <c r="P577" s="77">
        <f>if($C153=true,P387,P387+P408*'Get Started'!$D$26)</f>
        <v>0</v>
      </c>
      <c r="Q577" s="77">
        <f>if($C153=true,Q387,Q387+Q408*'Get Started'!$D$26)</f>
        <v>0</v>
      </c>
      <c r="R577" s="77">
        <f>if($C153=true,R387,R387+R408*'Get Started'!$D$26)</f>
        <v>0</v>
      </c>
      <c r="S577" s="77">
        <f>if($C153=true,S387,S387+S408*'Get Started'!$D$26)</f>
        <v>0</v>
      </c>
      <c r="T577" s="77">
        <f>if($C153=true,T387,T387+T408*'Get Started'!$D$26)</f>
        <v>0</v>
      </c>
      <c r="U577" s="77">
        <f>if($C153=true,U387,U387+U408*'Get Started'!$D$26)</f>
        <v>0</v>
      </c>
      <c r="V577" s="77">
        <f>if($C153=true,V387,V387+V408*'Get Started'!$D$26)</f>
        <v>0</v>
      </c>
      <c r="W577" s="77">
        <f>if($C153=true,W387,W387+W408*'Get Started'!$D$26)</f>
        <v>0</v>
      </c>
      <c r="X577" s="77">
        <f>if($C153=true,X387,X387+X408*'Get Started'!$D$26)</f>
        <v>0</v>
      </c>
      <c r="Y577" s="77">
        <f>if($C153=true,Y387,Y387+Y408*'Get Started'!$D$26)</f>
        <v>0</v>
      </c>
      <c r="Z577" s="77">
        <f>if($C153=true,Z387,Z387+Z408*'Get Started'!$D$26)</f>
        <v>0</v>
      </c>
    </row>
    <row r="578" hidden="1" outlineLevel="1">
      <c r="B578" s="93">
        <f t="shared" si="287"/>
        <v>18</v>
      </c>
      <c r="C578" s="40"/>
      <c r="D578" s="40" t="s">
        <v>161</v>
      </c>
      <c r="E578" s="74">
        <f t="shared" si="108"/>
        <v>0</v>
      </c>
      <c r="F578" s="78"/>
      <c r="G578" s="77">
        <f>if($C154=true,G388,G388+G409*'Get Started'!$D$26)</f>
        <v>0</v>
      </c>
      <c r="H578" s="77">
        <f>if($C154=true,H388,H388+H409*'Get Started'!$D$26)</f>
        <v>0</v>
      </c>
      <c r="I578" s="77">
        <f>if($C154=true,I388,I388+I409*'Get Started'!$D$26)</f>
        <v>0</v>
      </c>
      <c r="J578" s="77">
        <f>if($C154=true,J388,J388+J409*'Get Started'!$D$26)</f>
        <v>0</v>
      </c>
      <c r="K578" s="77">
        <f>if($C154=true,K388,K388+K409*'Get Started'!$D$26)</f>
        <v>0</v>
      </c>
      <c r="L578" s="77">
        <f>if($C154=true,L388,L388+L409*'Get Started'!$D$26)</f>
        <v>0</v>
      </c>
      <c r="M578" s="77">
        <f>if($C154=true,M388,M388+M409*'Get Started'!$D$26)</f>
        <v>0</v>
      </c>
      <c r="N578" s="77">
        <f>if($C154=true,N388,N388+N409*'Get Started'!$D$26)</f>
        <v>0</v>
      </c>
      <c r="O578" s="77">
        <f>if($C154=true,O388,O388+O409*'Get Started'!$D$26)</f>
        <v>0</v>
      </c>
      <c r="P578" s="77">
        <f>if($C154=true,P388,P388+P409*'Get Started'!$D$26)</f>
        <v>0</v>
      </c>
      <c r="Q578" s="77">
        <f>if($C154=true,Q388,Q388+Q409*'Get Started'!$D$26)</f>
        <v>0</v>
      </c>
      <c r="R578" s="77">
        <f>if($C154=true,R388,R388+R409*'Get Started'!$D$26)</f>
        <v>0</v>
      </c>
      <c r="S578" s="77">
        <f>if($C154=true,S388,S388+S409*'Get Started'!$D$26)</f>
        <v>0</v>
      </c>
      <c r="T578" s="77">
        <f>if($C154=true,T388,T388+T409*'Get Started'!$D$26)</f>
        <v>0</v>
      </c>
      <c r="U578" s="77">
        <f>if($C154=true,U388,U388+U409*'Get Started'!$D$26)</f>
        <v>0</v>
      </c>
      <c r="V578" s="77">
        <f>if($C154=true,V388,V388+V409*'Get Started'!$D$26)</f>
        <v>0</v>
      </c>
      <c r="W578" s="77">
        <f>if($C154=true,W388,W388+W409*'Get Started'!$D$26)</f>
        <v>0</v>
      </c>
      <c r="X578" s="77">
        <f>if($C154=true,X388,X388+X409*'Get Started'!$D$26)</f>
        <v>0</v>
      </c>
      <c r="Y578" s="77">
        <f>if($C154=true,Y388,Y388+Y409*'Get Started'!$D$26)</f>
        <v>0</v>
      </c>
      <c r="Z578" s="77">
        <f>if($C154=true,Z388,Z388+Z409*'Get Started'!$D$26)</f>
        <v>0</v>
      </c>
    </row>
    <row r="579" hidden="1" outlineLevel="1">
      <c r="B579" s="93">
        <f t="shared" si="287"/>
        <v>19</v>
      </c>
      <c r="C579" s="40"/>
      <c r="D579" s="40" t="s">
        <v>161</v>
      </c>
      <c r="E579" s="74">
        <f t="shared" si="108"/>
        <v>0</v>
      </c>
      <c r="F579" s="78"/>
      <c r="G579" s="77">
        <f>if($C155=true,G389,G389+G410*'Get Started'!$D$26)</f>
        <v>0</v>
      </c>
      <c r="H579" s="77">
        <f>if($C155=true,H389,H389+H410*'Get Started'!$D$26)</f>
        <v>0</v>
      </c>
      <c r="I579" s="77">
        <f>if($C155=true,I389,I389+I410*'Get Started'!$D$26)</f>
        <v>0</v>
      </c>
      <c r="J579" s="77">
        <f>if($C155=true,J389,J389+J410*'Get Started'!$D$26)</f>
        <v>0</v>
      </c>
      <c r="K579" s="77">
        <f>if($C155=true,K389,K389+K410*'Get Started'!$D$26)</f>
        <v>0</v>
      </c>
      <c r="L579" s="77">
        <f>if($C155=true,L389,L389+L410*'Get Started'!$D$26)</f>
        <v>0</v>
      </c>
      <c r="M579" s="77">
        <f>if($C155=true,M389,M389+M410*'Get Started'!$D$26)</f>
        <v>0</v>
      </c>
      <c r="N579" s="77">
        <f>if($C155=true,N389,N389+N410*'Get Started'!$D$26)</f>
        <v>0</v>
      </c>
      <c r="O579" s="77">
        <f>if($C155=true,O389,O389+O410*'Get Started'!$D$26)</f>
        <v>0</v>
      </c>
      <c r="P579" s="77">
        <f>if($C155=true,P389,P389+P410*'Get Started'!$D$26)</f>
        <v>0</v>
      </c>
      <c r="Q579" s="77">
        <f>if($C155=true,Q389,Q389+Q410*'Get Started'!$D$26)</f>
        <v>0</v>
      </c>
      <c r="R579" s="77">
        <f>if($C155=true,R389,R389+R410*'Get Started'!$D$26)</f>
        <v>0</v>
      </c>
      <c r="S579" s="77">
        <f>if($C155=true,S389,S389+S410*'Get Started'!$D$26)</f>
        <v>0</v>
      </c>
      <c r="T579" s="77">
        <f>if($C155=true,T389,T389+T410*'Get Started'!$D$26)</f>
        <v>0</v>
      </c>
      <c r="U579" s="77">
        <f>if($C155=true,U389,U389+U410*'Get Started'!$D$26)</f>
        <v>0</v>
      </c>
      <c r="V579" s="77">
        <f>if($C155=true,V389,V389+V410*'Get Started'!$D$26)</f>
        <v>0</v>
      </c>
      <c r="W579" s="77">
        <f>if($C155=true,W389,W389+W410*'Get Started'!$D$26)</f>
        <v>0</v>
      </c>
      <c r="X579" s="77">
        <f>if($C155=true,X389,X389+X410*'Get Started'!$D$26)</f>
        <v>0</v>
      </c>
      <c r="Y579" s="77">
        <f>if($C155=true,Y389,Y389+Y410*'Get Started'!$D$26)</f>
        <v>0</v>
      </c>
      <c r="Z579" s="77">
        <f>if($C155=true,Z389,Z389+Z410*'Get Started'!$D$26)</f>
        <v>0</v>
      </c>
    </row>
    <row r="580" hidden="1" outlineLevel="1">
      <c r="B580" s="93">
        <f t="shared" si="287"/>
        <v>20</v>
      </c>
      <c r="C580" s="40"/>
      <c r="D580" s="40" t="s">
        <v>161</v>
      </c>
      <c r="E580" s="74">
        <f t="shared" si="108"/>
        <v>0</v>
      </c>
      <c r="F580" s="78"/>
      <c r="G580" s="77">
        <f>if($C156=true,G390,G390+G411*'Get Started'!$D$26)</f>
        <v>0</v>
      </c>
      <c r="H580" s="77">
        <f>if($C156=true,H390,H390+H411*'Get Started'!$D$26)</f>
        <v>0</v>
      </c>
      <c r="I580" s="77">
        <f>if($C156=true,I390,I390+I411*'Get Started'!$D$26)</f>
        <v>0</v>
      </c>
      <c r="J580" s="77">
        <f>if($C156=true,J390,J390+J411*'Get Started'!$D$26)</f>
        <v>0</v>
      </c>
      <c r="K580" s="77">
        <f>if($C156=true,K390,K390+K411*'Get Started'!$D$26)</f>
        <v>0</v>
      </c>
      <c r="L580" s="77">
        <f>if($C156=true,L390,L390+L411*'Get Started'!$D$26)</f>
        <v>0</v>
      </c>
      <c r="M580" s="77">
        <f>if($C156=true,M390,M390+M411*'Get Started'!$D$26)</f>
        <v>0</v>
      </c>
      <c r="N580" s="77">
        <f>if($C156=true,N390,N390+N411*'Get Started'!$D$26)</f>
        <v>0</v>
      </c>
      <c r="O580" s="77">
        <f>if($C156=true,O390,O390+O411*'Get Started'!$D$26)</f>
        <v>0</v>
      </c>
      <c r="P580" s="77">
        <f>if($C156=true,P390,P390+P411*'Get Started'!$D$26)</f>
        <v>0</v>
      </c>
      <c r="Q580" s="77">
        <f>if($C156=true,Q390,Q390+Q411*'Get Started'!$D$26)</f>
        <v>0</v>
      </c>
      <c r="R580" s="77">
        <f>if($C156=true,R390,R390+R411*'Get Started'!$D$26)</f>
        <v>0</v>
      </c>
      <c r="S580" s="77">
        <f>if($C156=true,S390,S390+S411*'Get Started'!$D$26)</f>
        <v>0</v>
      </c>
      <c r="T580" s="77">
        <f>if($C156=true,T390,T390+T411*'Get Started'!$D$26)</f>
        <v>0</v>
      </c>
      <c r="U580" s="77">
        <f>if($C156=true,U390,U390+U411*'Get Started'!$D$26)</f>
        <v>0</v>
      </c>
      <c r="V580" s="77">
        <f>if($C156=true,V390,V390+V411*'Get Started'!$D$26)</f>
        <v>0</v>
      </c>
      <c r="W580" s="77">
        <f>if($C156=true,W390,W390+W411*'Get Started'!$D$26)</f>
        <v>0</v>
      </c>
      <c r="X580" s="77">
        <f>if($C156=true,X390,X390+X411*'Get Started'!$D$26)</f>
        <v>0</v>
      </c>
      <c r="Y580" s="77">
        <f>if($C156=true,Y390,Y390+Y411*'Get Started'!$D$26)</f>
        <v>0</v>
      </c>
      <c r="Z580" s="77">
        <f>if($C156=true,Z390,Z390+Z411*'Get Started'!$D$26)</f>
        <v>0</v>
      </c>
    </row>
    <row r="581" collapsed="1">
      <c r="B581" s="80" t="s">
        <v>234</v>
      </c>
      <c r="C581" s="16"/>
      <c r="D581" s="16" t="s">
        <v>177</v>
      </c>
      <c r="E581" s="74">
        <f t="shared" si="108"/>
        <v>98450000</v>
      </c>
      <c r="F581" s="78"/>
      <c r="G581" s="77">
        <f t="shared" ref="G581:Z581" si="288">sum(G582:G601)</f>
        <v>32816666.67</v>
      </c>
      <c r="H581" s="77">
        <f t="shared" si="288"/>
        <v>65633333.33</v>
      </c>
      <c r="I581" s="77">
        <f t="shared" si="288"/>
        <v>98450000</v>
      </c>
      <c r="J581" s="77">
        <f t="shared" si="288"/>
        <v>98450000</v>
      </c>
      <c r="K581" s="77">
        <f t="shared" si="288"/>
        <v>98450000</v>
      </c>
      <c r="L581" s="77">
        <f t="shared" si="288"/>
        <v>98450000</v>
      </c>
      <c r="M581" s="77">
        <f t="shared" si="288"/>
        <v>98450000</v>
      </c>
      <c r="N581" s="77">
        <f t="shared" si="288"/>
        <v>98450000</v>
      </c>
      <c r="O581" s="77">
        <f t="shared" si="288"/>
        <v>98450000</v>
      </c>
      <c r="P581" s="77">
        <f t="shared" si="288"/>
        <v>98450000</v>
      </c>
      <c r="Q581" s="77">
        <f t="shared" si="288"/>
        <v>98450000</v>
      </c>
      <c r="R581" s="77">
        <f t="shared" si="288"/>
        <v>98450000</v>
      </c>
      <c r="S581" s="77">
        <f t="shared" si="288"/>
        <v>98450000</v>
      </c>
      <c r="T581" s="77">
        <f t="shared" si="288"/>
        <v>98450000</v>
      </c>
      <c r="U581" s="77">
        <f t="shared" si="288"/>
        <v>98450000</v>
      </c>
      <c r="V581" s="77">
        <f t="shared" si="288"/>
        <v>98450000</v>
      </c>
      <c r="W581" s="77">
        <f t="shared" si="288"/>
        <v>98450000</v>
      </c>
      <c r="X581" s="77">
        <f t="shared" si="288"/>
        <v>98450000</v>
      </c>
      <c r="Y581" s="77">
        <f t="shared" si="288"/>
        <v>98450000</v>
      </c>
      <c r="Z581" s="77">
        <f t="shared" si="288"/>
        <v>98450000</v>
      </c>
    </row>
    <row r="582" hidden="1" outlineLevel="1">
      <c r="A582" s="16"/>
      <c r="B582" s="93">
        <f>G$4</f>
        <v>1</v>
      </c>
      <c r="C582" s="40"/>
      <c r="D582" s="16" t="s">
        <v>177</v>
      </c>
      <c r="E582" s="74">
        <f t="shared" si="108"/>
        <v>32816666.67</v>
      </c>
      <c r="F582" s="74"/>
      <c r="G582" s="74">
        <f t="shared" ref="G582:Z582" si="289">F582+G477</f>
        <v>32816666.67</v>
      </c>
      <c r="H582" s="74">
        <f t="shared" si="289"/>
        <v>32816666.67</v>
      </c>
      <c r="I582" s="74">
        <f t="shared" si="289"/>
        <v>32816666.67</v>
      </c>
      <c r="J582" s="74">
        <f t="shared" si="289"/>
        <v>32816666.67</v>
      </c>
      <c r="K582" s="74">
        <f t="shared" si="289"/>
        <v>32816666.67</v>
      </c>
      <c r="L582" s="74">
        <f t="shared" si="289"/>
        <v>32816666.67</v>
      </c>
      <c r="M582" s="74">
        <f t="shared" si="289"/>
        <v>32816666.67</v>
      </c>
      <c r="N582" s="74">
        <f t="shared" si="289"/>
        <v>32816666.67</v>
      </c>
      <c r="O582" s="74">
        <f t="shared" si="289"/>
        <v>32816666.67</v>
      </c>
      <c r="P582" s="74">
        <f t="shared" si="289"/>
        <v>32816666.67</v>
      </c>
      <c r="Q582" s="74">
        <f t="shared" si="289"/>
        <v>32816666.67</v>
      </c>
      <c r="R582" s="74">
        <f t="shared" si="289"/>
        <v>32816666.67</v>
      </c>
      <c r="S582" s="74">
        <f t="shared" si="289"/>
        <v>32816666.67</v>
      </c>
      <c r="T582" s="74">
        <f t="shared" si="289"/>
        <v>32816666.67</v>
      </c>
      <c r="U582" s="74">
        <f t="shared" si="289"/>
        <v>32816666.67</v>
      </c>
      <c r="V582" s="74">
        <f t="shared" si="289"/>
        <v>32816666.67</v>
      </c>
      <c r="W582" s="74">
        <f t="shared" si="289"/>
        <v>32816666.67</v>
      </c>
      <c r="X582" s="74">
        <f t="shared" si="289"/>
        <v>32816666.67</v>
      </c>
      <c r="Y582" s="74">
        <f t="shared" si="289"/>
        <v>32816666.67</v>
      </c>
      <c r="Z582" s="74">
        <f t="shared" si="289"/>
        <v>32816666.67</v>
      </c>
    </row>
    <row r="583" hidden="1" outlineLevel="1">
      <c r="A583" s="16"/>
      <c r="B583" s="93">
        <f t="shared" ref="B583:B601" si="291">B582+1</f>
        <v>2</v>
      </c>
      <c r="C583" s="40"/>
      <c r="D583" s="16" t="s">
        <v>177</v>
      </c>
      <c r="E583" s="74">
        <f t="shared" si="108"/>
        <v>32816666.67</v>
      </c>
      <c r="F583" s="74"/>
      <c r="G583" s="74">
        <f t="shared" ref="G583:Z583" si="290">F583+G478</f>
        <v>0</v>
      </c>
      <c r="H583" s="74">
        <f t="shared" si="290"/>
        <v>32816666.67</v>
      </c>
      <c r="I583" s="74">
        <f t="shared" si="290"/>
        <v>32816666.67</v>
      </c>
      <c r="J583" s="74">
        <f t="shared" si="290"/>
        <v>32816666.67</v>
      </c>
      <c r="K583" s="74">
        <f t="shared" si="290"/>
        <v>32816666.67</v>
      </c>
      <c r="L583" s="74">
        <f t="shared" si="290"/>
        <v>32816666.67</v>
      </c>
      <c r="M583" s="74">
        <f t="shared" si="290"/>
        <v>32816666.67</v>
      </c>
      <c r="N583" s="74">
        <f t="shared" si="290"/>
        <v>32816666.67</v>
      </c>
      <c r="O583" s="74">
        <f t="shared" si="290"/>
        <v>32816666.67</v>
      </c>
      <c r="P583" s="74">
        <f t="shared" si="290"/>
        <v>32816666.67</v>
      </c>
      <c r="Q583" s="74">
        <f t="shared" si="290"/>
        <v>32816666.67</v>
      </c>
      <c r="R583" s="74">
        <f t="shared" si="290"/>
        <v>32816666.67</v>
      </c>
      <c r="S583" s="74">
        <f t="shared" si="290"/>
        <v>32816666.67</v>
      </c>
      <c r="T583" s="74">
        <f t="shared" si="290"/>
        <v>32816666.67</v>
      </c>
      <c r="U583" s="74">
        <f t="shared" si="290"/>
        <v>32816666.67</v>
      </c>
      <c r="V583" s="74">
        <f t="shared" si="290"/>
        <v>32816666.67</v>
      </c>
      <c r="W583" s="74">
        <f t="shared" si="290"/>
        <v>32816666.67</v>
      </c>
      <c r="X583" s="74">
        <f t="shared" si="290"/>
        <v>32816666.67</v>
      </c>
      <c r="Y583" s="74">
        <f t="shared" si="290"/>
        <v>32816666.67</v>
      </c>
      <c r="Z583" s="74">
        <f t="shared" si="290"/>
        <v>32816666.67</v>
      </c>
    </row>
    <row r="584" hidden="1" outlineLevel="1">
      <c r="A584" s="16"/>
      <c r="B584" s="93">
        <f t="shared" si="291"/>
        <v>3</v>
      </c>
      <c r="C584" s="40"/>
      <c r="D584" s="16" t="s">
        <v>177</v>
      </c>
      <c r="E584" s="74">
        <f t="shared" si="108"/>
        <v>32816666.67</v>
      </c>
      <c r="F584" s="74"/>
      <c r="G584" s="74">
        <f t="shared" ref="G584:Z584" si="292">F584+G479</f>
        <v>0</v>
      </c>
      <c r="H584" s="74">
        <f t="shared" si="292"/>
        <v>0</v>
      </c>
      <c r="I584" s="74">
        <f t="shared" si="292"/>
        <v>32816666.67</v>
      </c>
      <c r="J584" s="74">
        <f t="shared" si="292"/>
        <v>32816666.67</v>
      </c>
      <c r="K584" s="74">
        <f t="shared" si="292"/>
        <v>32816666.67</v>
      </c>
      <c r="L584" s="74">
        <f t="shared" si="292"/>
        <v>32816666.67</v>
      </c>
      <c r="M584" s="74">
        <f t="shared" si="292"/>
        <v>32816666.67</v>
      </c>
      <c r="N584" s="74">
        <f t="shared" si="292"/>
        <v>32816666.67</v>
      </c>
      <c r="O584" s="74">
        <f t="shared" si="292"/>
        <v>32816666.67</v>
      </c>
      <c r="P584" s="74">
        <f t="shared" si="292"/>
        <v>32816666.67</v>
      </c>
      <c r="Q584" s="74">
        <f t="shared" si="292"/>
        <v>32816666.67</v>
      </c>
      <c r="R584" s="74">
        <f t="shared" si="292"/>
        <v>32816666.67</v>
      </c>
      <c r="S584" s="74">
        <f t="shared" si="292"/>
        <v>32816666.67</v>
      </c>
      <c r="T584" s="74">
        <f t="shared" si="292"/>
        <v>32816666.67</v>
      </c>
      <c r="U584" s="74">
        <f t="shared" si="292"/>
        <v>32816666.67</v>
      </c>
      <c r="V584" s="74">
        <f t="shared" si="292"/>
        <v>32816666.67</v>
      </c>
      <c r="W584" s="74">
        <f t="shared" si="292"/>
        <v>32816666.67</v>
      </c>
      <c r="X584" s="74">
        <f t="shared" si="292"/>
        <v>32816666.67</v>
      </c>
      <c r="Y584" s="74">
        <f t="shared" si="292"/>
        <v>32816666.67</v>
      </c>
      <c r="Z584" s="74">
        <f t="shared" si="292"/>
        <v>32816666.67</v>
      </c>
    </row>
    <row r="585" hidden="1" outlineLevel="1">
      <c r="A585" s="16"/>
      <c r="B585" s="93">
        <f t="shared" si="291"/>
        <v>4</v>
      </c>
      <c r="C585" s="40"/>
      <c r="D585" s="16" t="s">
        <v>177</v>
      </c>
      <c r="E585" s="74">
        <f t="shared" si="108"/>
        <v>0</v>
      </c>
      <c r="F585" s="74"/>
      <c r="G585" s="74">
        <f t="shared" ref="G585:Z585" si="293">F585+G480</f>
        <v>0</v>
      </c>
      <c r="H585" s="74">
        <f t="shared" si="293"/>
        <v>0</v>
      </c>
      <c r="I585" s="74">
        <f t="shared" si="293"/>
        <v>0</v>
      </c>
      <c r="J585" s="74">
        <f t="shared" si="293"/>
        <v>0</v>
      </c>
      <c r="K585" s="74">
        <f t="shared" si="293"/>
        <v>0</v>
      </c>
      <c r="L585" s="74">
        <f t="shared" si="293"/>
        <v>0</v>
      </c>
      <c r="M585" s="74">
        <f t="shared" si="293"/>
        <v>0</v>
      </c>
      <c r="N585" s="74">
        <f t="shared" si="293"/>
        <v>0</v>
      </c>
      <c r="O585" s="74">
        <f t="shared" si="293"/>
        <v>0</v>
      </c>
      <c r="P585" s="74">
        <f t="shared" si="293"/>
        <v>0</v>
      </c>
      <c r="Q585" s="74">
        <f t="shared" si="293"/>
        <v>0</v>
      </c>
      <c r="R585" s="74">
        <f t="shared" si="293"/>
        <v>0</v>
      </c>
      <c r="S585" s="74">
        <f t="shared" si="293"/>
        <v>0</v>
      </c>
      <c r="T585" s="74">
        <f t="shared" si="293"/>
        <v>0</v>
      </c>
      <c r="U585" s="74">
        <f t="shared" si="293"/>
        <v>0</v>
      </c>
      <c r="V585" s="74">
        <f t="shared" si="293"/>
        <v>0</v>
      </c>
      <c r="W585" s="74">
        <f t="shared" si="293"/>
        <v>0</v>
      </c>
      <c r="X585" s="74">
        <f t="shared" si="293"/>
        <v>0</v>
      </c>
      <c r="Y585" s="74">
        <f t="shared" si="293"/>
        <v>0</v>
      </c>
      <c r="Z585" s="74">
        <f t="shared" si="293"/>
        <v>0</v>
      </c>
    </row>
    <row r="586" hidden="1" outlineLevel="1">
      <c r="A586" s="16"/>
      <c r="B586" s="93">
        <f t="shared" si="291"/>
        <v>5</v>
      </c>
      <c r="C586" s="40"/>
      <c r="D586" s="16" t="s">
        <v>177</v>
      </c>
      <c r="E586" s="74">
        <f t="shared" si="108"/>
        <v>0</v>
      </c>
      <c r="F586" s="74"/>
      <c r="G586" s="74">
        <f t="shared" ref="G586:Z586" si="294">F586+G481</f>
        <v>0</v>
      </c>
      <c r="H586" s="74">
        <f t="shared" si="294"/>
        <v>0</v>
      </c>
      <c r="I586" s="74">
        <f t="shared" si="294"/>
        <v>0</v>
      </c>
      <c r="J586" s="74">
        <f t="shared" si="294"/>
        <v>0</v>
      </c>
      <c r="K586" s="74">
        <f t="shared" si="294"/>
        <v>0</v>
      </c>
      <c r="L586" s="74">
        <f t="shared" si="294"/>
        <v>0</v>
      </c>
      <c r="M586" s="74">
        <f t="shared" si="294"/>
        <v>0</v>
      </c>
      <c r="N586" s="74">
        <f t="shared" si="294"/>
        <v>0</v>
      </c>
      <c r="O586" s="74">
        <f t="shared" si="294"/>
        <v>0</v>
      </c>
      <c r="P586" s="74">
        <f t="shared" si="294"/>
        <v>0</v>
      </c>
      <c r="Q586" s="74">
        <f t="shared" si="294"/>
        <v>0</v>
      </c>
      <c r="R586" s="74">
        <f t="shared" si="294"/>
        <v>0</v>
      </c>
      <c r="S586" s="74">
        <f t="shared" si="294"/>
        <v>0</v>
      </c>
      <c r="T586" s="74">
        <f t="shared" si="294"/>
        <v>0</v>
      </c>
      <c r="U586" s="74">
        <f t="shared" si="294"/>
        <v>0</v>
      </c>
      <c r="V586" s="74">
        <f t="shared" si="294"/>
        <v>0</v>
      </c>
      <c r="W586" s="74">
        <f t="shared" si="294"/>
        <v>0</v>
      </c>
      <c r="X586" s="74">
        <f t="shared" si="294"/>
        <v>0</v>
      </c>
      <c r="Y586" s="74">
        <f t="shared" si="294"/>
        <v>0</v>
      </c>
      <c r="Z586" s="74">
        <f t="shared" si="294"/>
        <v>0</v>
      </c>
    </row>
    <row r="587" hidden="1" outlineLevel="1">
      <c r="A587" s="16"/>
      <c r="B587" s="93">
        <f t="shared" si="291"/>
        <v>6</v>
      </c>
      <c r="C587" s="40"/>
      <c r="D587" s="16" t="s">
        <v>177</v>
      </c>
      <c r="E587" s="74">
        <f t="shared" si="108"/>
        <v>0</v>
      </c>
      <c r="F587" s="74"/>
      <c r="G587" s="74">
        <f t="shared" ref="G587:Z587" si="295">F587+G482</f>
        <v>0</v>
      </c>
      <c r="H587" s="74">
        <f t="shared" si="295"/>
        <v>0</v>
      </c>
      <c r="I587" s="74">
        <f t="shared" si="295"/>
        <v>0</v>
      </c>
      <c r="J587" s="74">
        <f t="shared" si="295"/>
        <v>0</v>
      </c>
      <c r="K587" s="74">
        <f t="shared" si="295"/>
        <v>0</v>
      </c>
      <c r="L587" s="74">
        <f t="shared" si="295"/>
        <v>0</v>
      </c>
      <c r="M587" s="74">
        <f t="shared" si="295"/>
        <v>0</v>
      </c>
      <c r="N587" s="74">
        <f t="shared" si="295"/>
        <v>0</v>
      </c>
      <c r="O587" s="74">
        <f t="shared" si="295"/>
        <v>0</v>
      </c>
      <c r="P587" s="74">
        <f t="shared" si="295"/>
        <v>0</v>
      </c>
      <c r="Q587" s="74">
        <f t="shared" si="295"/>
        <v>0</v>
      </c>
      <c r="R587" s="74">
        <f t="shared" si="295"/>
        <v>0</v>
      </c>
      <c r="S587" s="74">
        <f t="shared" si="295"/>
        <v>0</v>
      </c>
      <c r="T587" s="74">
        <f t="shared" si="295"/>
        <v>0</v>
      </c>
      <c r="U587" s="74">
        <f t="shared" si="295"/>
        <v>0</v>
      </c>
      <c r="V587" s="74">
        <f t="shared" si="295"/>
        <v>0</v>
      </c>
      <c r="W587" s="74">
        <f t="shared" si="295"/>
        <v>0</v>
      </c>
      <c r="X587" s="74">
        <f t="shared" si="295"/>
        <v>0</v>
      </c>
      <c r="Y587" s="74">
        <f t="shared" si="295"/>
        <v>0</v>
      </c>
      <c r="Z587" s="74">
        <f t="shared" si="295"/>
        <v>0</v>
      </c>
    </row>
    <row r="588" hidden="1" outlineLevel="1">
      <c r="A588" s="16"/>
      <c r="B588" s="93">
        <f t="shared" si="291"/>
        <v>7</v>
      </c>
      <c r="C588" s="40"/>
      <c r="D588" s="16" t="s">
        <v>177</v>
      </c>
      <c r="E588" s="74">
        <f t="shared" si="108"/>
        <v>0</v>
      </c>
      <c r="F588" s="74"/>
      <c r="G588" s="74">
        <f t="shared" ref="G588:Z588" si="296">F588+G483</f>
        <v>0</v>
      </c>
      <c r="H588" s="74">
        <f t="shared" si="296"/>
        <v>0</v>
      </c>
      <c r="I588" s="74">
        <f t="shared" si="296"/>
        <v>0</v>
      </c>
      <c r="J588" s="74">
        <f t="shared" si="296"/>
        <v>0</v>
      </c>
      <c r="K588" s="74">
        <f t="shared" si="296"/>
        <v>0</v>
      </c>
      <c r="L588" s="74">
        <f t="shared" si="296"/>
        <v>0</v>
      </c>
      <c r="M588" s="74">
        <f t="shared" si="296"/>
        <v>0</v>
      </c>
      <c r="N588" s="74">
        <f t="shared" si="296"/>
        <v>0</v>
      </c>
      <c r="O588" s="74">
        <f t="shared" si="296"/>
        <v>0</v>
      </c>
      <c r="P588" s="74">
        <f t="shared" si="296"/>
        <v>0</v>
      </c>
      <c r="Q588" s="74">
        <f t="shared" si="296"/>
        <v>0</v>
      </c>
      <c r="R588" s="74">
        <f t="shared" si="296"/>
        <v>0</v>
      </c>
      <c r="S588" s="74">
        <f t="shared" si="296"/>
        <v>0</v>
      </c>
      <c r="T588" s="74">
        <f t="shared" si="296"/>
        <v>0</v>
      </c>
      <c r="U588" s="74">
        <f t="shared" si="296"/>
        <v>0</v>
      </c>
      <c r="V588" s="74">
        <f t="shared" si="296"/>
        <v>0</v>
      </c>
      <c r="W588" s="74">
        <f t="shared" si="296"/>
        <v>0</v>
      </c>
      <c r="X588" s="74">
        <f t="shared" si="296"/>
        <v>0</v>
      </c>
      <c r="Y588" s="74">
        <f t="shared" si="296"/>
        <v>0</v>
      </c>
      <c r="Z588" s="74">
        <f t="shared" si="296"/>
        <v>0</v>
      </c>
    </row>
    <row r="589" hidden="1" outlineLevel="1">
      <c r="A589" s="16"/>
      <c r="B589" s="93">
        <f t="shared" si="291"/>
        <v>8</v>
      </c>
      <c r="C589" s="40"/>
      <c r="D589" s="16" t="s">
        <v>177</v>
      </c>
      <c r="E589" s="74">
        <f t="shared" si="108"/>
        <v>0</v>
      </c>
      <c r="F589" s="74"/>
      <c r="G589" s="74">
        <f t="shared" ref="G589:Z589" si="297">F589+G484</f>
        <v>0</v>
      </c>
      <c r="H589" s="74">
        <f t="shared" si="297"/>
        <v>0</v>
      </c>
      <c r="I589" s="74">
        <f t="shared" si="297"/>
        <v>0</v>
      </c>
      <c r="J589" s="74">
        <f t="shared" si="297"/>
        <v>0</v>
      </c>
      <c r="K589" s="74">
        <f t="shared" si="297"/>
        <v>0</v>
      </c>
      <c r="L589" s="74">
        <f t="shared" si="297"/>
        <v>0</v>
      </c>
      <c r="M589" s="74">
        <f t="shared" si="297"/>
        <v>0</v>
      </c>
      <c r="N589" s="74">
        <f t="shared" si="297"/>
        <v>0</v>
      </c>
      <c r="O589" s="74">
        <f t="shared" si="297"/>
        <v>0</v>
      </c>
      <c r="P589" s="74">
        <f t="shared" si="297"/>
        <v>0</v>
      </c>
      <c r="Q589" s="74">
        <f t="shared" si="297"/>
        <v>0</v>
      </c>
      <c r="R589" s="74">
        <f t="shared" si="297"/>
        <v>0</v>
      </c>
      <c r="S589" s="74">
        <f t="shared" si="297"/>
        <v>0</v>
      </c>
      <c r="T589" s="74">
        <f t="shared" si="297"/>
        <v>0</v>
      </c>
      <c r="U589" s="74">
        <f t="shared" si="297"/>
        <v>0</v>
      </c>
      <c r="V589" s="74">
        <f t="shared" si="297"/>
        <v>0</v>
      </c>
      <c r="W589" s="74">
        <f t="shared" si="297"/>
        <v>0</v>
      </c>
      <c r="X589" s="74">
        <f t="shared" si="297"/>
        <v>0</v>
      </c>
      <c r="Y589" s="74">
        <f t="shared" si="297"/>
        <v>0</v>
      </c>
      <c r="Z589" s="74">
        <f t="shared" si="297"/>
        <v>0</v>
      </c>
    </row>
    <row r="590" hidden="1" outlineLevel="1">
      <c r="A590" s="16"/>
      <c r="B590" s="93">
        <f t="shared" si="291"/>
        <v>9</v>
      </c>
      <c r="C590" s="40"/>
      <c r="D590" s="16" t="s">
        <v>177</v>
      </c>
      <c r="E590" s="74">
        <f t="shared" si="108"/>
        <v>0</v>
      </c>
      <c r="F590" s="74"/>
      <c r="G590" s="74">
        <f t="shared" ref="G590:Z590" si="298">F590+G485</f>
        <v>0</v>
      </c>
      <c r="H590" s="74">
        <f t="shared" si="298"/>
        <v>0</v>
      </c>
      <c r="I590" s="74">
        <f t="shared" si="298"/>
        <v>0</v>
      </c>
      <c r="J590" s="74">
        <f t="shared" si="298"/>
        <v>0</v>
      </c>
      <c r="K590" s="74">
        <f t="shared" si="298"/>
        <v>0</v>
      </c>
      <c r="L590" s="74">
        <f t="shared" si="298"/>
        <v>0</v>
      </c>
      <c r="M590" s="74">
        <f t="shared" si="298"/>
        <v>0</v>
      </c>
      <c r="N590" s="74">
        <f t="shared" si="298"/>
        <v>0</v>
      </c>
      <c r="O590" s="74">
        <f t="shared" si="298"/>
        <v>0</v>
      </c>
      <c r="P590" s="74">
        <f t="shared" si="298"/>
        <v>0</v>
      </c>
      <c r="Q590" s="74">
        <f t="shared" si="298"/>
        <v>0</v>
      </c>
      <c r="R590" s="74">
        <f t="shared" si="298"/>
        <v>0</v>
      </c>
      <c r="S590" s="74">
        <f t="shared" si="298"/>
        <v>0</v>
      </c>
      <c r="T590" s="74">
        <f t="shared" si="298"/>
        <v>0</v>
      </c>
      <c r="U590" s="74">
        <f t="shared" si="298"/>
        <v>0</v>
      </c>
      <c r="V590" s="74">
        <f t="shared" si="298"/>
        <v>0</v>
      </c>
      <c r="W590" s="74">
        <f t="shared" si="298"/>
        <v>0</v>
      </c>
      <c r="X590" s="74">
        <f t="shared" si="298"/>
        <v>0</v>
      </c>
      <c r="Y590" s="74">
        <f t="shared" si="298"/>
        <v>0</v>
      </c>
      <c r="Z590" s="74">
        <f t="shared" si="298"/>
        <v>0</v>
      </c>
    </row>
    <row r="591" hidden="1" outlineLevel="1">
      <c r="A591" s="16"/>
      <c r="B591" s="93">
        <f t="shared" si="291"/>
        <v>10</v>
      </c>
      <c r="C591" s="40"/>
      <c r="D591" s="16" t="s">
        <v>177</v>
      </c>
      <c r="E591" s="74">
        <f t="shared" si="108"/>
        <v>0</v>
      </c>
      <c r="F591" s="74"/>
      <c r="G591" s="74">
        <f t="shared" ref="G591:Z591" si="299">F591+G486</f>
        <v>0</v>
      </c>
      <c r="H591" s="74">
        <f t="shared" si="299"/>
        <v>0</v>
      </c>
      <c r="I591" s="74">
        <f t="shared" si="299"/>
        <v>0</v>
      </c>
      <c r="J591" s="74">
        <f t="shared" si="299"/>
        <v>0</v>
      </c>
      <c r="K591" s="74">
        <f t="shared" si="299"/>
        <v>0</v>
      </c>
      <c r="L591" s="74">
        <f t="shared" si="299"/>
        <v>0</v>
      </c>
      <c r="M591" s="74">
        <f t="shared" si="299"/>
        <v>0</v>
      </c>
      <c r="N591" s="74">
        <f t="shared" si="299"/>
        <v>0</v>
      </c>
      <c r="O591" s="74">
        <f t="shared" si="299"/>
        <v>0</v>
      </c>
      <c r="P591" s="74">
        <f t="shared" si="299"/>
        <v>0</v>
      </c>
      <c r="Q591" s="74">
        <f t="shared" si="299"/>
        <v>0</v>
      </c>
      <c r="R591" s="74">
        <f t="shared" si="299"/>
        <v>0</v>
      </c>
      <c r="S591" s="74">
        <f t="shared" si="299"/>
        <v>0</v>
      </c>
      <c r="T591" s="74">
        <f t="shared" si="299"/>
        <v>0</v>
      </c>
      <c r="U591" s="74">
        <f t="shared" si="299"/>
        <v>0</v>
      </c>
      <c r="V591" s="74">
        <f t="shared" si="299"/>
        <v>0</v>
      </c>
      <c r="W591" s="74">
        <f t="shared" si="299"/>
        <v>0</v>
      </c>
      <c r="X591" s="74">
        <f t="shared" si="299"/>
        <v>0</v>
      </c>
      <c r="Y591" s="74">
        <f t="shared" si="299"/>
        <v>0</v>
      </c>
      <c r="Z591" s="74">
        <f t="shared" si="299"/>
        <v>0</v>
      </c>
    </row>
    <row r="592" hidden="1" outlineLevel="1">
      <c r="A592" s="16"/>
      <c r="B592" s="93">
        <f t="shared" si="291"/>
        <v>11</v>
      </c>
      <c r="C592" s="40"/>
      <c r="D592" s="16" t="s">
        <v>177</v>
      </c>
      <c r="E592" s="74">
        <f t="shared" si="108"/>
        <v>0</v>
      </c>
      <c r="F592" s="74"/>
      <c r="G592" s="74">
        <f t="shared" ref="G592:Z592" si="300">F592+G487</f>
        <v>0</v>
      </c>
      <c r="H592" s="74">
        <f t="shared" si="300"/>
        <v>0</v>
      </c>
      <c r="I592" s="74">
        <f t="shared" si="300"/>
        <v>0</v>
      </c>
      <c r="J592" s="74">
        <f t="shared" si="300"/>
        <v>0</v>
      </c>
      <c r="K592" s="74">
        <f t="shared" si="300"/>
        <v>0</v>
      </c>
      <c r="L592" s="74">
        <f t="shared" si="300"/>
        <v>0</v>
      </c>
      <c r="M592" s="74">
        <f t="shared" si="300"/>
        <v>0</v>
      </c>
      <c r="N592" s="74">
        <f t="shared" si="300"/>
        <v>0</v>
      </c>
      <c r="O592" s="74">
        <f t="shared" si="300"/>
        <v>0</v>
      </c>
      <c r="P592" s="74">
        <f t="shared" si="300"/>
        <v>0</v>
      </c>
      <c r="Q592" s="74">
        <f t="shared" si="300"/>
        <v>0</v>
      </c>
      <c r="R592" s="74">
        <f t="shared" si="300"/>
        <v>0</v>
      </c>
      <c r="S592" s="74">
        <f t="shared" si="300"/>
        <v>0</v>
      </c>
      <c r="T592" s="74">
        <f t="shared" si="300"/>
        <v>0</v>
      </c>
      <c r="U592" s="74">
        <f t="shared" si="300"/>
        <v>0</v>
      </c>
      <c r="V592" s="74">
        <f t="shared" si="300"/>
        <v>0</v>
      </c>
      <c r="W592" s="74">
        <f t="shared" si="300"/>
        <v>0</v>
      </c>
      <c r="X592" s="74">
        <f t="shared" si="300"/>
        <v>0</v>
      </c>
      <c r="Y592" s="74">
        <f t="shared" si="300"/>
        <v>0</v>
      </c>
      <c r="Z592" s="74">
        <f t="shared" si="300"/>
        <v>0</v>
      </c>
    </row>
    <row r="593" hidden="1" outlineLevel="1">
      <c r="A593" s="16"/>
      <c r="B593" s="93">
        <f t="shared" si="291"/>
        <v>12</v>
      </c>
      <c r="C593" s="40"/>
      <c r="D593" s="16" t="s">
        <v>177</v>
      </c>
      <c r="E593" s="74">
        <f t="shared" si="108"/>
        <v>0</v>
      </c>
      <c r="F593" s="74"/>
      <c r="G593" s="74">
        <f t="shared" ref="G593:Z593" si="301">F593+G488</f>
        <v>0</v>
      </c>
      <c r="H593" s="74">
        <f t="shared" si="301"/>
        <v>0</v>
      </c>
      <c r="I593" s="74">
        <f t="shared" si="301"/>
        <v>0</v>
      </c>
      <c r="J593" s="74">
        <f t="shared" si="301"/>
        <v>0</v>
      </c>
      <c r="K593" s="74">
        <f t="shared" si="301"/>
        <v>0</v>
      </c>
      <c r="L593" s="74">
        <f t="shared" si="301"/>
        <v>0</v>
      </c>
      <c r="M593" s="74">
        <f t="shared" si="301"/>
        <v>0</v>
      </c>
      <c r="N593" s="74">
        <f t="shared" si="301"/>
        <v>0</v>
      </c>
      <c r="O593" s="74">
        <f t="shared" si="301"/>
        <v>0</v>
      </c>
      <c r="P593" s="74">
        <f t="shared" si="301"/>
        <v>0</v>
      </c>
      <c r="Q593" s="74">
        <f t="shared" si="301"/>
        <v>0</v>
      </c>
      <c r="R593" s="74">
        <f t="shared" si="301"/>
        <v>0</v>
      </c>
      <c r="S593" s="74">
        <f t="shared" si="301"/>
        <v>0</v>
      </c>
      <c r="T593" s="74">
        <f t="shared" si="301"/>
        <v>0</v>
      </c>
      <c r="U593" s="74">
        <f t="shared" si="301"/>
        <v>0</v>
      </c>
      <c r="V593" s="74">
        <f t="shared" si="301"/>
        <v>0</v>
      </c>
      <c r="W593" s="74">
        <f t="shared" si="301"/>
        <v>0</v>
      </c>
      <c r="X593" s="74">
        <f t="shared" si="301"/>
        <v>0</v>
      </c>
      <c r="Y593" s="74">
        <f t="shared" si="301"/>
        <v>0</v>
      </c>
      <c r="Z593" s="74">
        <f t="shared" si="301"/>
        <v>0</v>
      </c>
    </row>
    <row r="594" hidden="1" outlineLevel="1">
      <c r="A594" s="16"/>
      <c r="B594" s="93">
        <f t="shared" si="291"/>
        <v>13</v>
      </c>
      <c r="C594" s="40"/>
      <c r="D594" s="16" t="s">
        <v>177</v>
      </c>
      <c r="E594" s="74">
        <f t="shared" si="108"/>
        <v>0</v>
      </c>
      <c r="F594" s="74"/>
      <c r="G594" s="74">
        <f t="shared" ref="G594:Z594" si="302">F594+G489</f>
        <v>0</v>
      </c>
      <c r="H594" s="74">
        <f t="shared" si="302"/>
        <v>0</v>
      </c>
      <c r="I594" s="74">
        <f t="shared" si="302"/>
        <v>0</v>
      </c>
      <c r="J594" s="74">
        <f t="shared" si="302"/>
        <v>0</v>
      </c>
      <c r="K594" s="74">
        <f t="shared" si="302"/>
        <v>0</v>
      </c>
      <c r="L594" s="74">
        <f t="shared" si="302"/>
        <v>0</v>
      </c>
      <c r="M594" s="74">
        <f t="shared" si="302"/>
        <v>0</v>
      </c>
      <c r="N594" s="74">
        <f t="shared" si="302"/>
        <v>0</v>
      </c>
      <c r="O594" s="74">
        <f t="shared" si="302"/>
        <v>0</v>
      </c>
      <c r="P594" s="74">
        <f t="shared" si="302"/>
        <v>0</v>
      </c>
      <c r="Q594" s="74">
        <f t="shared" si="302"/>
        <v>0</v>
      </c>
      <c r="R594" s="74">
        <f t="shared" si="302"/>
        <v>0</v>
      </c>
      <c r="S594" s="74">
        <f t="shared" si="302"/>
        <v>0</v>
      </c>
      <c r="T594" s="74">
        <f t="shared" si="302"/>
        <v>0</v>
      </c>
      <c r="U594" s="74">
        <f t="shared" si="302"/>
        <v>0</v>
      </c>
      <c r="V594" s="74">
        <f t="shared" si="302"/>
        <v>0</v>
      </c>
      <c r="W594" s="74">
        <f t="shared" si="302"/>
        <v>0</v>
      </c>
      <c r="X594" s="74">
        <f t="shared" si="302"/>
        <v>0</v>
      </c>
      <c r="Y594" s="74">
        <f t="shared" si="302"/>
        <v>0</v>
      </c>
      <c r="Z594" s="74">
        <f t="shared" si="302"/>
        <v>0</v>
      </c>
    </row>
    <row r="595" hidden="1" outlineLevel="1">
      <c r="A595" s="16"/>
      <c r="B595" s="93">
        <f t="shared" si="291"/>
        <v>14</v>
      </c>
      <c r="C595" s="40"/>
      <c r="D595" s="16" t="s">
        <v>177</v>
      </c>
      <c r="E595" s="74">
        <f t="shared" si="108"/>
        <v>0</v>
      </c>
      <c r="F595" s="74"/>
      <c r="G595" s="74">
        <f t="shared" ref="G595:Z595" si="303">F595+G490</f>
        <v>0</v>
      </c>
      <c r="H595" s="74">
        <f t="shared" si="303"/>
        <v>0</v>
      </c>
      <c r="I595" s="74">
        <f t="shared" si="303"/>
        <v>0</v>
      </c>
      <c r="J595" s="74">
        <f t="shared" si="303"/>
        <v>0</v>
      </c>
      <c r="K595" s="74">
        <f t="shared" si="303"/>
        <v>0</v>
      </c>
      <c r="L595" s="74">
        <f t="shared" si="303"/>
        <v>0</v>
      </c>
      <c r="M595" s="74">
        <f t="shared" si="303"/>
        <v>0</v>
      </c>
      <c r="N595" s="74">
        <f t="shared" si="303"/>
        <v>0</v>
      </c>
      <c r="O595" s="74">
        <f t="shared" si="303"/>
        <v>0</v>
      </c>
      <c r="P595" s="74">
        <f t="shared" si="303"/>
        <v>0</v>
      </c>
      <c r="Q595" s="74">
        <f t="shared" si="303"/>
        <v>0</v>
      </c>
      <c r="R595" s="74">
        <f t="shared" si="303"/>
        <v>0</v>
      </c>
      <c r="S595" s="74">
        <f t="shared" si="303"/>
        <v>0</v>
      </c>
      <c r="T595" s="74">
        <f t="shared" si="303"/>
        <v>0</v>
      </c>
      <c r="U595" s="74">
        <f t="shared" si="303"/>
        <v>0</v>
      </c>
      <c r="V595" s="74">
        <f t="shared" si="303"/>
        <v>0</v>
      </c>
      <c r="W595" s="74">
        <f t="shared" si="303"/>
        <v>0</v>
      </c>
      <c r="X595" s="74">
        <f t="shared" si="303"/>
        <v>0</v>
      </c>
      <c r="Y595" s="74">
        <f t="shared" si="303"/>
        <v>0</v>
      </c>
      <c r="Z595" s="74">
        <f t="shared" si="303"/>
        <v>0</v>
      </c>
    </row>
    <row r="596" hidden="1" outlineLevel="1">
      <c r="A596" s="16"/>
      <c r="B596" s="93">
        <f t="shared" si="291"/>
        <v>15</v>
      </c>
      <c r="C596" s="40"/>
      <c r="D596" s="16" t="s">
        <v>177</v>
      </c>
      <c r="E596" s="74">
        <f t="shared" si="108"/>
        <v>0</v>
      </c>
      <c r="F596" s="74"/>
      <c r="G596" s="74">
        <f t="shared" ref="G596:Z596" si="304">F596+G491</f>
        <v>0</v>
      </c>
      <c r="H596" s="74">
        <f t="shared" si="304"/>
        <v>0</v>
      </c>
      <c r="I596" s="74">
        <f t="shared" si="304"/>
        <v>0</v>
      </c>
      <c r="J596" s="74">
        <f t="shared" si="304"/>
        <v>0</v>
      </c>
      <c r="K596" s="74">
        <f t="shared" si="304"/>
        <v>0</v>
      </c>
      <c r="L596" s="74">
        <f t="shared" si="304"/>
        <v>0</v>
      </c>
      <c r="M596" s="74">
        <f t="shared" si="304"/>
        <v>0</v>
      </c>
      <c r="N596" s="74">
        <f t="shared" si="304"/>
        <v>0</v>
      </c>
      <c r="O596" s="74">
        <f t="shared" si="304"/>
        <v>0</v>
      </c>
      <c r="P596" s="74">
        <f t="shared" si="304"/>
        <v>0</v>
      </c>
      <c r="Q596" s="74">
        <f t="shared" si="304"/>
        <v>0</v>
      </c>
      <c r="R596" s="74">
        <f t="shared" si="304"/>
        <v>0</v>
      </c>
      <c r="S596" s="74">
        <f t="shared" si="304"/>
        <v>0</v>
      </c>
      <c r="T596" s="74">
        <f t="shared" si="304"/>
        <v>0</v>
      </c>
      <c r="U596" s="74">
        <f t="shared" si="304"/>
        <v>0</v>
      </c>
      <c r="V596" s="74">
        <f t="shared" si="304"/>
        <v>0</v>
      </c>
      <c r="W596" s="74">
        <f t="shared" si="304"/>
        <v>0</v>
      </c>
      <c r="X596" s="74">
        <f t="shared" si="304"/>
        <v>0</v>
      </c>
      <c r="Y596" s="74">
        <f t="shared" si="304"/>
        <v>0</v>
      </c>
      <c r="Z596" s="74">
        <f t="shared" si="304"/>
        <v>0</v>
      </c>
    </row>
    <row r="597" hidden="1" outlineLevel="1">
      <c r="A597" s="16"/>
      <c r="B597" s="93">
        <f t="shared" si="291"/>
        <v>16</v>
      </c>
      <c r="C597" s="40"/>
      <c r="D597" s="16" t="s">
        <v>177</v>
      </c>
      <c r="E597" s="74">
        <f t="shared" si="108"/>
        <v>0</v>
      </c>
      <c r="F597" s="74"/>
      <c r="G597" s="74">
        <f t="shared" ref="G597:Z597" si="305">F597+G492</f>
        <v>0</v>
      </c>
      <c r="H597" s="74">
        <f t="shared" si="305"/>
        <v>0</v>
      </c>
      <c r="I597" s="74">
        <f t="shared" si="305"/>
        <v>0</v>
      </c>
      <c r="J597" s="74">
        <f t="shared" si="305"/>
        <v>0</v>
      </c>
      <c r="K597" s="74">
        <f t="shared" si="305"/>
        <v>0</v>
      </c>
      <c r="L597" s="74">
        <f t="shared" si="305"/>
        <v>0</v>
      </c>
      <c r="M597" s="74">
        <f t="shared" si="305"/>
        <v>0</v>
      </c>
      <c r="N597" s="74">
        <f t="shared" si="305"/>
        <v>0</v>
      </c>
      <c r="O597" s="74">
        <f t="shared" si="305"/>
        <v>0</v>
      </c>
      <c r="P597" s="74">
        <f t="shared" si="305"/>
        <v>0</v>
      </c>
      <c r="Q597" s="74">
        <f t="shared" si="305"/>
        <v>0</v>
      </c>
      <c r="R597" s="74">
        <f t="shared" si="305"/>
        <v>0</v>
      </c>
      <c r="S597" s="74">
        <f t="shared" si="305"/>
        <v>0</v>
      </c>
      <c r="T597" s="74">
        <f t="shared" si="305"/>
        <v>0</v>
      </c>
      <c r="U597" s="74">
        <f t="shared" si="305"/>
        <v>0</v>
      </c>
      <c r="V597" s="74">
        <f t="shared" si="305"/>
        <v>0</v>
      </c>
      <c r="W597" s="74">
        <f t="shared" si="305"/>
        <v>0</v>
      </c>
      <c r="X597" s="74">
        <f t="shared" si="305"/>
        <v>0</v>
      </c>
      <c r="Y597" s="74">
        <f t="shared" si="305"/>
        <v>0</v>
      </c>
      <c r="Z597" s="74">
        <f t="shared" si="305"/>
        <v>0</v>
      </c>
    </row>
    <row r="598" hidden="1" outlineLevel="1">
      <c r="A598" s="16"/>
      <c r="B598" s="93">
        <f t="shared" si="291"/>
        <v>17</v>
      </c>
      <c r="C598" s="40"/>
      <c r="D598" s="16" t="s">
        <v>177</v>
      </c>
      <c r="E598" s="74">
        <f t="shared" si="108"/>
        <v>0</v>
      </c>
      <c r="F598" s="74"/>
      <c r="G598" s="74">
        <f t="shared" ref="G598:Z598" si="306">F598+G493</f>
        <v>0</v>
      </c>
      <c r="H598" s="74">
        <f t="shared" si="306"/>
        <v>0</v>
      </c>
      <c r="I598" s="74">
        <f t="shared" si="306"/>
        <v>0</v>
      </c>
      <c r="J598" s="74">
        <f t="shared" si="306"/>
        <v>0</v>
      </c>
      <c r="K598" s="74">
        <f t="shared" si="306"/>
        <v>0</v>
      </c>
      <c r="L598" s="74">
        <f t="shared" si="306"/>
        <v>0</v>
      </c>
      <c r="M598" s="74">
        <f t="shared" si="306"/>
        <v>0</v>
      </c>
      <c r="N598" s="74">
        <f t="shared" si="306"/>
        <v>0</v>
      </c>
      <c r="O598" s="74">
        <f t="shared" si="306"/>
        <v>0</v>
      </c>
      <c r="P598" s="74">
        <f t="shared" si="306"/>
        <v>0</v>
      </c>
      <c r="Q598" s="74">
        <f t="shared" si="306"/>
        <v>0</v>
      </c>
      <c r="R598" s="74">
        <f t="shared" si="306"/>
        <v>0</v>
      </c>
      <c r="S598" s="74">
        <f t="shared" si="306"/>
        <v>0</v>
      </c>
      <c r="T598" s="74">
        <f t="shared" si="306"/>
        <v>0</v>
      </c>
      <c r="U598" s="74">
        <f t="shared" si="306"/>
        <v>0</v>
      </c>
      <c r="V598" s="74">
        <f t="shared" si="306"/>
        <v>0</v>
      </c>
      <c r="W598" s="74">
        <f t="shared" si="306"/>
        <v>0</v>
      </c>
      <c r="X598" s="74">
        <f t="shared" si="306"/>
        <v>0</v>
      </c>
      <c r="Y598" s="74">
        <f t="shared" si="306"/>
        <v>0</v>
      </c>
      <c r="Z598" s="74">
        <f t="shared" si="306"/>
        <v>0</v>
      </c>
    </row>
    <row r="599" hidden="1" outlineLevel="1">
      <c r="A599" s="16"/>
      <c r="B599" s="93">
        <f t="shared" si="291"/>
        <v>18</v>
      </c>
      <c r="C599" s="40"/>
      <c r="D599" s="16" t="s">
        <v>177</v>
      </c>
      <c r="E599" s="74">
        <f t="shared" si="108"/>
        <v>0</v>
      </c>
      <c r="F599" s="74"/>
      <c r="G599" s="74">
        <f t="shared" ref="G599:Z599" si="307">F599+G494</f>
        <v>0</v>
      </c>
      <c r="H599" s="74">
        <f t="shared" si="307"/>
        <v>0</v>
      </c>
      <c r="I599" s="74">
        <f t="shared" si="307"/>
        <v>0</v>
      </c>
      <c r="J599" s="74">
        <f t="shared" si="307"/>
        <v>0</v>
      </c>
      <c r="K599" s="74">
        <f t="shared" si="307"/>
        <v>0</v>
      </c>
      <c r="L599" s="74">
        <f t="shared" si="307"/>
        <v>0</v>
      </c>
      <c r="M599" s="74">
        <f t="shared" si="307"/>
        <v>0</v>
      </c>
      <c r="N599" s="74">
        <f t="shared" si="307"/>
        <v>0</v>
      </c>
      <c r="O599" s="74">
        <f t="shared" si="307"/>
        <v>0</v>
      </c>
      <c r="P599" s="74">
        <f t="shared" si="307"/>
        <v>0</v>
      </c>
      <c r="Q599" s="74">
        <f t="shared" si="307"/>
        <v>0</v>
      </c>
      <c r="R599" s="74">
        <f t="shared" si="307"/>
        <v>0</v>
      </c>
      <c r="S599" s="74">
        <f t="shared" si="307"/>
        <v>0</v>
      </c>
      <c r="T599" s="74">
        <f t="shared" si="307"/>
        <v>0</v>
      </c>
      <c r="U599" s="74">
        <f t="shared" si="307"/>
        <v>0</v>
      </c>
      <c r="V599" s="74">
        <f t="shared" si="307"/>
        <v>0</v>
      </c>
      <c r="W599" s="74">
        <f t="shared" si="307"/>
        <v>0</v>
      </c>
      <c r="X599" s="74">
        <f t="shared" si="307"/>
        <v>0</v>
      </c>
      <c r="Y599" s="74">
        <f t="shared" si="307"/>
        <v>0</v>
      </c>
      <c r="Z599" s="74">
        <f t="shared" si="307"/>
        <v>0</v>
      </c>
    </row>
    <row r="600" hidden="1" outlineLevel="1">
      <c r="A600" s="16"/>
      <c r="B600" s="93">
        <f t="shared" si="291"/>
        <v>19</v>
      </c>
      <c r="C600" s="40"/>
      <c r="D600" s="16" t="s">
        <v>177</v>
      </c>
      <c r="E600" s="74">
        <f t="shared" si="108"/>
        <v>0</v>
      </c>
      <c r="F600" s="74"/>
      <c r="G600" s="74">
        <f t="shared" ref="G600:Z600" si="308">F600+G495</f>
        <v>0</v>
      </c>
      <c r="H600" s="74">
        <f t="shared" si="308"/>
        <v>0</v>
      </c>
      <c r="I600" s="74">
        <f t="shared" si="308"/>
        <v>0</v>
      </c>
      <c r="J600" s="74">
        <f t="shared" si="308"/>
        <v>0</v>
      </c>
      <c r="K600" s="74">
        <f t="shared" si="308"/>
        <v>0</v>
      </c>
      <c r="L600" s="74">
        <f t="shared" si="308"/>
        <v>0</v>
      </c>
      <c r="M600" s="74">
        <f t="shared" si="308"/>
        <v>0</v>
      </c>
      <c r="N600" s="74">
        <f t="shared" si="308"/>
        <v>0</v>
      </c>
      <c r="O600" s="74">
        <f t="shared" si="308"/>
        <v>0</v>
      </c>
      <c r="P600" s="74">
        <f t="shared" si="308"/>
        <v>0</v>
      </c>
      <c r="Q600" s="74">
        <f t="shared" si="308"/>
        <v>0</v>
      </c>
      <c r="R600" s="74">
        <f t="shared" si="308"/>
        <v>0</v>
      </c>
      <c r="S600" s="74">
        <f t="shared" si="308"/>
        <v>0</v>
      </c>
      <c r="T600" s="74">
        <f t="shared" si="308"/>
        <v>0</v>
      </c>
      <c r="U600" s="74">
        <f t="shared" si="308"/>
        <v>0</v>
      </c>
      <c r="V600" s="74">
        <f t="shared" si="308"/>
        <v>0</v>
      </c>
      <c r="W600" s="74">
        <f t="shared" si="308"/>
        <v>0</v>
      </c>
      <c r="X600" s="74">
        <f t="shared" si="308"/>
        <v>0</v>
      </c>
      <c r="Y600" s="74">
        <f t="shared" si="308"/>
        <v>0</v>
      </c>
      <c r="Z600" s="74">
        <f t="shared" si="308"/>
        <v>0</v>
      </c>
    </row>
    <row r="601" hidden="1" outlineLevel="1">
      <c r="A601" s="16"/>
      <c r="B601" s="93">
        <f t="shared" si="291"/>
        <v>20</v>
      </c>
      <c r="C601" s="40"/>
      <c r="D601" s="16" t="s">
        <v>177</v>
      </c>
      <c r="E601" s="74">
        <f t="shared" si="108"/>
        <v>0</v>
      </c>
      <c r="F601" s="74"/>
      <c r="G601" s="74">
        <f t="shared" ref="G601:Z601" si="309">F601+G496</f>
        <v>0</v>
      </c>
      <c r="H601" s="74">
        <f t="shared" si="309"/>
        <v>0</v>
      </c>
      <c r="I601" s="74">
        <f t="shared" si="309"/>
        <v>0</v>
      </c>
      <c r="J601" s="74">
        <f t="shared" si="309"/>
        <v>0</v>
      </c>
      <c r="K601" s="74">
        <f t="shared" si="309"/>
        <v>0</v>
      </c>
      <c r="L601" s="74">
        <f t="shared" si="309"/>
        <v>0</v>
      </c>
      <c r="M601" s="74">
        <f t="shared" si="309"/>
        <v>0</v>
      </c>
      <c r="N601" s="74">
        <f t="shared" si="309"/>
        <v>0</v>
      </c>
      <c r="O601" s="74">
        <f t="shared" si="309"/>
        <v>0</v>
      </c>
      <c r="P601" s="74">
        <f t="shared" si="309"/>
        <v>0</v>
      </c>
      <c r="Q601" s="74">
        <f t="shared" si="309"/>
        <v>0</v>
      </c>
      <c r="R601" s="74">
        <f t="shared" si="309"/>
        <v>0</v>
      </c>
      <c r="S601" s="74">
        <f t="shared" si="309"/>
        <v>0</v>
      </c>
      <c r="T601" s="74">
        <f t="shared" si="309"/>
        <v>0</v>
      </c>
      <c r="U601" s="74">
        <f t="shared" si="309"/>
        <v>0</v>
      </c>
      <c r="V601" s="74">
        <f t="shared" si="309"/>
        <v>0</v>
      </c>
      <c r="W601" s="74">
        <f t="shared" si="309"/>
        <v>0</v>
      </c>
      <c r="X601" s="74">
        <f t="shared" si="309"/>
        <v>0</v>
      </c>
      <c r="Y601" s="74">
        <f t="shared" si="309"/>
        <v>0</v>
      </c>
      <c r="Z601" s="74">
        <f t="shared" si="309"/>
        <v>0</v>
      </c>
    </row>
    <row r="602" collapsed="1">
      <c r="B602" s="80" t="s">
        <v>235</v>
      </c>
      <c r="C602" s="16"/>
      <c r="D602" s="16" t="s">
        <v>177</v>
      </c>
      <c r="E602" s="74">
        <f t="shared" si="108"/>
        <v>0.00000001676380634</v>
      </c>
      <c r="F602" s="78"/>
      <c r="G602" s="77">
        <f t="shared" ref="G602:Z602" si="310">sum(G603:G622)</f>
        <v>4656685</v>
      </c>
      <c r="H602" s="77">
        <f t="shared" si="310"/>
        <v>17074511.67</v>
      </c>
      <c r="I602" s="77">
        <f t="shared" si="310"/>
        <v>37253480</v>
      </c>
      <c r="J602" s="77">
        <f t="shared" si="310"/>
        <v>59954819.38</v>
      </c>
      <c r="K602" s="77">
        <f t="shared" si="310"/>
        <v>77417388.13</v>
      </c>
      <c r="L602" s="77">
        <f t="shared" si="310"/>
        <v>85566586.88</v>
      </c>
      <c r="M602" s="77">
        <f t="shared" si="310"/>
        <v>84984501.25</v>
      </c>
      <c r="N602" s="77">
        <f t="shared" si="310"/>
        <v>80909901.88</v>
      </c>
      <c r="O602" s="77">
        <f t="shared" si="310"/>
        <v>71208474.79</v>
      </c>
      <c r="P602" s="77">
        <f t="shared" si="310"/>
        <v>56850362.71</v>
      </c>
      <c r="Q602" s="77">
        <f t="shared" si="310"/>
        <v>37253480</v>
      </c>
      <c r="R602" s="77">
        <f t="shared" si="310"/>
        <v>18626740</v>
      </c>
      <c r="S602" s="77">
        <f t="shared" si="310"/>
        <v>6208913.333</v>
      </c>
      <c r="T602" s="77">
        <f t="shared" si="310"/>
        <v>0.00000001676380634</v>
      </c>
      <c r="U602" s="77">
        <f t="shared" si="310"/>
        <v>0.00000001676380634</v>
      </c>
      <c r="V602" s="77">
        <f t="shared" si="310"/>
        <v>0.00000001676380634</v>
      </c>
      <c r="W602" s="77">
        <f t="shared" si="310"/>
        <v>0.00000001676380634</v>
      </c>
      <c r="X602" s="77">
        <f t="shared" si="310"/>
        <v>0.00000001676380634</v>
      </c>
      <c r="Y602" s="77">
        <f t="shared" si="310"/>
        <v>0.00000001676380634</v>
      </c>
      <c r="Z602" s="77">
        <f t="shared" si="310"/>
        <v>0.00000001676380634</v>
      </c>
    </row>
    <row r="603" hidden="1" outlineLevel="1">
      <c r="A603" s="16"/>
      <c r="B603" s="93">
        <f>G$4</f>
        <v>1</v>
      </c>
      <c r="C603" s="40"/>
      <c r="D603" s="16" t="s">
        <v>177</v>
      </c>
      <c r="E603" s="74">
        <f t="shared" si="108"/>
        <v>0.000000005587935448</v>
      </c>
      <c r="F603" s="74"/>
      <c r="G603" s="74">
        <f t="shared" ref="G603:Z603" si="311">F603+G519</f>
        <v>4656685</v>
      </c>
      <c r="H603" s="74">
        <f t="shared" si="311"/>
        <v>12417826.67</v>
      </c>
      <c r="I603" s="74">
        <f t="shared" si="311"/>
        <v>20178968.33</v>
      </c>
      <c r="J603" s="74">
        <f t="shared" si="311"/>
        <v>27358024.38</v>
      </c>
      <c r="K603" s="74">
        <f t="shared" si="311"/>
        <v>29880395.42</v>
      </c>
      <c r="L603" s="74">
        <f t="shared" si="311"/>
        <v>28328167.08</v>
      </c>
      <c r="M603" s="74">
        <f t="shared" si="311"/>
        <v>26775938.75</v>
      </c>
      <c r="N603" s="74">
        <f t="shared" si="311"/>
        <v>25805796.04</v>
      </c>
      <c r="O603" s="74">
        <f t="shared" si="311"/>
        <v>18626740</v>
      </c>
      <c r="P603" s="74">
        <f t="shared" si="311"/>
        <v>12417826.67</v>
      </c>
      <c r="Q603" s="74">
        <f t="shared" si="311"/>
        <v>6208913.333</v>
      </c>
      <c r="R603" s="74">
        <f t="shared" si="311"/>
        <v>0.000000005587935448</v>
      </c>
      <c r="S603" s="74">
        <f t="shared" si="311"/>
        <v>0.000000005587935448</v>
      </c>
      <c r="T603" s="74">
        <f t="shared" si="311"/>
        <v>0.000000005587935448</v>
      </c>
      <c r="U603" s="74">
        <f t="shared" si="311"/>
        <v>0.000000005587935448</v>
      </c>
      <c r="V603" s="74">
        <f t="shared" si="311"/>
        <v>0.000000005587935448</v>
      </c>
      <c r="W603" s="74">
        <f t="shared" si="311"/>
        <v>0.000000005587935448</v>
      </c>
      <c r="X603" s="74">
        <f t="shared" si="311"/>
        <v>0.000000005587935448</v>
      </c>
      <c r="Y603" s="74">
        <f t="shared" si="311"/>
        <v>0.000000005587935448</v>
      </c>
      <c r="Z603" s="74">
        <f t="shared" si="311"/>
        <v>0.000000005587935448</v>
      </c>
    </row>
    <row r="604" hidden="1" outlineLevel="1">
      <c r="A604" s="16"/>
      <c r="B604" s="93">
        <f t="shared" ref="B604:B622" si="313">B603+1</f>
        <v>2</v>
      </c>
      <c r="C604" s="40"/>
      <c r="D604" s="16" t="s">
        <v>177</v>
      </c>
      <c r="E604" s="74">
        <f t="shared" si="108"/>
        <v>0.000000005587935448</v>
      </c>
      <c r="F604" s="74"/>
      <c r="G604" s="74">
        <f t="shared" ref="G604:Z604" si="312">F604+G520</f>
        <v>0</v>
      </c>
      <c r="H604" s="74">
        <f t="shared" si="312"/>
        <v>4656685</v>
      </c>
      <c r="I604" s="74">
        <f t="shared" si="312"/>
        <v>12417826.67</v>
      </c>
      <c r="J604" s="74">
        <f t="shared" si="312"/>
        <v>20178968.33</v>
      </c>
      <c r="K604" s="74">
        <f t="shared" si="312"/>
        <v>27358024.38</v>
      </c>
      <c r="L604" s="74">
        <f t="shared" si="312"/>
        <v>29880395.42</v>
      </c>
      <c r="M604" s="74">
        <f t="shared" si="312"/>
        <v>28328167.08</v>
      </c>
      <c r="N604" s="74">
        <f t="shared" si="312"/>
        <v>26775938.75</v>
      </c>
      <c r="O604" s="74">
        <f t="shared" si="312"/>
        <v>25805796.04</v>
      </c>
      <c r="P604" s="74">
        <f t="shared" si="312"/>
        <v>18626740</v>
      </c>
      <c r="Q604" s="74">
        <f t="shared" si="312"/>
        <v>12417826.67</v>
      </c>
      <c r="R604" s="74">
        <f t="shared" si="312"/>
        <v>6208913.333</v>
      </c>
      <c r="S604" s="74">
        <f t="shared" si="312"/>
        <v>0.000000005587935448</v>
      </c>
      <c r="T604" s="74">
        <f t="shared" si="312"/>
        <v>0.000000005587935448</v>
      </c>
      <c r="U604" s="74">
        <f t="shared" si="312"/>
        <v>0.000000005587935448</v>
      </c>
      <c r="V604" s="74">
        <f t="shared" si="312"/>
        <v>0.000000005587935448</v>
      </c>
      <c r="W604" s="74">
        <f t="shared" si="312"/>
        <v>0.000000005587935448</v>
      </c>
      <c r="X604" s="74">
        <f t="shared" si="312"/>
        <v>0.000000005587935448</v>
      </c>
      <c r="Y604" s="74">
        <f t="shared" si="312"/>
        <v>0.000000005587935448</v>
      </c>
      <c r="Z604" s="74">
        <f t="shared" si="312"/>
        <v>0.000000005587935448</v>
      </c>
    </row>
    <row r="605" hidden="1" outlineLevel="1">
      <c r="A605" s="16"/>
      <c r="B605" s="93">
        <f t="shared" si="313"/>
        <v>3</v>
      </c>
      <c r="C605" s="40"/>
      <c r="D605" s="16" t="s">
        <v>177</v>
      </c>
      <c r="E605" s="74">
        <f t="shared" si="108"/>
        <v>0.000000005587935448</v>
      </c>
      <c r="F605" s="74"/>
      <c r="G605" s="74">
        <f t="shared" ref="G605:Z605" si="314">F605+G521</f>
        <v>0</v>
      </c>
      <c r="H605" s="74">
        <f t="shared" si="314"/>
        <v>0</v>
      </c>
      <c r="I605" s="74">
        <f t="shared" si="314"/>
        <v>4656685</v>
      </c>
      <c r="J605" s="74">
        <f t="shared" si="314"/>
        <v>12417826.67</v>
      </c>
      <c r="K605" s="74">
        <f t="shared" si="314"/>
        <v>20178968.33</v>
      </c>
      <c r="L605" s="74">
        <f t="shared" si="314"/>
        <v>27358024.38</v>
      </c>
      <c r="M605" s="74">
        <f t="shared" si="314"/>
        <v>29880395.42</v>
      </c>
      <c r="N605" s="74">
        <f t="shared" si="314"/>
        <v>28328167.08</v>
      </c>
      <c r="O605" s="74">
        <f t="shared" si="314"/>
        <v>26775938.75</v>
      </c>
      <c r="P605" s="74">
        <f t="shared" si="314"/>
        <v>25805796.04</v>
      </c>
      <c r="Q605" s="74">
        <f t="shared" si="314"/>
        <v>18626740</v>
      </c>
      <c r="R605" s="74">
        <f t="shared" si="314"/>
        <v>12417826.67</v>
      </c>
      <c r="S605" s="74">
        <f t="shared" si="314"/>
        <v>6208913.333</v>
      </c>
      <c r="T605" s="74">
        <f t="shared" si="314"/>
        <v>0.000000005587935448</v>
      </c>
      <c r="U605" s="74">
        <f t="shared" si="314"/>
        <v>0.000000005587935448</v>
      </c>
      <c r="V605" s="74">
        <f t="shared" si="314"/>
        <v>0.000000005587935448</v>
      </c>
      <c r="W605" s="74">
        <f t="shared" si="314"/>
        <v>0.000000005587935448</v>
      </c>
      <c r="X605" s="74">
        <f t="shared" si="314"/>
        <v>0.000000005587935448</v>
      </c>
      <c r="Y605" s="74">
        <f t="shared" si="314"/>
        <v>0.000000005587935448</v>
      </c>
      <c r="Z605" s="74">
        <f t="shared" si="314"/>
        <v>0.000000005587935448</v>
      </c>
    </row>
    <row r="606" hidden="1" outlineLevel="1">
      <c r="A606" s="16"/>
      <c r="B606" s="93">
        <f t="shared" si="313"/>
        <v>4</v>
      </c>
      <c r="C606" s="40"/>
      <c r="D606" s="16" t="s">
        <v>177</v>
      </c>
      <c r="E606" s="74">
        <f t="shared" si="108"/>
        <v>0</v>
      </c>
      <c r="F606" s="74"/>
      <c r="G606" s="74">
        <f t="shared" ref="G606:Z606" si="315">F606+G522</f>
        <v>0</v>
      </c>
      <c r="H606" s="74">
        <f t="shared" si="315"/>
        <v>0</v>
      </c>
      <c r="I606" s="74">
        <f t="shared" si="315"/>
        <v>0</v>
      </c>
      <c r="J606" s="74">
        <f t="shared" si="315"/>
        <v>0</v>
      </c>
      <c r="K606" s="74">
        <f t="shared" si="315"/>
        <v>0</v>
      </c>
      <c r="L606" s="74">
        <f t="shared" si="315"/>
        <v>0</v>
      </c>
      <c r="M606" s="74">
        <f t="shared" si="315"/>
        <v>0</v>
      </c>
      <c r="N606" s="74">
        <f t="shared" si="315"/>
        <v>0</v>
      </c>
      <c r="O606" s="74">
        <f t="shared" si="315"/>
        <v>0</v>
      </c>
      <c r="P606" s="74">
        <f t="shared" si="315"/>
        <v>0</v>
      </c>
      <c r="Q606" s="74">
        <f t="shared" si="315"/>
        <v>0</v>
      </c>
      <c r="R606" s="74">
        <f t="shared" si="315"/>
        <v>0</v>
      </c>
      <c r="S606" s="74">
        <f t="shared" si="315"/>
        <v>0</v>
      </c>
      <c r="T606" s="74">
        <f t="shared" si="315"/>
        <v>0</v>
      </c>
      <c r="U606" s="74">
        <f t="shared" si="315"/>
        <v>0</v>
      </c>
      <c r="V606" s="74">
        <f t="shared" si="315"/>
        <v>0</v>
      </c>
      <c r="W606" s="74">
        <f t="shared" si="315"/>
        <v>0</v>
      </c>
      <c r="X606" s="74">
        <f t="shared" si="315"/>
        <v>0</v>
      </c>
      <c r="Y606" s="74">
        <f t="shared" si="315"/>
        <v>0</v>
      </c>
      <c r="Z606" s="74">
        <f t="shared" si="315"/>
        <v>0</v>
      </c>
    </row>
    <row r="607" hidden="1" outlineLevel="1">
      <c r="A607" s="16"/>
      <c r="B607" s="93">
        <f t="shared" si="313"/>
        <v>5</v>
      </c>
      <c r="C607" s="40"/>
      <c r="D607" s="16" t="s">
        <v>177</v>
      </c>
      <c r="E607" s="74">
        <f t="shared" si="108"/>
        <v>0</v>
      </c>
      <c r="F607" s="74"/>
      <c r="G607" s="74">
        <f t="shared" ref="G607:Z607" si="316">F607+G523</f>
        <v>0</v>
      </c>
      <c r="H607" s="74">
        <f t="shared" si="316"/>
        <v>0</v>
      </c>
      <c r="I607" s="74">
        <f t="shared" si="316"/>
        <v>0</v>
      </c>
      <c r="J607" s="74">
        <f t="shared" si="316"/>
        <v>0</v>
      </c>
      <c r="K607" s="74">
        <f t="shared" si="316"/>
        <v>0</v>
      </c>
      <c r="L607" s="74">
        <f t="shared" si="316"/>
        <v>0</v>
      </c>
      <c r="M607" s="74">
        <f t="shared" si="316"/>
        <v>0</v>
      </c>
      <c r="N607" s="74">
        <f t="shared" si="316"/>
        <v>0</v>
      </c>
      <c r="O607" s="74">
        <f t="shared" si="316"/>
        <v>0</v>
      </c>
      <c r="P607" s="74">
        <f t="shared" si="316"/>
        <v>0</v>
      </c>
      <c r="Q607" s="74">
        <f t="shared" si="316"/>
        <v>0</v>
      </c>
      <c r="R607" s="74">
        <f t="shared" si="316"/>
        <v>0</v>
      </c>
      <c r="S607" s="74">
        <f t="shared" si="316"/>
        <v>0</v>
      </c>
      <c r="T607" s="74">
        <f t="shared" si="316"/>
        <v>0</v>
      </c>
      <c r="U607" s="74">
        <f t="shared" si="316"/>
        <v>0</v>
      </c>
      <c r="V607" s="74">
        <f t="shared" si="316"/>
        <v>0</v>
      </c>
      <c r="W607" s="74">
        <f t="shared" si="316"/>
        <v>0</v>
      </c>
      <c r="X607" s="74">
        <f t="shared" si="316"/>
        <v>0</v>
      </c>
      <c r="Y607" s="74">
        <f t="shared" si="316"/>
        <v>0</v>
      </c>
      <c r="Z607" s="74">
        <f t="shared" si="316"/>
        <v>0</v>
      </c>
    </row>
    <row r="608" hidden="1" outlineLevel="1">
      <c r="A608" s="16"/>
      <c r="B608" s="93">
        <f t="shared" si="313"/>
        <v>6</v>
      </c>
      <c r="C608" s="40"/>
      <c r="D608" s="16" t="s">
        <v>177</v>
      </c>
      <c r="E608" s="74">
        <f t="shared" si="108"/>
        <v>0</v>
      </c>
      <c r="F608" s="74"/>
      <c r="G608" s="74">
        <f t="shared" ref="G608:Z608" si="317">F608+G524</f>
        <v>0</v>
      </c>
      <c r="H608" s="74">
        <f t="shared" si="317"/>
        <v>0</v>
      </c>
      <c r="I608" s="74">
        <f t="shared" si="317"/>
        <v>0</v>
      </c>
      <c r="J608" s="74">
        <f t="shared" si="317"/>
        <v>0</v>
      </c>
      <c r="K608" s="74">
        <f t="shared" si="317"/>
        <v>0</v>
      </c>
      <c r="L608" s="74">
        <f t="shared" si="317"/>
        <v>0</v>
      </c>
      <c r="M608" s="74">
        <f t="shared" si="317"/>
        <v>0</v>
      </c>
      <c r="N608" s="74">
        <f t="shared" si="317"/>
        <v>0</v>
      </c>
      <c r="O608" s="74">
        <f t="shared" si="317"/>
        <v>0</v>
      </c>
      <c r="P608" s="74">
        <f t="shared" si="317"/>
        <v>0</v>
      </c>
      <c r="Q608" s="74">
        <f t="shared" si="317"/>
        <v>0</v>
      </c>
      <c r="R608" s="74">
        <f t="shared" si="317"/>
        <v>0</v>
      </c>
      <c r="S608" s="74">
        <f t="shared" si="317"/>
        <v>0</v>
      </c>
      <c r="T608" s="74">
        <f t="shared" si="317"/>
        <v>0</v>
      </c>
      <c r="U608" s="74">
        <f t="shared" si="317"/>
        <v>0</v>
      </c>
      <c r="V608" s="74">
        <f t="shared" si="317"/>
        <v>0</v>
      </c>
      <c r="W608" s="74">
        <f t="shared" si="317"/>
        <v>0</v>
      </c>
      <c r="X608" s="74">
        <f t="shared" si="317"/>
        <v>0</v>
      </c>
      <c r="Y608" s="74">
        <f t="shared" si="317"/>
        <v>0</v>
      </c>
      <c r="Z608" s="74">
        <f t="shared" si="317"/>
        <v>0</v>
      </c>
    </row>
    <row r="609" hidden="1" outlineLevel="1">
      <c r="A609" s="16"/>
      <c r="B609" s="93">
        <f t="shared" si="313"/>
        <v>7</v>
      </c>
      <c r="C609" s="40"/>
      <c r="D609" s="16" t="s">
        <v>177</v>
      </c>
      <c r="E609" s="74">
        <f t="shared" si="108"/>
        <v>0</v>
      </c>
      <c r="F609" s="74"/>
      <c r="G609" s="74">
        <f t="shared" ref="G609:Z609" si="318">F609+G525</f>
        <v>0</v>
      </c>
      <c r="H609" s="74">
        <f t="shared" si="318"/>
        <v>0</v>
      </c>
      <c r="I609" s="74">
        <f t="shared" si="318"/>
        <v>0</v>
      </c>
      <c r="J609" s="74">
        <f t="shared" si="318"/>
        <v>0</v>
      </c>
      <c r="K609" s="74">
        <f t="shared" si="318"/>
        <v>0</v>
      </c>
      <c r="L609" s="74">
        <f t="shared" si="318"/>
        <v>0</v>
      </c>
      <c r="M609" s="74">
        <f t="shared" si="318"/>
        <v>0</v>
      </c>
      <c r="N609" s="74">
        <f t="shared" si="318"/>
        <v>0</v>
      </c>
      <c r="O609" s="74">
        <f t="shared" si="318"/>
        <v>0</v>
      </c>
      <c r="P609" s="74">
        <f t="shared" si="318"/>
        <v>0</v>
      </c>
      <c r="Q609" s="74">
        <f t="shared" si="318"/>
        <v>0</v>
      </c>
      <c r="R609" s="74">
        <f t="shared" si="318"/>
        <v>0</v>
      </c>
      <c r="S609" s="74">
        <f t="shared" si="318"/>
        <v>0</v>
      </c>
      <c r="T609" s="74">
        <f t="shared" si="318"/>
        <v>0</v>
      </c>
      <c r="U609" s="74">
        <f t="shared" si="318"/>
        <v>0</v>
      </c>
      <c r="V609" s="74">
        <f t="shared" si="318"/>
        <v>0</v>
      </c>
      <c r="W609" s="74">
        <f t="shared" si="318"/>
        <v>0</v>
      </c>
      <c r="X609" s="74">
        <f t="shared" si="318"/>
        <v>0</v>
      </c>
      <c r="Y609" s="74">
        <f t="shared" si="318"/>
        <v>0</v>
      </c>
      <c r="Z609" s="74">
        <f t="shared" si="318"/>
        <v>0</v>
      </c>
    </row>
    <row r="610" hidden="1" outlineLevel="1">
      <c r="A610" s="16"/>
      <c r="B610" s="93">
        <f t="shared" si="313"/>
        <v>8</v>
      </c>
      <c r="C610" s="40"/>
      <c r="D610" s="16" t="s">
        <v>177</v>
      </c>
      <c r="E610" s="74">
        <f t="shared" si="108"/>
        <v>0</v>
      </c>
      <c r="F610" s="74"/>
      <c r="G610" s="74">
        <f t="shared" ref="G610:Z610" si="319">F610+G526</f>
        <v>0</v>
      </c>
      <c r="H610" s="74">
        <f t="shared" si="319"/>
        <v>0</v>
      </c>
      <c r="I610" s="74">
        <f t="shared" si="319"/>
        <v>0</v>
      </c>
      <c r="J610" s="74">
        <f t="shared" si="319"/>
        <v>0</v>
      </c>
      <c r="K610" s="74">
        <f t="shared" si="319"/>
        <v>0</v>
      </c>
      <c r="L610" s="74">
        <f t="shared" si="319"/>
        <v>0</v>
      </c>
      <c r="M610" s="74">
        <f t="shared" si="319"/>
        <v>0</v>
      </c>
      <c r="N610" s="74">
        <f t="shared" si="319"/>
        <v>0</v>
      </c>
      <c r="O610" s="74">
        <f t="shared" si="319"/>
        <v>0</v>
      </c>
      <c r="P610" s="74">
        <f t="shared" si="319"/>
        <v>0</v>
      </c>
      <c r="Q610" s="74">
        <f t="shared" si="319"/>
        <v>0</v>
      </c>
      <c r="R610" s="74">
        <f t="shared" si="319"/>
        <v>0</v>
      </c>
      <c r="S610" s="74">
        <f t="shared" si="319"/>
        <v>0</v>
      </c>
      <c r="T610" s="74">
        <f t="shared" si="319"/>
        <v>0</v>
      </c>
      <c r="U610" s="74">
        <f t="shared" si="319"/>
        <v>0</v>
      </c>
      <c r="V610" s="74">
        <f t="shared" si="319"/>
        <v>0</v>
      </c>
      <c r="W610" s="74">
        <f t="shared" si="319"/>
        <v>0</v>
      </c>
      <c r="X610" s="74">
        <f t="shared" si="319"/>
        <v>0</v>
      </c>
      <c r="Y610" s="74">
        <f t="shared" si="319"/>
        <v>0</v>
      </c>
      <c r="Z610" s="74">
        <f t="shared" si="319"/>
        <v>0</v>
      </c>
    </row>
    <row r="611" hidden="1" outlineLevel="1">
      <c r="A611" s="16"/>
      <c r="B611" s="93">
        <f t="shared" si="313"/>
        <v>9</v>
      </c>
      <c r="C611" s="40"/>
      <c r="D611" s="16" t="s">
        <v>177</v>
      </c>
      <c r="E611" s="74">
        <f t="shared" si="108"/>
        <v>0</v>
      </c>
      <c r="F611" s="74"/>
      <c r="G611" s="74">
        <f t="shared" ref="G611:Z611" si="320">F611+G527</f>
        <v>0</v>
      </c>
      <c r="H611" s="74">
        <f t="shared" si="320"/>
        <v>0</v>
      </c>
      <c r="I611" s="74">
        <f t="shared" si="320"/>
        <v>0</v>
      </c>
      <c r="J611" s="74">
        <f t="shared" si="320"/>
        <v>0</v>
      </c>
      <c r="K611" s="74">
        <f t="shared" si="320"/>
        <v>0</v>
      </c>
      <c r="L611" s="74">
        <f t="shared" si="320"/>
        <v>0</v>
      </c>
      <c r="M611" s="74">
        <f t="shared" si="320"/>
        <v>0</v>
      </c>
      <c r="N611" s="74">
        <f t="shared" si="320"/>
        <v>0</v>
      </c>
      <c r="O611" s="74">
        <f t="shared" si="320"/>
        <v>0</v>
      </c>
      <c r="P611" s="74">
        <f t="shared" si="320"/>
        <v>0</v>
      </c>
      <c r="Q611" s="74">
        <f t="shared" si="320"/>
        <v>0</v>
      </c>
      <c r="R611" s="74">
        <f t="shared" si="320"/>
        <v>0</v>
      </c>
      <c r="S611" s="74">
        <f t="shared" si="320"/>
        <v>0</v>
      </c>
      <c r="T611" s="74">
        <f t="shared" si="320"/>
        <v>0</v>
      </c>
      <c r="U611" s="74">
        <f t="shared" si="320"/>
        <v>0</v>
      </c>
      <c r="V611" s="74">
        <f t="shared" si="320"/>
        <v>0</v>
      </c>
      <c r="W611" s="74">
        <f t="shared" si="320"/>
        <v>0</v>
      </c>
      <c r="X611" s="74">
        <f t="shared" si="320"/>
        <v>0</v>
      </c>
      <c r="Y611" s="74">
        <f t="shared" si="320"/>
        <v>0</v>
      </c>
      <c r="Z611" s="74">
        <f t="shared" si="320"/>
        <v>0</v>
      </c>
    </row>
    <row r="612" hidden="1" outlineLevel="1">
      <c r="A612" s="16"/>
      <c r="B612" s="93">
        <f t="shared" si="313"/>
        <v>10</v>
      </c>
      <c r="C612" s="40"/>
      <c r="D612" s="16" t="s">
        <v>177</v>
      </c>
      <c r="E612" s="74">
        <f t="shared" si="108"/>
        <v>0</v>
      </c>
      <c r="F612" s="74"/>
      <c r="G612" s="74">
        <f t="shared" ref="G612:Z612" si="321">F612+G528</f>
        <v>0</v>
      </c>
      <c r="H612" s="74">
        <f t="shared" si="321"/>
        <v>0</v>
      </c>
      <c r="I612" s="74">
        <f t="shared" si="321"/>
        <v>0</v>
      </c>
      <c r="J612" s="74">
        <f t="shared" si="321"/>
        <v>0</v>
      </c>
      <c r="K612" s="74">
        <f t="shared" si="321"/>
        <v>0</v>
      </c>
      <c r="L612" s="74">
        <f t="shared" si="321"/>
        <v>0</v>
      </c>
      <c r="M612" s="74">
        <f t="shared" si="321"/>
        <v>0</v>
      </c>
      <c r="N612" s="74">
        <f t="shared" si="321"/>
        <v>0</v>
      </c>
      <c r="O612" s="74">
        <f t="shared" si="321"/>
        <v>0</v>
      </c>
      <c r="P612" s="74">
        <f t="shared" si="321"/>
        <v>0</v>
      </c>
      <c r="Q612" s="74">
        <f t="shared" si="321"/>
        <v>0</v>
      </c>
      <c r="R612" s="74">
        <f t="shared" si="321"/>
        <v>0</v>
      </c>
      <c r="S612" s="74">
        <f t="shared" si="321"/>
        <v>0</v>
      </c>
      <c r="T612" s="74">
        <f t="shared" si="321"/>
        <v>0</v>
      </c>
      <c r="U612" s="74">
        <f t="shared" si="321"/>
        <v>0</v>
      </c>
      <c r="V612" s="74">
        <f t="shared" si="321"/>
        <v>0</v>
      </c>
      <c r="W612" s="74">
        <f t="shared" si="321"/>
        <v>0</v>
      </c>
      <c r="X612" s="74">
        <f t="shared" si="321"/>
        <v>0</v>
      </c>
      <c r="Y612" s="74">
        <f t="shared" si="321"/>
        <v>0</v>
      </c>
      <c r="Z612" s="74">
        <f t="shared" si="321"/>
        <v>0</v>
      </c>
    </row>
    <row r="613" hidden="1" outlineLevel="1">
      <c r="A613" s="16"/>
      <c r="B613" s="93">
        <f t="shared" si="313"/>
        <v>11</v>
      </c>
      <c r="C613" s="40"/>
      <c r="D613" s="16" t="s">
        <v>177</v>
      </c>
      <c r="E613" s="74">
        <f t="shared" si="108"/>
        <v>0</v>
      </c>
      <c r="F613" s="74"/>
      <c r="G613" s="74">
        <f t="shared" ref="G613:Z613" si="322">F613+G529</f>
        <v>0</v>
      </c>
      <c r="H613" s="74">
        <f t="shared" si="322"/>
        <v>0</v>
      </c>
      <c r="I613" s="74">
        <f t="shared" si="322"/>
        <v>0</v>
      </c>
      <c r="J613" s="74">
        <f t="shared" si="322"/>
        <v>0</v>
      </c>
      <c r="K613" s="74">
        <f t="shared" si="322"/>
        <v>0</v>
      </c>
      <c r="L613" s="74">
        <f t="shared" si="322"/>
        <v>0</v>
      </c>
      <c r="M613" s="74">
        <f t="shared" si="322"/>
        <v>0</v>
      </c>
      <c r="N613" s="74">
        <f t="shared" si="322"/>
        <v>0</v>
      </c>
      <c r="O613" s="74">
        <f t="shared" si="322"/>
        <v>0</v>
      </c>
      <c r="P613" s="74">
        <f t="shared" si="322"/>
        <v>0</v>
      </c>
      <c r="Q613" s="74">
        <f t="shared" si="322"/>
        <v>0</v>
      </c>
      <c r="R613" s="74">
        <f t="shared" si="322"/>
        <v>0</v>
      </c>
      <c r="S613" s="74">
        <f t="shared" si="322"/>
        <v>0</v>
      </c>
      <c r="T613" s="74">
        <f t="shared" si="322"/>
        <v>0</v>
      </c>
      <c r="U613" s="74">
        <f t="shared" si="322"/>
        <v>0</v>
      </c>
      <c r="V613" s="74">
        <f t="shared" si="322"/>
        <v>0</v>
      </c>
      <c r="W613" s="74">
        <f t="shared" si="322"/>
        <v>0</v>
      </c>
      <c r="X613" s="74">
        <f t="shared" si="322"/>
        <v>0</v>
      </c>
      <c r="Y613" s="74">
        <f t="shared" si="322"/>
        <v>0</v>
      </c>
      <c r="Z613" s="74">
        <f t="shared" si="322"/>
        <v>0</v>
      </c>
    </row>
    <row r="614" hidden="1" outlineLevel="1">
      <c r="A614" s="16"/>
      <c r="B614" s="93">
        <f t="shared" si="313"/>
        <v>12</v>
      </c>
      <c r="C614" s="40"/>
      <c r="D614" s="16" t="s">
        <v>177</v>
      </c>
      <c r="E614" s="74">
        <f t="shared" si="108"/>
        <v>0</v>
      </c>
      <c r="F614" s="74"/>
      <c r="G614" s="74">
        <f t="shared" ref="G614:Z614" si="323">F614+G530</f>
        <v>0</v>
      </c>
      <c r="H614" s="74">
        <f t="shared" si="323"/>
        <v>0</v>
      </c>
      <c r="I614" s="74">
        <f t="shared" si="323"/>
        <v>0</v>
      </c>
      <c r="J614" s="74">
        <f t="shared" si="323"/>
        <v>0</v>
      </c>
      <c r="K614" s="74">
        <f t="shared" si="323"/>
        <v>0</v>
      </c>
      <c r="L614" s="74">
        <f t="shared" si="323"/>
        <v>0</v>
      </c>
      <c r="M614" s="74">
        <f t="shared" si="323"/>
        <v>0</v>
      </c>
      <c r="N614" s="74">
        <f t="shared" si="323"/>
        <v>0</v>
      </c>
      <c r="O614" s="74">
        <f t="shared" si="323"/>
        <v>0</v>
      </c>
      <c r="P614" s="74">
        <f t="shared" si="323"/>
        <v>0</v>
      </c>
      <c r="Q614" s="74">
        <f t="shared" si="323"/>
        <v>0</v>
      </c>
      <c r="R614" s="74">
        <f t="shared" si="323"/>
        <v>0</v>
      </c>
      <c r="S614" s="74">
        <f t="shared" si="323"/>
        <v>0</v>
      </c>
      <c r="T614" s="74">
        <f t="shared" si="323"/>
        <v>0</v>
      </c>
      <c r="U614" s="74">
        <f t="shared" si="323"/>
        <v>0</v>
      </c>
      <c r="V614" s="74">
        <f t="shared" si="323"/>
        <v>0</v>
      </c>
      <c r="W614" s="74">
        <f t="shared" si="323"/>
        <v>0</v>
      </c>
      <c r="X614" s="74">
        <f t="shared" si="323"/>
        <v>0</v>
      </c>
      <c r="Y614" s="74">
        <f t="shared" si="323"/>
        <v>0</v>
      </c>
      <c r="Z614" s="74">
        <f t="shared" si="323"/>
        <v>0</v>
      </c>
    </row>
    <row r="615" hidden="1" outlineLevel="1">
      <c r="A615" s="16"/>
      <c r="B615" s="93">
        <f t="shared" si="313"/>
        <v>13</v>
      </c>
      <c r="C615" s="40"/>
      <c r="D615" s="16" t="s">
        <v>177</v>
      </c>
      <c r="E615" s="74">
        <f t="shared" si="108"/>
        <v>0</v>
      </c>
      <c r="F615" s="74"/>
      <c r="G615" s="74">
        <f t="shared" ref="G615:Z615" si="324">F615+G531</f>
        <v>0</v>
      </c>
      <c r="H615" s="74">
        <f t="shared" si="324"/>
        <v>0</v>
      </c>
      <c r="I615" s="74">
        <f t="shared" si="324"/>
        <v>0</v>
      </c>
      <c r="J615" s="74">
        <f t="shared" si="324"/>
        <v>0</v>
      </c>
      <c r="K615" s="74">
        <f t="shared" si="324"/>
        <v>0</v>
      </c>
      <c r="L615" s="74">
        <f t="shared" si="324"/>
        <v>0</v>
      </c>
      <c r="M615" s="74">
        <f t="shared" si="324"/>
        <v>0</v>
      </c>
      <c r="N615" s="74">
        <f t="shared" si="324"/>
        <v>0</v>
      </c>
      <c r="O615" s="74">
        <f t="shared" si="324"/>
        <v>0</v>
      </c>
      <c r="P615" s="74">
        <f t="shared" si="324"/>
        <v>0</v>
      </c>
      <c r="Q615" s="74">
        <f t="shared" si="324"/>
        <v>0</v>
      </c>
      <c r="R615" s="74">
        <f t="shared" si="324"/>
        <v>0</v>
      </c>
      <c r="S615" s="74">
        <f t="shared" si="324"/>
        <v>0</v>
      </c>
      <c r="T615" s="74">
        <f t="shared" si="324"/>
        <v>0</v>
      </c>
      <c r="U615" s="74">
        <f t="shared" si="324"/>
        <v>0</v>
      </c>
      <c r="V615" s="74">
        <f t="shared" si="324"/>
        <v>0</v>
      </c>
      <c r="W615" s="74">
        <f t="shared" si="324"/>
        <v>0</v>
      </c>
      <c r="X615" s="74">
        <f t="shared" si="324"/>
        <v>0</v>
      </c>
      <c r="Y615" s="74">
        <f t="shared" si="324"/>
        <v>0</v>
      </c>
      <c r="Z615" s="74">
        <f t="shared" si="324"/>
        <v>0</v>
      </c>
    </row>
    <row r="616" hidden="1" outlineLevel="1">
      <c r="A616" s="16"/>
      <c r="B616" s="93">
        <f t="shared" si="313"/>
        <v>14</v>
      </c>
      <c r="C616" s="40"/>
      <c r="D616" s="16" t="s">
        <v>177</v>
      </c>
      <c r="E616" s="74">
        <f t="shared" si="108"/>
        <v>0</v>
      </c>
      <c r="F616" s="74"/>
      <c r="G616" s="74">
        <f t="shared" ref="G616:Z616" si="325">F616+G532</f>
        <v>0</v>
      </c>
      <c r="H616" s="74">
        <f t="shared" si="325"/>
        <v>0</v>
      </c>
      <c r="I616" s="74">
        <f t="shared" si="325"/>
        <v>0</v>
      </c>
      <c r="J616" s="74">
        <f t="shared" si="325"/>
        <v>0</v>
      </c>
      <c r="K616" s="74">
        <f t="shared" si="325"/>
        <v>0</v>
      </c>
      <c r="L616" s="74">
        <f t="shared" si="325"/>
        <v>0</v>
      </c>
      <c r="M616" s="74">
        <f t="shared" si="325"/>
        <v>0</v>
      </c>
      <c r="N616" s="74">
        <f t="shared" si="325"/>
        <v>0</v>
      </c>
      <c r="O616" s="74">
        <f t="shared" si="325"/>
        <v>0</v>
      </c>
      <c r="P616" s="74">
        <f t="shared" si="325"/>
        <v>0</v>
      </c>
      <c r="Q616" s="74">
        <f t="shared" si="325"/>
        <v>0</v>
      </c>
      <c r="R616" s="74">
        <f t="shared" si="325"/>
        <v>0</v>
      </c>
      <c r="S616" s="74">
        <f t="shared" si="325"/>
        <v>0</v>
      </c>
      <c r="T616" s="74">
        <f t="shared" si="325"/>
        <v>0</v>
      </c>
      <c r="U616" s="74">
        <f t="shared" si="325"/>
        <v>0</v>
      </c>
      <c r="V616" s="74">
        <f t="shared" si="325"/>
        <v>0</v>
      </c>
      <c r="W616" s="74">
        <f t="shared" si="325"/>
        <v>0</v>
      </c>
      <c r="X616" s="74">
        <f t="shared" si="325"/>
        <v>0</v>
      </c>
      <c r="Y616" s="74">
        <f t="shared" si="325"/>
        <v>0</v>
      </c>
      <c r="Z616" s="74">
        <f t="shared" si="325"/>
        <v>0</v>
      </c>
    </row>
    <row r="617" hidden="1" outlineLevel="1">
      <c r="A617" s="16"/>
      <c r="B617" s="93">
        <f t="shared" si="313"/>
        <v>15</v>
      </c>
      <c r="C617" s="40"/>
      <c r="D617" s="16" t="s">
        <v>177</v>
      </c>
      <c r="E617" s="74">
        <f t="shared" si="108"/>
        <v>0</v>
      </c>
      <c r="F617" s="74"/>
      <c r="G617" s="74">
        <f t="shared" ref="G617:Z617" si="326">F617+G533</f>
        <v>0</v>
      </c>
      <c r="H617" s="74">
        <f t="shared" si="326"/>
        <v>0</v>
      </c>
      <c r="I617" s="74">
        <f t="shared" si="326"/>
        <v>0</v>
      </c>
      <c r="J617" s="74">
        <f t="shared" si="326"/>
        <v>0</v>
      </c>
      <c r="K617" s="74">
        <f t="shared" si="326"/>
        <v>0</v>
      </c>
      <c r="L617" s="74">
        <f t="shared" si="326"/>
        <v>0</v>
      </c>
      <c r="M617" s="74">
        <f t="shared" si="326"/>
        <v>0</v>
      </c>
      <c r="N617" s="74">
        <f t="shared" si="326"/>
        <v>0</v>
      </c>
      <c r="O617" s="74">
        <f t="shared" si="326"/>
        <v>0</v>
      </c>
      <c r="P617" s="74">
        <f t="shared" si="326"/>
        <v>0</v>
      </c>
      <c r="Q617" s="74">
        <f t="shared" si="326"/>
        <v>0</v>
      </c>
      <c r="R617" s="74">
        <f t="shared" si="326"/>
        <v>0</v>
      </c>
      <c r="S617" s="74">
        <f t="shared" si="326"/>
        <v>0</v>
      </c>
      <c r="T617" s="74">
        <f t="shared" si="326"/>
        <v>0</v>
      </c>
      <c r="U617" s="74">
        <f t="shared" si="326"/>
        <v>0</v>
      </c>
      <c r="V617" s="74">
        <f t="shared" si="326"/>
        <v>0</v>
      </c>
      <c r="W617" s="74">
        <f t="shared" si="326"/>
        <v>0</v>
      </c>
      <c r="X617" s="74">
        <f t="shared" si="326"/>
        <v>0</v>
      </c>
      <c r="Y617" s="74">
        <f t="shared" si="326"/>
        <v>0</v>
      </c>
      <c r="Z617" s="74">
        <f t="shared" si="326"/>
        <v>0</v>
      </c>
    </row>
    <row r="618" hidden="1" outlineLevel="1">
      <c r="A618" s="16"/>
      <c r="B618" s="93">
        <f t="shared" si="313"/>
        <v>16</v>
      </c>
      <c r="C618" s="40"/>
      <c r="D618" s="16" t="s">
        <v>177</v>
      </c>
      <c r="E618" s="74">
        <f t="shared" si="108"/>
        <v>0</v>
      </c>
      <c r="F618" s="74"/>
      <c r="G618" s="74">
        <f t="shared" ref="G618:Z618" si="327">F618+G534</f>
        <v>0</v>
      </c>
      <c r="H618" s="74">
        <f t="shared" si="327"/>
        <v>0</v>
      </c>
      <c r="I618" s="74">
        <f t="shared" si="327"/>
        <v>0</v>
      </c>
      <c r="J618" s="74">
        <f t="shared" si="327"/>
        <v>0</v>
      </c>
      <c r="K618" s="74">
        <f t="shared" si="327"/>
        <v>0</v>
      </c>
      <c r="L618" s="74">
        <f t="shared" si="327"/>
        <v>0</v>
      </c>
      <c r="M618" s="74">
        <f t="shared" si="327"/>
        <v>0</v>
      </c>
      <c r="N618" s="74">
        <f t="shared" si="327"/>
        <v>0</v>
      </c>
      <c r="O618" s="74">
        <f t="shared" si="327"/>
        <v>0</v>
      </c>
      <c r="P618" s="74">
        <f t="shared" si="327"/>
        <v>0</v>
      </c>
      <c r="Q618" s="74">
        <f t="shared" si="327"/>
        <v>0</v>
      </c>
      <c r="R618" s="74">
        <f t="shared" si="327"/>
        <v>0</v>
      </c>
      <c r="S618" s="74">
        <f t="shared" si="327"/>
        <v>0</v>
      </c>
      <c r="T618" s="74">
        <f t="shared" si="327"/>
        <v>0</v>
      </c>
      <c r="U618" s="74">
        <f t="shared" si="327"/>
        <v>0</v>
      </c>
      <c r="V618" s="74">
        <f t="shared" si="327"/>
        <v>0</v>
      </c>
      <c r="W618" s="74">
        <f t="shared" si="327"/>
        <v>0</v>
      </c>
      <c r="X618" s="74">
        <f t="shared" si="327"/>
        <v>0</v>
      </c>
      <c r="Y618" s="74">
        <f t="shared" si="327"/>
        <v>0</v>
      </c>
      <c r="Z618" s="74">
        <f t="shared" si="327"/>
        <v>0</v>
      </c>
    </row>
    <row r="619" hidden="1" outlineLevel="1">
      <c r="A619" s="16"/>
      <c r="B619" s="93">
        <f t="shared" si="313"/>
        <v>17</v>
      </c>
      <c r="C619" s="40"/>
      <c r="D619" s="16" t="s">
        <v>177</v>
      </c>
      <c r="E619" s="74">
        <f t="shared" si="108"/>
        <v>0</v>
      </c>
      <c r="F619" s="74"/>
      <c r="G619" s="74">
        <f t="shared" ref="G619:Z619" si="328">F619+G535</f>
        <v>0</v>
      </c>
      <c r="H619" s="74">
        <f t="shared" si="328"/>
        <v>0</v>
      </c>
      <c r="I619" s="74">
        <f t="shared" si="328"/>
        <v>0</v>
      </c>
      <c r="J619" s="74">
        <f t="shared" si="328"/>
        <v>0</v>
      </c>
      <c r="K619" s="74">
        <f t="shared" si="328"/>
        <v>0</v>
      </c>
      <c r="L619" s="74">
        <f t="shared" si="328"/>
        <v>0</v>
      </c>
      <c r="M619" s="74">
        <f t="shared" si="328"/>
        <v>0</v>
      </c>
      <c r="N619" s="74">
        <f t="shared" si="328"/>
        <v>0</v>
      </c>
      <c r="O619" s="74">
        <f t="shared" si="328"/>
        <v>0</v>
      </c>
      <c r="P619" s="74">
        <f t="shared" si="328"/>
        <v>0</v>
      </c>
      <c r="Q619" s="74">
        <f t="shared" si="328"/>
        <v>0</v>
      </c>
      <c r="R619" s="74">
        <f t="shared" si="328"/>
        <v>0</v>
      </c>
      <c r="S619" s="74">
        <f t="shared" si="328"/>
        <v>0</v>
      </c>
      <c r="T619" s="74">
        <f t="shared" si="328"/>
        <v>0</v>
      </c>
      <c r="U619" s="74">
        <f t="shared" si="328"/>
        <v>0</v>
      </c>
      <c r="V619" s="74">
        <f t="shared" si="328"/>
        <v>0</v>
      </c>
      <c r="W619" s="74">
        <f t="shared" si="328"/>
        <v>0</v>
      </c>
      <c r="X619" s="74">
        <f t="shared" si="328"/>
        <v>0</v>
      </c>
      <c r="Y619" s="74">
        <f t="shared" si="328"/>
        <v>0</v>
      </c>
      <c r="Z619" s="74">
        <f t="shared" si="328"/>
        <v>0</v>
      </c>
    </row>
    <row r="620" hidden="1" outlineLevel="1">
      <c r="A620" s="16"/>
      <c r="B620" s="93">
        <f t="shared" si="313"/>
        <v>18</v>
      </c>
      <c r="C620" s="40"/>
      <c r="D620" s="16" t="s">
        <v>177</v>
      </c>
      <c r="E620" s="74">
        <f t="shared" si="108"/>
        <v>0</v>
      </c>
      <c r="F620" s="74"/>
      <c r="G620" s="74">
        <f t="shared" ref="G620:Z620" si="329">F620+G536</f>
        <v>0</v>
      </c>
      <c r="H620" s="74">
        <f t="shared" si="329"/>
        <v>0</v>
      </c>
      <c r="I620" s="74">
        <f t="shared" si="329"/>
        <v>0</v>
      </c>
      <c r="J620" s="74">
        <f t="shared" si="329"/>
        <v>0</v>
      </c>
      <c r="K620" s="74">
        <f t="shared" si="329"/>
        <v>0</v>
      </c>
      <c r="L620" s="74">
        <f t="shared" si="329"/>
        <v>0</v>
      </c>
      <c r="M620" s="74">
        <f t="shared" si="329"/>
        <v>0</v>
      </c>
      <c r="N620" s="74">
        <f t="shared" si="329"/>
        <v>0</v>
      </c>
      <c r="O620" s="74">
        <f t="shared" si="329"/>
        <v>0</v>
      </c>
      <c r="P620" s="74">
        <f t="shared" si="329"/>
        <v>0</v>
      </c>
      <c r="Q620" s="74">
        <f t="shared" si="329"/>
        <v>0</v>
      </c>
      <c r="R620" s="74">
        <f t="shared" si="329"/>
        <v>0</v>
      </c>
      <c r="S620" s="74">
        <f t="shared" si="329"/>
        <v>0</v>
      </c>
      <c r="T620" s="74">
        <f t="shared" si="329"/>
        <v>0</v>
      </c>
      <c r="U620" s="74">
        <f t="shared" si="329"/>
        <v>0</v>
      </c>
      <c r="V620" s="74">
        <f t="shared" si="329"/>
        <v>0</v>
      </c>
      <c r="W620" s="74">
        <f t="shared" si="329"/>
        <v>0</v>
      </c>
      <c r="X620" s="74">
        <f t="shared" si="329"/>
        <v>0</v>
      </c>
      <c r="Y620" s="74">
        <f t="shared" si="329"/>
        <v>0</v>
      </c>
      <c r="Z620" s="74">
        <f t="shared" si="329"/>
        <v>0</v>
      </c>
    </row>
    <row r="621" hidden="1" outlineLevel="1">
      <c r="A621" s="16"/>
      <c r="B621" s="93">
        <f t="shared" si="313"/>
        <v>19</v>
      </c>
      <c r="C621" s="40"/>
      <c r="D621" s="16" t="s">
        <v>177</v>
      </c>
      <c r="E621" s="74">
        <f t="shared" si="108"/>
        <v>0</v>
      </c>
      <c r="F621" s="74"/>
      <c r="G621" s="74">
        <f t="shared" ref="G621:Z621" si="330">F621+G537</f>
        <v>0</v>
      </c>
      <c r="H621" s="74">
        <f t="shared" si="330"/>
        <v>0</v>
      </c>
      <c r="I621" s="74">
        <f t="shared" si="330"/>
        <v>0</v>
      </c>
      <c r="J621" s="74">
        <f t="shared" si="330"/>
        <v>0</v>
      </c>
      <c r="K621" s="74">
        <f t="shared" si="330"/>
        <v>0</v>
      </c>
      <c r="L621" s="74">
        <f t="shared" si="330"/>
        <v>0</v>
      </c>
      <c r="M621" s="74">
        <f t="shared" si="330"/>
        <v>0</v>
      </c>
      <c r="N621" s="74">
        <f t="shared" si="330"/>
        <v>0</v>
      </c>
      <c r="O621" s="74">
        <f t="shared" si="330"/>
        <v>0</v>
      </c>
      <c r="P621" s="74">
        <f t="shared" si="330"/>
        <v>0</v>
      </c>
      <c r="Q621" s="74">
        <f t="shared" si="330"/>
        <v>0</v>
      </c>
      <c r="R621" s="74">
        <f t="shared" si="330"/>
        <v>0</v>
      </c>
      <c r="S621" s="74">
        <f t="shared" si="330"/>
        <v>0</v>
      </c>
      <c r="T621" s="74">
        <f t="shared" si="330"/>
        <v>0</v>
      </c>
      <c r="U621" s="74">
        <f t="shared" si="330"/>
        <v>0</v>
      </c>
      <c r="V621" s="74">
        <f t="shared" si="330"/>
        <v>0</v>
      </c>
      <c r="W621" s="74">
        <f t="shared" si="330"/>
        <v>0</v>
      </c>
      <c r="X621" s="74">
        <f t="shared" si="330"/>
        <v>0</v>
      </c>
      <c r="Y621" s="74">
        <f t="shared" si="330"/>
        <v>0</v>
      </c>
      <c r="Z621" s="74">
        <f t="shared" si="330"/>
        <v>0</v>
      </c>
    </row>
    <row r="622" hidden="1" outlineLevel="1">
      <c r="A622" s="16"/>
      <c r="B622" s="93">
        <f t="shared" si="313"/>
        <v>20</v>
      </c>
      <c r="C622" s="40"/>
      <c r="D622" s="16" t="s">
        <v>177</v>
      </c>
      <c r="E622" s="74">
        <f t="shared" si="108"/>
        <v>0</v>
      </c>
      <c r="F622" s="74"/>
      <c r="G622" s="74">
        <f t="shared" ref="G622:Z622" si="331">F622+G538</f>
        <v>0</v>
      </c>
      <c r="H622" s="74">
        <f t="shared" si="331"/>
        <v>0</v>
      </c>
      <c r="I622" s="74">
        <f t="shared" si="331"/>
        <v>0</v>
      </c>
      <c r="J622" s="74">
        <f t="shared" si="331"/>
        <v>0</v>
      </c>
      <c r="K622" s="74">
        <f t="shared" si="331"/>
        <v>0</v>
      </c>
      <c r="L622" s="74">
        <f t="shared" si="331"/>
        <v>0</v>
      </c>
      <c r="M622" s="74">
        <f t="shared" si="331"/>
        <v>0</v>
      </c>
      <c r="N622" s="74">
        <f t="shared" si="331"/>
        <v>0</v>
      </c>
      <c r="O622" s="74">
        <f t="shared" si="331"/>
        <v>0</v>
      </c>
      <c r="P622" s="74">
        <f t="shared" si="331"/>
        <v>0</v>
      </c>
      <c r="Q622" s="74">
        <f t="shared" si="331"/>
        <v>0</v>
      </c>
      <c r="R622" s="74">
        <f t="shared" si="331"/>
        <v>0</v>
      </c>
      <c r="S622" s="74">
        <f t="shared" si="331"/>
        <v>0</v>
      </c>
      <c r="T622" s="74">
        <f t="shared" si="331"/>
        <v>0</v>
      </c>
      <c r="U622" s="74">
        <f t="shared" si="331"/>
        <v>0</v>
      </c>
      <c r="V622" s="74">
        <f t="shared" si="331"/>
        <v>0</v>
      </c>
      <c r="W622" s="74">
        <f t="shared" si="331"/>
        <v>0</v>
      </c>
      <c r="X622" s="74">
        <f t="shared" si="331"/>
        <v>0</v>
      </c>
      <c r="Y622" s="74">
        <f t="shared" si="331"/>
        <v>0</v>
      </c>
      <c r="Z622" s="74">
        <f t="shared" si="331"/>
        <v>0</v>
      </c>
    </row>
    <row r="623" collapsed="1">
      <c r="B623" s="16" t="s">
        <v>214</v>
      </c>
      <c r="C623" s="16"/>
      <c r="D623" s="16" t="s">
        <v>161</v>
      </c>
      <c r="E623" s="74">
        <f t="shared" si="108"/>
        <v>352844800</v>
      </c>
      <c r="F623" s="78"/>
      <c r="G623" s="77">
        <f t="shared" ref="G623:Z623" si="332">sum(G624:G643)</f>
        <v>0</v>
      </c>
      <c r="H623" s="77">
        <f t="shared" si="332"/>
        <v>0</v>
      </c>
      <c r="I623" s="77">
        <f t="shared" si="332"/>
        <v>0</v>
      </c>
      <c r="J623" s="77">
        <f t="shared" si="332"/>
        <v>359342.5</v>
      </c>
      <c r="K623" s="77">
        <f t="shared" si="332"/>
        <v>359342.5</v>
      </c>
      <c r="L623" s="77">
        <f t="shared" si="332"/>
        <v>4302265</v>
      </c>
      <c r="M623" s="77">
        <f t="shared" si="332"/>
        <v>10151835.83</v>
      </c>
      <c r="N623" s="77">
        <f t="shared" si="332"/>
        <v>14032406.67</v>
      </c>
      <c r="O623" s="77">
        <f t="shared" si="332"/>
        <v>38805708.33</v>
      </c>
      <c r="P623" s="77">
        <f t="shared" si="332"/>
        <v>57432448.33</v>
      </c>
      <c r="Q623" s="77">
        <f t="shared" si="332"/>
        <v>78387530.83</v>
      </c>
      <c r="R623" s="77">
        <f t="shared" si="332"/>
        <v>74506960</v>
      </c>
      <c r="S623" s="77">
        <f t="shared" si="332"/>
        <v>49671306.67</v>
      </c>
      <c r="T623" s="77">
        <f t="shared" si="332"/>
        <v>24835653.33</v>
      </c>
      <c r="U623" s="77">
        <f t="shared" si="332"/>
        <v>0</v>
      </c>
      <c r="V623" s="77">
        <f t="shared" si="332"/>
        <v>0</v>
      </c>
      <c r="W623" s="77">
        <f t="shared" si="332"/>
        <v>0</v>
      </c>
      <c r="X623" s="77">
        <f t="shared" si="332"/>
        <v>0</v>
      </c>
      <c r="Y623" s="77">
        <f t="shared" si="332"/>
        <v>0</v>
      </c>
      <c r="Z623" s="77">
        <f t="shared" si="332"/>
        <v>0</v>
      </c>
    </row>
    <row r="624" hidden="1" outlineLevel="1">
      <c r="A624" s="16"/>
      <c r="B624" s="93">
        <f>G$4</f>
        <v>1</v>
      </c>
      <c r="C624" s="40"/>
      <c r="D624" s="16" t="s">
        <v>161</v>
      </c>
      <c r="E624" s="74">
        <f t="shared" si="108"/>
        <v>117614933.3</v>
      </c>
      <c r="F624" s="78"/>
      <c r="G624" s="77">
        <f t="shared" ref="G624:Z624" si="333">G348-abs(G327)</f>
        <v>0</v>
      </c>
      <c r="H624" s="77">
        <f t="shared" si="333"/>
        <v>0</v>
      </c>
      <c r="I624" s="77">
        <f t="shared" si="333"/>
        <v>0</v>
      </c>
      <c r="J624" s="77">
        <f t="shared" si="333"/>
        <v>359342.5</v>
      </c>
      <c r="K624" s="77">
        <f t="shared" si="333"/>
        <v>0</v>
      </c>
      <c r="L624" s="77">
        <f t="shared" si="333"/>
        <v>3942922.5</v>
      </c>
      <c r="M624" s="77">
        <f t="shared" si="333"/>
        <v>6208913.333</v>
      </c>
      <c r="N624" s="77">
        <f t="shared" si="333"/>
        <v>3880570.833</v>
      </c>
      <c r="O624" s="77">
        <f t="shared" si="333"/>
        <v>28716224.17</v>
      </c>
      <c r="P624" s="77">
        <f t="shared" si="333"/>
        <v>24835653.33</v>
      </c>
      <c r="Q624" s="77">
        <f t="shared" si="333"/>
        <v>24835653.33</v>
      </c>
      <c r="R624" s="77">
        <f t="shared" si="333"/>
        <v>24835653.33</v>
      </c>
      <c r="S624" s="77">
        <f t="shared" si="333"/>
        <v>0</v>
      </c>
      <c r="T624" s="77">
        <f t="shared" si="333"/>
        <v>0</v>
      </c>
      <c r="U624" s="77">
        <f t="shared" si="333"/>
        <v>0</v>
      </c>
      <c r="V624" s="77">
        <f t="shared" si="333"/>
        <v>0</v>
      </c>
      <c r="W624" s="77">
        <f t="shared" si="333"/>
        <v>0</v>
      </c>
      <c r="X624" s="77">
        <f t="shared" si="333"/>
        <v>0</v>
      </c>
      <c r="Y624" s="77">
        <f t="shared" si="333"/>
        <v>0</v>
      </c>
      <c r="Z624" s="77">
        <f t="shared" si="333"/>
        <v>0</v>
      </c>
    </row>
    <row r="625" hidden="1" outlineLevel="1">
      <c r="A625" s="16"/>
      <c r="B625" s="93">
        <f t="shared" ref="B625:B643" si="335">B624+1</f>
        <v>2</v>
      </c>
      <c r="C625" s="40"/>
      <c r="D625" s="16" t="s">
        <v>161</v>
      </c>
      <c r="E625" s="74">
        <f t="shared" si="108"/>
        <v>117614933.3</v>
      </c>
      <c r="F625" s="78"/>
      <c r="G625" s="77">
        <f t="shared" ref="G625:Z625" si="334">G349-abs(G328)</f>
        <v>0</v>
      </c>
      <c r="H625" s="77">
        <f t="shared" si="334"/>
        <v>0</v>
      </c>
      <c r="I625" s="77">
        <f t="shared" si="334"/>
        <v>0</v>
      </c>
      <c r="J625" s="77">
        <f t="shared" si="334"/>
        <v>0</v>
      </c>
      <c r="K625" s="77">
        <f t="shared" si="334"/>
        <v>359342.5</v>
      </c>
      <c r="L625" s="77">
        <f t="shared" si="334"/>
        <v>0</v>
      </c>
      <c r="M625" s="77">
        <f t="shared" si="334"/>
        <v>3942922.5</v>
      </c>
      <c r="N625" s="77">
        <f t="shared" si="334"/>
        <v>6208913.333</v>
      </c>
      <c r="O625" s="77">
        <f t="shared" si="334"/>
        <v>3880570.833</v>
      </c>
      <c r="P625" s="77">
        <f t="shared" si="334"/>
        <v>28716224.17</v>
      </c>
      <c r="Q625" s="77">
        <f t="shared" si="334"/>
        <v>24835653.33</v>
      </c>
      <c r="R625" s="77">
        <f t="shared" si="334"/>
        <v>24835653.33</v>
      </c>
      <c r="S625" s="77">
        <f t="shared" si="334"/>
        <v>24835653.33</v>
      </c>
      <c r="T625" s="77">
        <f t="shared" si="334"/>
        <v>0</v>
      </c>
      <c r="U625" s="77">
        <f t="shared" si="334"/>
        <v>0</v>
      </c>
      <c r="V625" s="77">
        <f t="shared" si="334"/>
        <v>0</v>
      </c>
      <c r="W625" s="77">
        <f t="shared" si="334"/>
        <v>0</v>
      </c>
      <c r="X625" s="77">
        <f t="shared" si="334"/>
        <v>0</v>
      </c>
      <c r="Y625" s="77">
        <f t="shared" si="334"/>
        <v>0</v>
      </c>
      <c r="Z625" s="77">
        <f t="shared" si="334"/>
        <v>0</v>
      </c>
    </row>
    <row r="626" hidden="1" outlineLevel="1">
      <c r="A626" s="16"/>
      <c r="B626" s="93">
        <f t="shared" si="335"/>
        <v>3</v>
      </c>
      <c r="C626" s="40"/>
      <c r="D626" s="16" t="s">
        <v>161</v>
      </c>
      <c r="E626" s="74">
        <f t="shared" si="108"/>
        <v>117614933.3</v>
      </c>
      <c r="F626" s="78"/>
      <c r="G626" s="77">
        <f t="shared" ref="G626:Z626" si="336">G350-abs(G329)</f>
        <v>0</v>
      </c>
      <c r="H626" s="77">
        <f t="shared" si="336"/>
        <v>0</v>
      </c>
      <c r="I626" s="77">
        <f t="shared" si="336"/>
        <v>0</v>
      </c>
      <c r="J626" s="77">
        <f t="shared" si="336"/>
        <v>0</v>
      </c>
      <c r="K626" s="77">
        <f t="shared" si="336"/>
        <v>0</v>
      </c>
      <c r="L626" s="77">
        <f t="shared" si="336"/>
        <v>359342.5</v>
      </c>
      <c r="M626" s="77">
        <f t="shared" si="336"/>
        <v>0</v>
      </c>
      <c r="N626" s="77">
        <f t="shared" si="336"/>
        <v>3942922.5</v>
      </c>
      <c r="O626" s="77">
        <f t="shared" si="336"/>
        <v>6208913.333</v>
      </c>
      <c r="P626" s="77">
        <f t="shared" si="336"/>
        <v>3880570.833</v>
      </c>
      <c r="Q626" s="77">
        <f t="shared" si="336"/>
        <v>28716224.17</v>
      </c>
      <c r="R626" s="77">
        <f t="shared" si="336"/>
        <v>24835653.33</v>
      </c>
      <c r="S626" s="77">
        <f t="shared" si="336"/>
        <v>24835653.33</v>
      </c>
      <c r="T626" s="77">
        <f t="shared" si="336"/>
        <v>24835653.33</v>
      </c>
      <c r="U626" s="77">
        <f t="shared" si="336"/>
        <v>0</v>
      </c>
      <c r="V626" s="77">
        <f t="shared" si="336"/>
        <v>0</v>
      </c>
      <c r="W626" s="77">
        <f t="shared" si="336"/>
        <v>0</v>
      </c>
      <c r="X626" s="77">
        <f t="shared" si="336"/>
        <v>0</v>
      </c>
      <c r="Y626" s="77">
        <f t="shared" si="336"/>
        <v>0</v>
      </c>
      <c r="Z626" s="77">
        <f t="shared" si="336"/>
        <v>0</v>
      </c>
    </row>
    <row r="627" hidden="1" outlineLevel="1">
      <c r="A627" s="16"/>
      <c r="B627" s="93">
        <f t="shared" si="335"/>
        <v>4</v>
      </c>
      <c r="C627" s="40"/>
      <c r="D627" s="16" t="s">
        <v>161</v>
      </c>
      <c r="E627" s="74">
        <f t="shared" si="108"/>
        <v>0</v>
      </c>
      <c r="F627" s="78"/>
      <c r="G627" s="77">
        <f t="shared" ref="G627:Z627" si="337">G351-abs(G330)</f>
        <v>0</v>
      </c>
      <c r="H627" s="77">
        <f t="shared" si="337"/>
        <v>0</v>
      </c>
      <c r="I627" s="77">
        <f t="shared" si="337"/>
        <v>0</v>
      </c>
      <c r="J627" s="77">
        <f t="shared" si="337"/>
        <v>0</v>
      </c>
      <c r="K627" s="77">
        <f t="shared" si="337"/>
        <v>0</v>
      </c>
      <c r="L627" s="77">
        <f t="shared" si="337"/>
        <v>0</v>
      </c>
      <c r="M627" s="77">
        <f t="shared" si="337"/>
        <v>0</v>
      </c>
      <c r="N627" s="77">
        <f t="shared" si="337"/>
        <v>0</v>
      </c>
      <c r="O627" s="77">
        <f t="shared" si="337"/>
        <v>0</v>
      </c>
      <c r="P627" s="77">
        <f t="shared" si="337"/>
        <v>0</v>
      </c>
      <c r="Q627" s="77">
        <f t="shared" si="337"/>
        <v>0</v>
      </c>
      <c r="R627" s="77">
        <f t="shared" si="337"/>
        <v>0</v>
      </c>
      <c r="S627" s="77">
        <f t="shared" si="337"/>
        <v>0</v>
      </c>
      <c r="T627" s="77">
        <f t="shared" si="337"/>
        <v>0</v>
      </c>
      <c r="U627" s="77">
        <f t="shared" si="337"/>
        <v>0</v>
      </c>
      <c r="V627" s="77">
        <f t="shared" si="337"/>
        <v>0</v>
      </c>
      <c r="W627" s="77">
        <f t="shared" si="337"/>
        <v>0</v>
      </c>
      <c r="X627" s="77">
        <f t="shared" si="337"/>
        <v>0</v>
      </c>
      <c r="Y627" s="77">
        <f t="shared" si="337"/>
        <v>0</v>
      </c>
      <c r="Z627" s="77">
        <f t="shared" si="337"/>
        <v>0</v>
      </c>
    </row>
    <row r="628" hidden="1" outlineLevel="1">
      <c r="A628" s="16"/>
      <c r="B628" s="93">
        <f t="shared" si="335"/>
        <v>5</v>
      </c>
      <c r="C628" s="40"/>
      <c r="D628" s="16" t="s">
        <v>161</v>
      </c>
      <c r="E628" s="74">
        <f t="shared" si="108"/>
        <v>0</v>
      </c>
      <c r="F628" s="78"/>
      <c r="G628" s="77">
        <f t="shared" ref="G628:Z628" si="338">G352-abs(G331)</f>
        <v>0</v>
      </c>
      <c r="H628" s="77">
        <f t="shared" si="338"/>
        <v>0</v>
      </c>
      <c r="I628" s="77">
        <f t="shared" si="338"/>
        <v>0</v>
      </c>
      <c r="J628" s="77">
        <f t="shared" si="338"/>
        <v>0</v>
      </c>
      <c r="K628" s="77">
        <f t="shared" si="338"/>
        <v>0</v>
      </c>
      <c r="L628" s="77">
        <f t="shared" si="338"/>
        <v>0</v>
      </c>
      <c r="M628" s="77">
        <f t="shared" si="338"/>
        <v>0</v>
      </c>
      <c r="N628" s="77">
        <f t="shared" si="338"/>
        <v>0</v>
      </c>
      <c r="O628" s="77">
        <f t="shared" si="338"/>
        <v>0</v>
      </c>
      <c r="P628" s="77">
        <f t="shared" si="338"/>
        <v>0</v>
      </c>
      <c r="Q628" s="77">
        <f t="shared" si="338"/>
        <v>0</v>
      </c>
      <c r="R628" s="77">
        <f t="shared" si="338"/>
        <v>0</v>
      </c>
      <c r="S628" s="77">
        <f t="shared" si="338"/>
        <v>0</v>
      </c>
      <c r="T628" s="77">
        <f t="shared" si="338"/>
        <v>0</v>
      </c>
      <c r="U628" s="77">
        <f t="shared" si="338"/>
        <v>0</v>
      </c>
      <c r="V628" s="77">
        <f t="shared" si="338"/>
        <v>0</v>
      </c>
      <c r="W628" s="77">
        <f t="shared" si="338"/>
        <v>0</v>
      </c>
      <c r="X628" s="77">
        <f t="shared" si="338"/>
        <v>0</v>
      </c>
      <c r="Y628" s="77">
        <f t="shared" si="338"/>
        <v>0</v>
      </c>
      <c r="Z628" s="77">
        <f t="shared" si="338"/>
        <v>0</v>
      </c>
    </row>
    <row r="629" hidden="1" outlineLevel="1">
      <c r="A629" s="16"/>
      <c r="B629" s="93">
        <f t="shared" si="335"/>
        <v>6</v>
      </c>
      <c r="C629" s="40"/>
      <c r="D629" s="16" t="s">
        <v>161</v>
      </c>
      <c r="E629" s="74">
        <f t="shared" si="108"/>
        <v>0</v>
      </c>
      <c r="F629" s="78"/>
      <c r="G629" s="77">
        <f t="shared" ref="G629:Z629" si="339">G353-abs(G332)</f>
        <v>0</v>
      </c>
      <c r="H629" s="77">
        <f t="shared" si="339"/>
        <v>0</v>
      </c>
      <c r="I629" s="77">
        <f t="shared" si="339"/>
        <v>0</v>
      </c>
      <c r="J629" s="77">
        <f t="shared" si="339"/>
        <v>0</v>
      </c>
      <c r="K629" s="77">
        <f t="shared" si="339"/>
        <v>0</v>
      </c>
      <c r="L629" s="77">
        <f t="shared" si="339"/>
        <v>0</v>
      </c>
      <c r="M629" s="77">
        <f t="shared" si="339"/>
        <v>0</v>
      </c>
      <c r="N629" s="77">
        <f t="shared" si="339"/>
        <v>0</v>
      </c>
      <c r="O629" s="77">
        <f t="shared" si="339"/>
        <v>0</v>
      </c>
      <c r="P629" s="77">
        <f t="shared" si="339"/>
        <v>0</v>
      </c>
      <c r="Q629" s="77">
        <f t="shared" si="339"/>
        <v>0</v>
      </c>
      <c r="R629" s="77">
        <f t="shared" si="339"/>
        <v>0</v>
      </c>
      <c r="S629" s="77">
        <f t="shared" si="339"/>
        <v>0</v>
      </c>
      <c r="T629" s="77">
        <f t="shared" si="339"/>
        <v>0</v>
      </c>
      <c r="U629" s="77">
        <f t="shared" si="339"/>
        <v>0</v>
      </c>
      <c r="V629" s="77">
        <f t="shared" si="339"/>
        <v>0</v>
      </c>
      <c r="W629" s="77">
        <f t="shared" si="339"/>
        <v>0</v>
      </c>
      <c r="X629" s="77">
        <f t="shared" si="339"/>
        <v>0</v>
      </c>
      <c r="Y629" s="77">
        <f t="shared" si="339"/>
        <v>0</v>
      </c>
      <c r="Z629" s="77">
        <f t="shared" si="339"/>
        <v>0</v>
      </c>
    </row>
    <row r="630" hidden="1" outlineLevel="1">
      <c r="A630" s="16"/>
      <c r="B630" s="93">
        <f t="shared" si="335"/>
        <v>7</v>
      </c>
      <c r="C630" s="40"/>
      <c r="D630" s="16" t="s">
        <v>161</v>
      </c>
      <c r="E630" s="74">
        <f t="shared" si="108"/>
        <v>0</v>
      </c>
      <c r="F630" s="78"/>
      <c r="G630" s="77">
        <f t="shared" ref="G630:Z630" si="340">G354-abs(G333)</f>
        <v>0</v>
      </c>
      <c r="H630" s="77">
        <f t="shared" si="340"/>
        <v>0</v>
      </c>
      <c r="I630" s="77">
        <f t="shared" si="340"/>
        <v>0</v>
      </c>
      <c r="J630" s="77">
        <f t="shared" si="340"/>
        <v>0</v>
      </c>
      <c r="K630" s="77">
        <f t="shared" si="340"/>
        <v>0</v>
      </c>
      <c r="L630" s="77">
        <f t="shared" si="340"/>
        <v>0</v>
      </c>
      <c r="M630" s="77">
        <f t="shared" si="340"/>
        <v>0</v>
      </c>
      <c r="N630" s="77">
        <f t="shared" si="340"/>
        <v>0</v>
      </c>
      <c r="O630" s="77">
        <f t="shared" si="340"/>
        <v>0</v>
      </c>
      <c r="P630" s="77">
        <f t="shared" si="340"/>
        <v>0</v>
      </c>
      <c r="Q630" s="77">
        <f t="shared" si="340"/>
        <v>0</v>
      </c>
      <c r="R630" s="77">
        <f t="shared" si="340"/>
        <v>0</v>
      </c>
      <c r="S630" s="77">
        <f t="shared" si="340"/>
        <v>0</v>
      </c>
      <c r="T630" s="77">
        <f t="shared" si="340"/>
        <v>0</v>
      </c>
      <c r="U630" s="77">
        <f t="shared" si="340"/>
        <v>0</v>
      </c>
      <c r="V630" s="77">
        <f t="shared" si="340"/>
        <v>0</v>
      </c>
      <c r="W630" s="77">
        <f t="shared" si="340"/>
        <v>0</v>
      </c>
      <c r="X630" s="77">
        <f t="shared" si="340"/>
        <v>0</v>
      </c>
      <c r="Y630" s="77">
        <f t="shared" si="340"/>
        <v>0</v>
      </c>
      <c r="Z630" s="77">
        <f t="shared" si="340"/>
        <v>0</v>
      </c>
    </row>
    <row r="631" hidden="1" outlineLevel="1">
      <c r="A631" s="16"/>
      <c r="B631" s="93">
        <f t="shared" si="335"/>
        <v>8</v>
      </c>
      <c r="C631" s="40"/>
      <c r="D631" s="16" t="s">
        <v>161</v>
      </c>
      <c r="E631" s="74">
        <f t="shared" si="108"/>
        <v>0</v>
      </c>
      <c r="F631" s="78"/>
      <c r="G631" s="77">
        <f t="shared" ref="G631:Z631" si="341">G355-abs(G334)</f>
        <v>0</v>
      </c>
      <c r="H631" s="77">
        <f t="shared" si="341"/>
        <v>0</v>
      </c>
      <c r="I631" s="77">
        <f t="shared" si="341"/>
        <v>0</v>
      </c>
      <c r="J631" s="77">
        <f t="shared" si="341"/>
        <v>0</v>
      </c>
      <c r="K631" s="77">
        <f t="shared" si="341"/>
        <v>0</v>
      </c>
      <c r="L631" s="77">
        <f t="shared" si="341"/>
        <v>0</v>
      </c>
      <c r="M631" s="77">
        <f t="shared" si="341"/>
        <v>0</v>
      </c>
      <c r="N631" s="77">
        <f t="shared" si="341"/>
        <v>0</v>
      </c>
      <c r="O631" s="77">
        <f t="shared" si="341"/>
        <v>0</v>
      </c>
      <c r="P631" s="77">
        <f t="shared" si="341"/>
        <v>0</v>
      </c>
      <c r="Q631" s="77">
        <f t="shared" si="341"/>
        <v>0</v>
      </c>
      <c r="R631" s="77">
        <f t="shared" si="341"/>
        <v>0</v>
      </c>
      <c r="S631" s="77">
        <f t="shared" si="341"/>
        <v>0</v>
      </c>
      <c r="T631" s="77">
        <f t="shared" si="341"/>
        <v>0</v>
      </c>
      <c r="U631" s="77">
        <f t="shared" si="341"/>
        <v>0</v>
      </c>
      <c r="V631" s="77">
        <f t="shared" si="341"/>
        <v>0</v>
      </c>
      <c r="W631" s="77">
        <f t="shared" si="341"/>
        <v>0</v>
      </c>
      <c r="X631" s="77">
        <f t="shared" si="341"/>
        <v>0</v>
      </c>
      <c r="Y631" s="77">
        <f t="shared" si="341"/>
        <v>0</v>
      </c>
      <c r="Z631" s="77">
        <f t="shared" si="341"/>
        <v>0</v>
      </c>
    </row>
    <row r="632" hidden="1" outlineLevel="1">
      <c r="A632" s="16"/>
      <c r="B632" s="93">
        <f t="shared" si="335"/>
        <v>9</v>
      </c>
      <c r="C632" s="40"/>
      <c r="D632" s="16" t="s">
        <v>161</v>
      </c>
      <c r="E632" s="74">
        <f t="shared" si="108"/>
        <v>0</v>
      </c>
      <c r="F632" s="78"/>
      <c r="G632" s="77">
        <f t="shared" ref="G632:Z632" si="342">G356-abs(G335)</f>
        <v>0</v>
      </c>
      <c r="H632" s="77">
        <f t="shared" si="342"/>
        <v>0</v>
      </c>
      <c r="I632" s="77">
        <f t="shared" si="342"/>
        <v>0</v>
      </c>
      <c r="J632" s="77">
        <f t="shared" si="342"/>
        <v>0</v>
      </c>
      <c r="K632" s="77">
        <f t="shared" si="342"/>
        <v>0</v>
      </c>
      <c r="L632" s="77">
        <f t="shared" si="342"/>
        <v>0</v>
      </c>
      <c r="M632" s="77">
        <f t="shared" si="342"/>
        <v>0</v>
      </c>
      <c r="N632" s="77">
        <f t="shared" si="342"/>
        <v>0</v>
      </c>
      <c r="O632" s="77">
        <f t="shared" si="342"/>
        <v>0</v>
      </c>
      <c r="P632" s="77">
        <f t="shared" si="342"/>
        <v>0</v>
      </c>
      <c r="Q632" s="77">
        <f t="shared" si="342"/>
        <v>0</v>
      </c>
      <c r="R632" s="77">
        <f t="shared" si="342"/>
        <v>0</v>
      </c>
      <c r="S632" s="77">
        <f t="shared" si="342"/>
        <v>0</v>
      </c>
      <c r="T632" s="77">
        <f t="shared" si="342"/>
        <v>0</v>
      </c>
      <c r="U632" s="77">
        <f t="shared" si="342"/>
        <v>0</v>
      </c>
      <c r="V632" s="77">
        <f t="shared" si="342"/>
        <v>0</v>
      </c>
      <c r="W632" s="77">
        <f t="shared" si="342"/>
        <v>0</v>
      </c>
      <c r="X632" s="77">
        <f t="shared" si="342"/>
        <v>0</v>
      </c>
      <c r="Y632" s="77">
        <f t="shared" si="342"/>
        <v>0</v>
      </c>
      <c r="Z632" s="77">
        <f t="shared" si="342"/>
        <v>0</v>
      </c>
    </row>
    <row r="633" hidden="1" outlineLevel="1">
      <c r="A633" s="16"/>
      <c r="B633" s="93">
        <f t="shared" si="335"/>
        <v>10</v>
      </c>
      <c r="C633" s="40"/>
      <c r="D633" s="16" t="s">
        <v>161</v>
      </c>
      <c r="E633" s="74">
        <f t="shared" si="108"/>
        <v>0</v>
      </c>
      <c r="F633" s="78"/>
      <c r="G633" s="77">
        <f t="shared" ref="G633:Z633" si="343">G357-abs(G336)</f>
        <v>0</v>
      </c>
      <c r="H633" s="77">
        <f t="shared" si="343"/>
        <v>0</v>
      </c>
      <c r="I633" s="77">
        <f t="shared" si="343"/>
        <v>0</v>
      </c>
      <c r="J633" s="77">
        <f t="shared" si="343"/>
        <v>0</v>
      </c>
      <c r="K633" s="77">
        <f t="shared" si="343"/>
        <v>0</v>
      </c>
      <c r="L633" s="77">
        <f t="shared" si="343"/>
        <v>0</v>
      </c>
      <c r="M633" s="77">
        <f t="shared" si="343"/>
        <v>0</v>
      </c>
      <c r="N633" s="77">
        <f t="shared" si="343"/>
        <v>0</v>
      </c>
      <c r="O633" s="77">
        <f t="shared" si="343"/>
        <v>0</v>
      </c>
      <c r="P633" s="77">
        <f t="shared" si="343"/>
        <v>0</v>
      </c>
      <c r="Q633" s="77">
        <f t="shared" si="343"/>
        <v>0</v>
      </c>
      <c r="R633" s="77">
        <f t="shared" si="343"/>
        <v>0</v>
      </c>
      <c r="S633" s="77">
        <f t="shared" si="343"/>
        <v>0</v>
      </c>
      <c r="T633" s="77">
        <f t="shared" si="343"/>
        <v>0</v>
      </c>
      <c r="U633" s="77">
        <f t="shared" si="343"/>
        <v>0</v>
      </c>
      <c r="V633" s="77">
        <f t="shared" si="343"/>
        <v>0</v>
      </c>
      <c r="W633" s="77">
        <f t="shared" si="343"/>
        <v>0</v>
      </c>
      <c r="X633" s="77">
        <f t="shared" si="343"/>
        <v>0</v>
      </c>
      <c r="Y633" s="77">
        <f t="shared" si="343"/>
        <v>0</v>
      </c>
      <c r="Z633" s="77">
        <f t="shared" si="343"/>
        <v>0</v>
      </c>
    </row>
    <row r="634" hidden="1" outlineLevel="1">
      <c r="A634" s="16"/>
      <c r="B634" s="93">
        <f t="shared" si="335"/>
        <v>11</v>
      </c>
      <c r="C634" s="40"/>
      <c r="D634" s="16" t="s">
        <v>161</v>
      </c>
      <c r="E634" s="74">
        <f t="shared" si="108"/>
        <v>0</v>
      </c>
      <c r="F634" s="78"/>
      <c r="G634" s="77">
        <f t="shared" ref="G634:Z634" si="344">G358-abs(G337)</f>
        <v>0</v>
      </c>
      <c r="H634" s="77">
        <f t="shared" si="344"/>
        <v>0</v>
      </c>
      <c r="I634" s="77">
        <f t="shared" si="344"/>
        <v>0</v>
      </c>
      <c r="J634" s="77">
        <f t="shared" si="344"/>
        <v>0</v>
      </c>
      <c r="K634" s="77">
        <f t="shared" si="344"/>
        <v>0</v>
      </c>
      <c r="L634" s="77">
        <f t="shared" si="344"/>
        <v>0</v>
      </c>
      <c r="M634" s="77">
        <f t="shared" si="344"/>
        <v>0</v>
      </c>
      <c r="N634" s="77">
        <f t="shared" si="344"/>
        <v>0</v>
      </c>
      <c r="O634" s="77">
        <f t="shared" si="344"/>
        <v>0</v>
      </c>
      <c r="P634" s="77">
        <f t="shared" si="344"/>
        <v>0</v>
      </c>
      <c r="Q634" s="77">
        <f t="shared" si="344"/>
        <v>0</v>
      </c>
      <c r="R634" s="77">
        <f t="shared" si="344"/>
        <v>0</v>
      </c>
      <c r="S634" s="77">
        <f t="shared" si="344"/>
        <v>0</v>
      </c>
      <c r="T634" s="77">
        <f t="shared" si="344"/>
        <v>0</v>
      </c>
      <c r="U634" s="77">
        <f t="shared" si="344"/>
        <v>0</v>
      </c>
      <c r="V634" s="77">
        <f t="shared" si="344"/>
        <v>0</v>
      </c>
      <c r="W634" s="77">
        <f t="shared" si="344"/>
        <v>0</v>
      </c>
      <c r="X634" s="77">
        <f t="shared" si="344"/>
        <v>0</v>
      </c>
      <c r="Y634" s="77">
        <f t="shared" si="344"/>
        <v>0</v>
      </c>
      <c r="Z634" s="77">
        <f t="shared" si="344"/>
        <v>0</v>
      </c>
    </row>
    <row r="635" hidden="1" outlineLevel="1">
      <c r="A635" s="16"/>
      <c r="B635" s="93">
        <f t="shared" si="335"/>
        <v>12</v>
      </c>
      <c r="C635" s="40"/>
      <c r="D635" s="16" t="s">
        <v>161</v>
      </c>
      <c r="E635" s="74">
        <f t="shared" si="108"/>
        <v>0</v>
      </c>
      <c r="F635" s="78"/>
      <c r="G635" s="77">
        <f t="shared" ref="G635:Z635" si="345">G359-abs(G338)</f>
        <v>0</v>
      </c>
      <c r="H635" s="77">
        <f t="shared" si="345"/>
        <v>0</v>
      </c>
      <c r="I635" s="77">
        <f t="shared" si="345"/>
        <v>0</v>
      </c>
      <c r="J635" s="77">
        <f t="shared" si="345"/>
        <v>0</v>
      </c>
      <c r="K635" s="77">
        <f t="shared" si="345"/>
        <v>0</v>
      </c>
      <c r="L635" s="77">
        <f t="shared" si="345"/>
        <v>0</v>
      </c>
      <c r="M635" s="77">
        <f t="shared" si="345"/>
        <v>0</v>
      </c>
      <c r="N635" s="77">
        <f t="shared" si="345"/>
        <v>0</v>
      </c>
      <c r="O635" s="77">
        <f t="shared" si="345"/>
        <v>0</v>
      </c>
      <c r="P635" s="77">
        <f t="shared" si="345"/>
        <v>0</v>
      </c>
      <c r="Q635" s="77">
        <f t="shared" si="345"/>
        <v>0</v>
      </c>
      <c r="R635" s="77">
        <f t="shared" si="345"/>
        <v>0</v>
      </c>
      <c r="S635" s="77">
        <f t="shared" si="345"/>
        <v>0</v>
      </c>
      <c r="T635" s="77">
        <f t="shared" si="345"/>
        <v>0</v>
      </c>
      <c r="U635" s="77">
        <f t="shared" si="345"/>
        <v>0</v>
      </c>
      <c r="V635" s="77">
        <f t="shared" si="345"/>
        <v>0</v>
      </c>
      <c r="W635" s="77">
        <f t="shared" si="345"/>
        <v>0</v>
      </c>
      <c r="X635" s="77">
        <f t="shared" si="345"/>
        <v>0</v>
      </c>
      <c r="Y635" s="77">
        <f t="shared" si="345"/>
        <v>0</v>
      </c>
      <c r="Z635" s="77">
        <f t="shared" si="345"/>
        <v>0</v>
      </c>
    </row>
    <row r="636" hidden="1" outlineLevel="1">
      <c r="A636" s="16"/>
      <c r="B636" s="93">
        <f t="shared" si="335"/>
        <v>13</v>
      </c>
      <c r="C636" s="40"/>
      <c r="D636" s="16" t="s">
        <v>161</v>
      </c>
      <c r="E636" s="74">
        <f t="shared" si="108"/>
        <v>0</v>
      </c>
      <c r="F636" s="78"/>
      <c r="G636" s="77">
        <f t="shared" ref="G636:Z636" si="346">G360-abs(G339)</f>
        <v>0</v>
      </c>
      <c r="H636" s="77">
        <f t="shared" si="346"/>
        <v>0</v>
      </c>
      <c r="I636" s="77">
        <f t="shared" si="346"/>
        <v>0</v>
      </c>
      <c r="J636" s="77">
        <f t="shared" si="346"/>
        <v>0</v>
      </c>
      <c r="K636" s="77">
        <f t="shared" si="346"/>
        <v>0</v>
      </c>
      <c r="L636" s="77">
        <f t="shared" si="346"/>
        <v>0</v>
      </c>
      <c r="M636" s="77">
        <f t="shared" si="346"/>
        <v>0</v>
      </c>
      <c r="N636" s="77">
        <f t="shared" si="346"/>
        <v>0</v>
      </c>
      <c r="O636" s="77">
        <f t="shared" si="346"/>
        <v>0</v>
      </c>
      <c r="P636" s="77">
        <f t="shared" si="346"/>
        <v>0</v>
      </c>
      <c r="Q636" s="77">
        <f t="shared" si="346"/>
        <v>0</v>
      </c>
      <c r="R636" s="77">
        <f t="shared" si="346"/>
        <v>0</v>
      </c>
      <c r="S636" s="77">
        <f t="shared" si="346"/>
        <v>0</v>
      </c>
      <c r="T636" s="77">
        <f t="shared" si="346"/>
        <v>0</v>
      </c>
      <c r="U636" s="77">
        <f t="shared" si="346"/>
        <v>0</v>
      </c>
      <c r="V636" s="77">
        <f t="shared" si="346"/>
        <v>0</v>
      </c>
      <c r="W636" s="77">
        <f t="shared" si="346"/>
        <v>0</v>
      </c>
      <c r="X636" s="77">
        <f t="shared" si="346"/>
        <v>0</v>
      </c>
      <c r="Y636" s="77">
        <f t="shared" si="346"/>
        <v>0</v>
      </c>
      <c r="Z636" s="77">
        <f t="shared" si="346"/>
        <v>0</v>
      </c>
    </row>
    <row r="637" hidden="1" outlineLevel="1">
      <c r="A637" s="16"/>
      <c r="B637" s="93">
        <f t="shared" si="335"/>
        <v>14</v>
      </c>
      <c r="C637" s="40"/>
      <c r="D637" s="16" t="s">
        <v>161</v>
      </c>
      <c r="E637" s="74">
        <f t="shared" si="108"/>
        <v>0</v>
      </c>
      <c r="F637" s="78"/>
      <c r="G637" s="77">
        <f t="shared" ref="G637:Z637" si="347">G361-abs(G340)</f>
        <v>0</v>
      </c>
      <c r="H637" s="77">
        <f t="shared" si="347"/>
        <v>0</v>
      </c>
      <c r="I637" s="77">
        <f t="shared" si="347"/>
        <v>0</v>
      </c>
      <c r="J637" s="77">
        <f t="shared" si="347"/>
        <v>0</v>
      </c>
      <c r="K637" s="77">
        <f t="shared" si="347"/>
        <v>0</v>
      </c>
      <c r="L637" s="77">
        <f t="shared" si="347"/>
        <v>0</v>
      </c>
      <c r="M637" s="77">
        <f t="shared" si="347"/>
        <v>0</v>
      </c>
      <c r="N637" s="77">
        <f t="shared" si="347"/>
        <v>0</v>
      </c>
      <c r="O637" s="77">
        <f t="shared" si="347"/>
        <v>0</v>
      </c>
      <c r="P637" s="77">
        <f t="shared" si="347"/>
        <v>0</v>
      </c>
      <c r="Q637" s="77">
        <f t="shared" si="347"/>
        <v>0</v>
      </c>
      <c r="R637" s="77">
        <f t="shared" si="347"/>
        <v>0</v>
      </c>
      <c r="S637" s="77">
        <f t="shared" si="347"/>
        <v>0</v>
      </c>
      <c r="T637" s="77">
        <f t="shared" si="347"/>
        <v>0</v>
      </c>
      <c r="U637" s="77">
        <f t="shared" si="347"/>
        <v>0</v>
      </c>
      <c r="V637" s="77">
        <f t="shared" si="347"/>
        <v>0</v>
      </c>
      <c r="W637" s="77">
        <f t="shared" si="347"/>
        <v>0</v>
      </c>
      <c r="X637" s="77">
        <f t="shared" si="347"/>
        <v>0</v>
      </c>
      <c r="Y637" s="77">
        <f t="shared" si="347"/>
        <v>0</v>
      </c>
      <c r="Z637" s="77">
        <f t="shared" si="347"/>
        <v>0</v>
      </c>
    </row>
    <row r="638" hidden="1" outlineLevel="1">
      <c r="A638" s="16"/>
      <c r="B638" s="93">
        <f t="shared" si="335"/>
        <v>15</v>
      </c>
      <c r="C638" s="40"/>
      <c r="D638" s="16" t="s">
        <v>161</v>
      </c>
      <c r="E638" s="74">
        <f t="shared" si="108"/>
        <v>0</v>
      </c>
      <c r="F638" s="78"/>
      <c r="G638" s="77">
        <f t="shared" ref="G638:Z638" si="348">G362-abs(G341)</f>
        <v>0</v>
      </c>
      <c r="H638" s="77">
        <f t="shared" si="348"/>
        <v>0</v>
      </c>
      <c r="I638" s="77">
        <f t="shared" si="348"/>
        <v>0</v>
      </c>
      <c r="J638" s="77">
        <f t="shared" si="348"/>
        <v>0</v>
      </c>
      <c r="K638" s="77">
        <f t="shared" si="348"/>
        <v>0</v>
      </c>
      <c r="L638" s="77">
        <f t="shared" si="348"/>
        <v>0</v>
      </c>
      <c r="M638" s="77">
        <f t="shared" si="348"/>
        <v>0</v>
      </c>
      <c r="N638" s="77">
        <f t="shared" si="348"/>
        <v>0</v>
      </c>
      <c r="O638" s="77">
        <f t="shared" si="348"/>
        <v>0</v>
      </c>
      <c r="P638" s="77">
        <f t="shared" si="348"/>
        <v>0</v>
      </c>
      <c r="Q638" s="77">
        <f t="shared" si="348"/>
        <v>0</v>
      </c>
      <c r="R638" s="77">
        <f t="shared" si="348"/>
        <v>0</v>
      </c>
      <c r="S638" s="77">
        <f t="shared" si="348"/>
        <v>0</v>
      </c>
      <c r="T638" s="77">
        <f t="shared" si="348"/>
        <v>0</v>
      </c>
      <c r="U638" s="77">
        <f t="shared" si="348"/>
        <v>0</v>
      </c>
      <c r="V638" s="77">
        <f t="shared" si="348"/>
        <v>0</v>
      </c>
      <c r="W638" s="77">
        <f t="shared" si="348"/>
        <v>0</v>
      </c>
      <c r="X638" s="77">
        <f t="shared" si="348"/>
        <v>0</v>
      </c>
      <c r="Y638" s="77">
        <f t="shared" si="348"/>
        <v>0</v>
      </c>
      <c r="Z638" s="77">
        <f t="shared" si="348"/>
        <v>0</v>
      </c>
    </row>
    <row r="639" hidden="1" outlineLevel="1">
      <c r="A639" s="16"/>
      <c r="B639" s="93">
        <f t="shared" si="335"/>
        <v>16</v>
      </c>
      <c r="C639" s="40"/>
      <c r="D639" s="16" t="s">
        <v>161</v>
      </c>
      <c r="E639" s="74">
        <f t="shared" si="108"/>
        <v>0</v>
      </c>
      <c r="F639" s="78"/>
      <c r="G639" s="77">
        <f t="shared" ref="G639:Z639" si="349">G363-abs(G342)</f>
        <v>0</v>
      </c>
      <c r="H639" s="77">
        <f t="shared" si="349"/>
        <v>0</v>
      </c>
      <c r="I639" s="77">
        <f t="shared" si="349"/>
        <v>0</v>
      </c>
      <c r="J639" s="77">
        <f t="shared" si="349"/>
        <v>0</v>
      </c>
      <c r="K639" s="77">
        <f t="shared" si="349"/>
        <v>0</v>
      </c>
      <c r="L639" s="77">
        <f t="shared" si="349"/>
        <v>0</v>
      </c>
      <c r="M639" s="77">
        <f t="shared" si="349"/>
        <v>0</v>
      </c>
      <c r="N639" s="77">
        <f t="shared" si="349"/>
        <v>0</v>
      </c>
      <c r="O639" s="77">
        <f t="shared" si="349"/>
        <v>0</v>
      </c>
      <c r="P639" s="77">
        <f t="shared" si="349"/>
        <v>0</v>
      </c>
      <c r="Q639" s="77">
        <f t="shared" si="349"/>
        <v>0</v>
      </c>
      <c r="R639" s="77">
        <f t="shared" si="349"/>
        <v>0</v>
      </c>
      <c r="S639" s="77">
        <f t="shared" si="349"/>
        <v>0</v>
      </c>
      <c r="T639" s="77">
        <f t="shared" si="349"/>
        <v>0</v>
      </c>
      <c r="U639" s="77">
        <f t="shared" si="349"/>
        <v>0</v>
      </c>
      <c r="V639" s="77">
        <f t="shared" si="349"/>
        <v>0</v>
      </c>
      <c r="W639" s="77">
        <f t="shared" si="349"/>
        <v>0</v>
      </c>
      <c r="X639" s="77">
        <f t="shared" si="349"/>
        <v>0</v>
      </c>
      <c r="Y639" s="77">
        <f t="shared" si="349"/>
        <v>0</v>
      </c>
      <c r="Z639" s="77">
        <f t="shared" si="349"/>
        <v>0</v>
      </c>
    </row>
    <row r="640" hidden="1" outlineLevel="1">
      <c r="A640" s="16"/>
      <c r="B640" s="93">
        <f t="shared" si="335"/>
        <v>17</v>
      </c>
      <c r="C640" s="40"/>
      <c r="D640" s="16" t="s">
        <v>161</v>
      </c>
      <c r="E640" s="74">
        <f t="shared" si="108"/>
        <v>0</v>
      </c>
      <c r="F640" s="78"/>
      <c r="G640" s="77">
        <f t="shared" ref="G640:Z640" si="350">G364-abs(G343)</f>
        <v>0</v>
      </c>
      <c r="H640" s="77">
        <f t="shared" si="350"/>
        <v>0</v>
      </c>
      <c r="I640" s="77">
        <f t="shared" si="350"/>
        <v>0</v>
      </c>
      <c r="J640" s="77">
        <f t="shared" si="350"/>
        <v>0</v>
      </c>
      <c r="K640" s="77">
        <f t="shared" si="350"/>
        <v>0</v>
      </c>
      <c r="L640" s="77">
        <f t="shared" si="350"/>
        <v>0</v>
      </c>
      <c r="M640" s="77">
        <f t="shared" si="350"/>
        <v>0</v>
      </c>
      <c r="N640" s="77">
        <f t="shared" si="350"/>
        <v>0</v>
      </c>
      <c r="O640" s="77">
        <f t="shared" si="350"/>
        <v>0</v>
      </c>
      <c r="P640" s="77">
        <f t="shared" si="350"/>
        <v>0</v>
      </c>
      <c r="Q640" s="77">
        <f t="shared" si="350"/>
        <v>0</v>
      </c>
      <c r="R640" s="77">
        <f t="shared" si="350"/>
        <v>0</v>
      </c>
      <c r="S640" s="77">
        <f t="shared" si="350"/>
        <v>0</v>
      </c>
      <c r="T640" s="77">
        <f t="shared" si="350"/>
        <v>0</v>
      </c>
      <c r="U640" s="77">
        <f t="shared" si="350"/>
        <v>0</v>
      </c>
      <c r="V640" s="77">
        <f t="shared" si="350"/>
        <v>0</v>
      </c>
      <c r="W640" s="77">
        <f t="shared" si="350"/>
        <v>0</v>
      </c>
      <c r="X640" s="77">
        <f t="shared" si="350"/>
        <v>0</v>
      </c>
      <c r="Y640" s="77">
        <f t="shared" si="350"/>
        <v>0</v>
      </c>
      <c r="Z640" s="77">
        <f t="shared" si="350"/>
        <v>0</v>
      </c>
    </row>
    <row r="641" hidden="1" outlineLevel="1">
      <c r="A641" s="16"/>
      <c r="B641" s="93">
        <f t="shared" si="335"/>
        <v>18</v>
      </c>
      <c r="C641" s="40"/>
      <c r="D641" s="16" t="s">
        <v>161</v>
      </c>
      <c r="E641" s="74">
        <f t="shared" si="108"/>
        <v>0</v>
      </c>
      <c r="F641" s="78"/>
      <c r="G641" s="77">
        <f t="shared" ref="G641:Z641" si="351">G365-abs(G344)</f>
        <v>0</v>
      </c>
      <c r="H641" s="77">
        <f t="shared" si="351"/>
        <v>0</v>
      </c>
      <c r="I641" s="77">
        <f t="shared" si="351"/>
        <v>0</v>
      </c>
      <c r="J641" s="77">
        <f t="shared" si="351"/>
        <v>0</v>
      </c>
      <c r="K641" s="77">
        <f t="shared" si="351"/>
        <v>0</v>
      </c>
      <c r="L641" s="77">
        <f t="shared" si="351"/>
        <v>0</v>
      </c>
      <c r="M641" s="77">
        <f t="shared" si="351"/>
        <v>0</v>
      </c>
      <c r="N641" s="77">
        <f t="shared" si="351"/>
        <v>0</v>
      </c>
      <c r="O641" s="77">
        <f t="shared" si="351"/>
        <v>0</v>
      </c>
      <c r="P641" s="77">
        <f t="shared" si="351"/>
        <v>0</v>
      </c>
      <c r="Q641" s="77">
        <f t="shared" si="351"/>
        <v>0</v>
      </c>
      <c r="R641" s="77">
        <f t="shared" si="351"/>
        <v>0</v>
      </c>
      <c r="S641" s="77">
        <f t="shared" si="351"/>
        <v>0</v>
      </c>
      <c r="T641" s="77">
        <f t="shared" si="351"/>
        <v>0</v>
      </c>
      <c r="U641" s="77">
        <f t="shared" si="351"/>
        <v>0</v>
      </c>
      <c r="V641" s="77">
        <f t="shared" si="351"/>
        <v>0</v>
      </c>
      <c r="W641" s="77">
        <f t="shared" si="351"/>
        <v>0</v>
      </c>
      <c r="X641" s="77">
        <f t="shared" si="351"/>
        <v>0</v>
      </c>
      <c r="Y641" s="77">
        <f t="shared" si="351"/>
        <v>0</v>
      </c>
      <c r="Z641" s="77">
        <f t="shared" si="351"/>
        <v>0</v>
      </c>
    </row>
    <row r="642" hidden="1" outlineLevel="1">
      <c r="A642" s="16"/>
      <c r="B642" s="93">
        <f t="shared" si="335"/>
        <v>19</v>
      </c>
      <c r="C642" s="40"/>
      <c r="D642" s="16" t="s">
        <v>161</v>
      </c>
      <c r="E642" s="74">
        <f t="shared" si="108"/>
        <v>0</v>
      </c>
      <c r="F642" s="78"/>
      <c r="G642" s="77">
        <f t="shared" ref="G642:Z642" si="352">G366-abs(G345)</f>
        <v>0</v>
      </c>
      <c r="H642" s="77">
        <f t="shared" si="352"/>
        <v>0</v>
      </c>
      <c r="I642" s="77">
        <f t="shared" si="352"/>
        <v>0</v>
      </c>
      <c r="J642" s="77">
        <f t="shared" si="352"/>
        <v>0</v>
      </c>
      <c r="K642" s="77">
        <f t="shared" si="352"/>
        <v>0</v>
      </c>
      <c r="L642" s="77">
        <f t="shared" si="352"/>
        <v>0</v>
      </c>
      <c r="M642" s="77">
        <f t="shared" si="352"/>
        <v>0</v>
      </c>
      <c r="N642" s="77">
        <f t="shared" si="352"/>
        <v>0</v>
      </c>
      <c r="O642" s="77">
        <f t="shared" si="352"/>
        <v>0</v>
      </c>
      <c r="P642" s="77">
        <f t="shared" si="352"/>
        <v>0</v>
      </c>
      <c r="Q642" s="77">
        <f t="shared" si="352"/>
        <v>0</v>
      </c>
      <c r="R642" s="77">
        <f t="shared" si="352"/>
        <v>0</v>
      </c>
      <c r="S642" s="77">
        <f t="shared" si="352"/>
        <v>0</v>
      </c>
      <c r="T642" s="77">
        <f t="shared" si="352"/>
        <v>0</v>
      </c>
      <c r="U642" s="77">
        <f t="shared" si="352"/>
        <v>0</v>
      </c>
      <c r="V642" s="77">
        <f t="shared" si="352"/>
        <v>0</v>
      </c>
      <c r="W642" s="77">
        <f t="shared" si="352"/>
        <v>0</v>
      </c>
      <c r="X642" s="77">
        <f t="shared" si="352"/>
        <v>0</v>
      </c>
      <c r="Y642" s="77">
        <f t="shared" si="352"/>
        <v>0</v>
      </c>
      <c r="Z642" s="77">
        <f t="shared" si="352"/>
        <v>0</v>
      </c>
    </row>
    <row r="643" hidden="1" outlineLevel="1">
      <c r="A643" s="16"/>
      <c r="B643" s="93">
        <f t="shared" si="335"/>
        <v>20</v>
      </c>
      <c r="C643" s="40"/>
      <c r="D643" s="16" t="s">
        <v>161</v>
      </c>
      <c r="E643" s="74">
        <f t="shared" si="108"/>
        <v>0</v>
      </c>
      <c r="F643" s="78"/>
      <c r="G643" s="77">
        <f t="shared" ref="G643:Z643" si="353">G367-abs(G346)</f>
        <v>0</v>
      </c>
      <c r="H643" s="77">
        <f t="shared" si="353"/>
        <v>0</v>
      </c>
      <c r="I643" s="77">
        <f t="shared" si="353"/>
        <v>0</v>
      </c>
      <c r="J643" s="77">
        <f t="shared" si="353"/>
        <v>0</v>
      </c>
      <c r="K643" s="77">
        <f t="shared" si="353"/>
        <v>0</v>
      </c>
      <c r="L643" s="77">
        <f t="shared" si="353"/>
        <v>0</v>
      </c>
      <c r="M643" s="77">
        <f t="shared" si="353"/>
        <v>0</v>
      </c>
      <c r="N643" s="77">
        <f t="shared" si="353"/>
        <v>0</v>
      </c>
      <c r="O643" s="77">
        <f t="shared" si="353"/>
        <v>0</v>
      </c>
      <c r="P643" s="77">
        <f t="shared" si="353"/>
        <v>0</v>
      </c>
      <c r="Q643" s="77">
        <f t="shared" si="353"/>
        <v>0</v>
      </c>
      <c r="R643" s="77">
        <f t="shared" si="353"/>
        <v>0</v>
      </c>
      <c r="S643" s="77">
        <f t="shared" si="353"/>
        <v>0</v>
      </c>
      <c r="T643" s="77">
        <f t="shared" si="353"/>
        <v>0</v>
      </c>
      <c r="U643" s="77">
        <f t="shared" si="353"/>
        <v>0</v>
      </c>
      <c r="V643" s="77">
        <f t="shared" si="353"/>
        <v>0</v>
      </c>
      <c r="W643" s="77">
        <f t="shared" si="353"/>
        <v>0</v>
      </c>
      <c r="X643" s="77">
        <f t="shared" si="353"/>
        <v>0</v>
      </c>
      <c r="Y643" s="77">
        <f t="shared" si="353"/>
        <v>0</v>
      </c>
      <c r="Z643" s="77">
        <f t="shared" si="353"/>
        <v>0</v>
      </c>
    </row>
    <row r="644" collapsed="1">
      <c r="B644" s="40" t="s">
        <v>216</v>
      </c>
      <c r="C644" s="16"/>
      <c r="D644" s="16" t="s">
        <v>161</v>
      </c>
      <c r="E644" s="74">
        <f t="shared" si="108"/>
        <v>98450000</v>
      </c>
      <c r="F644" s="78"/>
      <c r="G644" s="77">
        <f t="shared" ref="G644:Z644" si="354">sum(G645:G664)</f>
        <v>0</v>
      </c>
      <c r="H644" s="77">
        <f t="shared" si="354"/>
        <v>0</v>
      </c>
      <c r="I644" s="77">
        <f t="shared" si="354"/>
        <v>0</v>
      </c>
      <c r="J644" s="77">
        <f t="shared" si="354"/>
        <v>359342.5</v>
      </c>
      <c r="K644" s="77">
        <f t="shared" si="354"/>
        <v>359342.5</v>
      </c>
      <c r="L644" s="77">
        <f t="shared" si="354"/>
        <v>4302265</v>
      </c>
      <c r="M644" s="77">
        <f t="shared" si="354"/>
        <v>10151835.83</v>
      </c>
      <c r="N644" s="77">
        <f t="shared" si="354"/>
        <v>14032406.67</v>
      </c>
      <c r="O644" s="77">
        <f t="shared" si="354"/>
        <v>28514401.67</v>
      </c>
      <c r="P644" s="77">
        <f t="shared" si="354"/>
        <v>22305488.33</v>
      </c>
      <c r="Q644" s="77">
        <f t="shared" si="354"/>
        <v>18424917.5</v>
      </c>
      <c r="R644" s="77">
        <f t="shared" si="354"/>
        <v>-0.000000003725290298</v>
      </c>
      <c r="S644" s="77">
        <f t="shared" si="354"/>
        <v>0</v>
      </c>
      <c r="T644" s="77">
        <f t="shared" si="354"/>
        <v>0</v>
      </c>
      <c r="U644" s="77">
        <f t="shared" si="354"/>
        <v>0</v>
      </c>
      <c r="V644" s="77">
        <f t="shared" si="354"/>
        <v>0</v>
      </c>
      <c r="W644" s="77">
        <f t="shared" si="354"/>
        <v>0</v>
      </c>
      <c r="X644" s="77">
        <f t="shared" si="354"/>
        <v>0</v>
      </c>
      <c r="Y644" s="77">
        <f t="shared" si="354"/>
        <v>0</v>
      </c>
      <c r="Z644" s="77">
        <f t="shared" si="354"/>
        <v>0</v>
      </c>
    </row>
    <row r="645" hidden="1" outlineLevel="1">
      <c r="A645" s="16"/>
      <c r="B645" s="93">
        <f>G$4</f>
        <v>1</v>
      </c>
      <c r="C645" s="40"/>
      <c r="D645" s="40" t="s">
        <v>161</v>
      </c>
      <c r="E645" s="74">
        <f t="shared" si="108"/>
        <v>32816666.67</v>
      </c>
      <c r="F645" s="74"/>
      <c r="G645" s="74">
        <f t="shared" ref="G645:Z645" si="355">min(sum($G498:G498)-F666,G624)</f>
        <v>0</v>
      </c>
      <c r="H645" s="74">
        <f t="shared" si="355"/>
        <v>0</v>
      </c>
      <c r="I645" s="74">
        <f t="shared" si="355"/>
        <v>0</v>
      </c>
      <c r="J645" s="74">
        <f t="shared" si="355"/>
        <v>359342.5</v>
      </c>
      <c r="K645" s="74">
        <f t="shared" si="355"/>
        <v>0</v>
      </c>
      <c r="L645" s="74">
        <f t="shared" si="355"/>
        <v>3942922.5</v>
      </c>
      <c r="M645" s="74">
        <f t="shared" si="355"/>
        <v>6208913.333</v>
      </c>
      <c r="N645" s="74">
        <f t="shared" si="355"/>
        <v>3880570.833</v>
      </c>
      <c r="O645" s="74">
        <f t="shared" si="355"/>
        <v>18424917.5</v>
      </c>
      <c r="P645" s="74">
        <f t="shared" si="355"/>
        <v>-0.000000003725290298</v>
      </c>
      <c r="Q645" s="74">
        <f t="shared" si="355"/>
        <v>0</v>
      </c>
      <c r="R645" s="74">
        <f t="shared" si="355"/>
        <v>0</v>
      </c>
      <c r="S645" s="74">
        <f t="shared" si="355"/>
        <v>0</v>
      </c>
      <c r="T645" s="74">
        <f t="shared" si="355"/>
        <v>0</v>
      </c>
      <c r="U645" s="74">
        <f t="shared" si="355"/>
        <v>0</v>
      </c>
      <c r="V645" s="74">
        <f t="shared" si="355"/>
        <v>0</v>
      </c>
      <c r="W645" s="74">
        <f t="shared" si="355"/>
        <v>0</v>
      </c>
      <c r="X645" s="74">
        <f t="shared" si="355"/>
        <v>0</v>
      </c>
      <c r="Y645" s="74">
        <f t="shared" si="355"/>
        <v>0</v>
      </c>
      <c r="Z645" s="74">
        <f t="shared" si="355"/>
        <v>0</v>
      </c>
    </row>
    <row r="646" hidden="1" outlineLevel="1">
      <c r="A646" s="16"/>
      <c r="B646" s="93">
        <f t="shared" ref="B646:B664" si="357">B645+1</f>
        <v>2</v>
      </c>
      <c r="C646" s="40"/>
      <c r="D646" s="40" t="s">
        <v>161</v>
      </c>
      <c r="E646" s="74">
        <f t="shared" si="108"/>
        <v>32816666.67</v>
      </c>
      <c r="F646" s="74"/>
      <c r="G646" s="74">
        <f t="shared" ref="G646:Z646" si="356">min(sum($G499:G499)-F667,G625)</f>
        <v>0</v>
      </c>
      <c r="H646" s="74">
        <f t="shared" si="356"/>
        <v>0</v>
      </c>
      <c r="I646" s="74">
        <f t="shared" si="356"/>
        <v>0</v>
      </c>
      <c r="J646" s="74">
        <f t="shared" si="356"/>
        <v>0</v>
      </c>
      <c r="K646" s="74">
        <f t="shared" si="356"/>
        <v>359342.5</v>
      </c>
      <c r="L646" s="74">
        <f t="shared" si="356"/>
        <v>0</v>
      </c>
      <c r="M646" s="74">
        <f t="shared" si="356"/>
        <v>3942922.5</v>
      </c>
      <c r="N646" s="74">
        <f t="shared" si="356"/>
        <v>6208913.333</v>
      </c>
      <c r="O646" s="74">
        <f t="shared" si="356"/>
        <v>3880570.833</v>
      </c>
      <c r="P646" s="74">
        <f t="shared" si="356"/>
        <v>18424917.5</v>
      </c>
      <c r="Q646" s="74">
        <f t="shared" si="356"/>
        <v>-0.000000003725290298</v>
      </c>
      <c r="R646" s="74">
        <f t="shared" si="356"/>
        <v>0</v>
      </c>
      <c r="S646" s="74">
        <f t="shared" si="356"/>
        <v>0</v>
      </c>
      <c r="T646" s="74">
        <f t="shared" si="356"/>
        <v>0</v>
      </c>
      <c r="U646" s="74">
        <f t="shared" si="356"/>
        <v>0</v>
      </c>
      <c r="V646" s="74">
        <f t="shared" si="356"/>
        <v>0</v>
      </c>
      <c r="W646" s="74">
        <f t="shared" si="356"/>
        <v>0</v>
      </c>
      <c r="X646" s="74">
        <f t="shared" si="356"/>
        <v>0</v>
      </c>
      <c r="Y646" s="74">
        <f t="shared" si="356"/>
        <v>0</v>
      </c>
      <c r="Z646" s="74">
        <f t="shared" si="356"/>
        <v>0</v>
      </c>
    </row>
    <row r="647" hidden="1" outlineLevel="1">
      <c r="A647" s="16"/>
      <c r="B647" s="93">
        <f t="shared" si="357"/>
        <v>3</v>
      </c>
      <c r="C647" s="40"/>
      <c r="D647" s="40" t="s">
        <v>161</v>
      </c>
      <c r="E647" s="74">
        <f t="shared" si="108"/>
        <v>32816666.67</v>
      </c>
      <c r="F647" s="74"/>
      <c r="G647" s="74">
        <f t="shared" ref="G647:Z647" si="358">min(sum($G500:G500)-F668,G626)</f>
        <v>0</v>
      </c>
      <c r="H647" s="74">
        <f t="shared" si="358"/>
        <v>0</v>
      </c>
      <c r="I647" s="74">
        <f t="shared" si="358"/>
        <v>0</v>
      </c>
      <c r="J647" s="74">
        <f t="shared" si="358"/>
        <v>0</v>
      </c>
      <c r="K647" s="74">
        <f t="shared" si="358"/>
        <v>0</v>
      </c>
      <c r="L647" s="74">
        <f t="shared" si="358"/>
        <v>359342.5</v>
      </c>
      <c r="M647" s="74">
        <f t="shared" si="358"/>
        <v>0</v>
      </c>
      <c r="N647" s="74">
        <f t="shared" si="358"/>
        <v>3942922.5</v>
      </c>
      <c r="O647" s="74">
        <f t="shared" si="358"/>
        <v>6208913.333</v>
      </c>
      <c r="P647" s="74">
        <f t="shared" si="358"/>
        <v>3880570.833</v>
      </c>
      <c r="Q647" s="74">
        <f t="shared" si="358"/>
        <v>18424917.5</v>
      </c>
      <c r="R647" s="74">
        <f t="shared" si="358"/>
        <v>-0.000000003725290298</v>
      </c>
      <c r="S647" s="74">
        <f t="shared" si="358"/>
        <v>0</v>
      </c>
      <c r="T647" s="74">
        <f t="shared" si="358"/>
        <v>0</v>
      </c>
      <c r="U647" s="74">
        <f t="shared" si="358"/>
        <v>0</v>
      </c>
      <c r="V647" s="74">
        <f t="shared" si="358"/>
        <v>0</v>
      </c>
      <c r="W647" s="74">
        <f t="shared" si="358"/>
        <v>0</v>
      </c>
      <c r="X647" s="74">
        <f t="shared" si="358"/>
        <v>0</v>
      </c>
      <c r="Y647" s="74">
        <f t="shared" si="358"/>
        <v>0</v>
      </c>
      <c r="Z647" s="74">
        <f t="shared" si="358"/>
        <v>0</v>
      </c>
    </row>
    <row r="648" hidden="1" outlineLevel="1">
      <c r="A648" s="16"/>
      <c r="B648" s="93">
        <f t="shared" si="357"/>
        <v>4</v>
      </c>
      <c r="C648" s="40"/>
      <c r="D648" s="40" t="s">
        <v>161</v>
      </c>
      <c r="E648" s="74">
        <f t="shared" si="108"/>
        <v>0</v>
      </c>
      <c r="F648" s="74"/>
      <c r="G648" s="74">
        <f t="shared" ref="G648:Z648" si="359">min(sum($G501:G501)-F669,G627)</f>
        <v>0</v>
      </c>
      <c r="H648" s="74">
        <f t="shared" si="359"/>
        <v>0</v>
      </c>
      <c r="I648" s="74">
        <f t="shared" si="359"/>
        <v>0</v>
      </c>
      <c r="J648" s="74">
        <f t="shared" si="359"/>
        <v>0</v>
      </c>
      <c r="K648" s="74">
        <f t="shared" si="359"/>
        <v>0</v>
      </c>
      <c r="L648" s="74">
        <f t="shared" si="359"/>
        <v>0</v>
      </c>
      <c r="M648" s="74">
        <f t="shared" si="359"/>
        <v>0</v>
      </c>
      <c r="N648" s="74">
        <f t="shared" si="359"/>
        <v>0</v>
      </c>
      <c r="O648" s="74">
        <f t="shared" si="359"/>
        <v>0</v>
      </c>
      <c r="P648" s="74">
        <f t="shared" si="359"/>
        <v>0</v>
      </c>
      <c r="Q648" s="74">
        <f t="shared" si="359"/>
        <v>0</v>
      </c>
      <c r="R648" s="74">
        <f t="shared" si="359"/>
        <v>0</v>
      </c>
      <c r="S648" s="74">
        <f t="shared" si="359"/>
        <v>0</v>
      </c>
      <c r="T648" s="74">
        <f t="shared" si="359"/>
        <v>0</v>
      </c>
      <c r="U648" s="74">
        <f t="shared" si="359"/>
        <v>0</v>
      </c>
      <c r="V648" s="74">
        <f t="shared" si="359"/>
        <v>0</v>
      </c>
      <c r="W648" s="74">
        <f t="shared" si="359"/>
        <v>0</v>
      </c>
      <c r="X648" s="74">
        <f t="shared" si="359"/>
        <v>0</v>
      </c>
      <c r="Y648" s="74">
        <f t="shared" si="359"/>
        <v>0</v>
      </c>
      <c r="Z648" s="74">
        <f t="shared" si="359"/>
        <v>0</v>
      </c>
    </row>
    <row r="649" hidden="1" outlineLevel="1">
      <c r="A649" s="16"/>
      <c r="B649" s="93">
        <f t="shared" si="357"/>
        <v>5</v>
      </c>
      <c r="C649" s="40"/>
      <c r="D649" s="40" t="s">
        <v>161</v>
      </c>
      <c r="E649" s="74">
        <f t="shared" si="108"/>
        <v>0</v>
      </c>
      <c r="F649" s="74"/>
      <c r="G649" s="74">
        <f t="shared" ref="G649:Z649" si="360">min(sum($G502:G502)-F670,G628)</f>
        <v>0</v>
      </c>
      <c r="H649" s="74">
        <f t="shared" si="360"/>
        <v>0</v>
      </c>
      <c r="I649" s="74">
        <f t="shared" si="360"/>
        <v>0</v>
      </c>
      <c r="J649" s="74">
        <f t="shared" si="360"/>
        <v>0</v>
      </c>
      <c r="K649" s="74">
        <f t="shared" si="360"/>
        <v>0</v>
      </c>
      <c r="L649" s="74">
        <f t="shared" si="360"/>
        <v>0</v>
      </c>
      <c r="M649" s="74">
        <f t="shared" si="360"/>
        <v>0</v>
      </c>
      <c r="N649" s="74">
        <f t="shared" si="360"/>
        <v>0</v>
      </c>
      <c r="O649" s="74">
        <f t="shared" si="360"/>
        <v>0</v>
      </c>
      <c r="P649" s="74">
        <f t="shared" si="360"/>
        <v>0</v>
      </c>
      <c r="Q649" s="74">
        <f t="shared" si="360"/>
        <v>0</v>
      </c>
      <c r="R649" s="74">
        <f t="shared" si="360"/>
        <v>0</v>
      </c>
      <c r="S649" s="74">
        <f t="shared" si="360"/>
        <v>0</v>
      </c>
      <c r="T649" s="74">
        <f t="shared" si="360"/>
        <v>0</v>
      </c>
      <c r="U649" s="74">
        <f t="shared" si="360"/>
        <v>0</v>
      </c>
      <c r="V649" s="74">
        <f t="shared" si="360"/>
        <v>0</v>
      </c>
      <c r="W649" s="74">
        <f t="shared" si="360"/>
        <v>0</v>
      </c>
      <c r="X649" s="74">
        <f t="shared" si="360"/>
        <v>0</v>
      </c>
      <c r="Y649" s="74">
        <f t="shared" si="360"/>
        <v>0</v>
      </c>
      <c r="Z649" s="74">
        <f t="shared" si="360"/>
        <v>0</v>
      </c>
    </row>
    <row r="650" hidden="1" outlineLevel="1">
      <c r="A650" s="16"/>
      <c r="B650" s="93">
        <f t="shared" si="357"/>
        <v>6</v>
      </c>
      <c r="C650" s="40"/>
      <c r="D650" s="40" t="s">
        <v>161</v>
      </c>
      <c r="E650" s="74">
        <f t="shared" si="108"/>
        <v>0</v>
      </c>
      <c r="F650" s="74"/>
      <c r="G650" s="74">
        <f t="shared" ref="G650:Z650" si="361">min(sum($G503:G503)-F671,G629)</f>
        <v>0</v>
      </c>
      <c r="H650" s="74">
        <f t="shared" si="361"/>
        <v>0</v>
      </c>
      <c r="I650" s="74">
        <f t="shared" si="361"/>
        <v>0</v>
      </c>
      <c r="J650" s="74">
        <f t="shared" si="361"/>
        <v>0</v>
      </c>
      <c r="K650" s="74">
        <f t="shared" si="361"/>
        <v>0</v>
      </c>
      <c r="L650" s="74">
        <f t="shared" si="361"/>
        <v>0</v>
      </c>
      <c r="M650" s="74">
        <f t="shared" si="361"/>
        <v>0</v>
      </c>
      <c r="N650" s="74">
        <f t="shared" si="361"/>
        <v>0</v>
      </c>
      <c r="O650" s="74">
        <f t="shared" si="361"/>
        <v>0</v>
      </c>
      <c r="P650" s="74">
        <f t="shared" si="361"/>
        <v>0</v>
      </c>
      <c r="Q650" s="74">
        <f t="shared" si="361"/>
        <v>0</v>
      </c>
      <c r="R650" s="74">
        <f t="shared" si="361"/>
        <v>0</v>
      </c>
      <c r="S650" s="74">
        <f t="shared" si="361"/>
        <v>0</v>
      </c>
      <c r="T650" s="74">
        <f t="shared" si="361"/>
        <v>0</v>
      </c>
      <c r="U650" s="74">
        <f t="shared" si="361"/>
        <v>0</v>
      </c>
      <c r="V650" s="74">
        <f t="shared" si="361"/>
        <v>0</v>
      </c>
      <c r="W650" s="74">
        <f t="shared" si="361"/>
        <v>0</v>
      </c>
      <c r="X650" s="74">
        <f t="shared" si="361"/>
        <v>0</v>
      </c>
      <c r="Y650" s="74">
        <f t="shared" si="361"/>
        <v>0</v>
      </c>
      <c r="Z650" s="74">
        <f t="shared" si="361"/>
        <v>0</v>
      </c>
    </row>
    <row r="651" hidden="1" outlineLevel="1">
      <c r="A651" s="16"/>
      <c r="B651" s="93">
        <f t="shared" si="357"/>
        <v>7</v>
      </c>
      <c r="C651" s="40"/>
      <c r="D651" s="40" t="s">
        <v>161</v>
      </c>
      <c r="E651" s="74">
        <f t="shared" si="108"/>
        <v>0</v>
      </c>
      <c r="F651" s="74"/>
      <c r="G651" s="74">
        <f t="shared" ref="G651:Z651" si="362">min(sum($G504:G504)-F672,G630)</f>
        <v>0</v>
      </c>
      <c r="H651" s="74">
        <f t="shared" si="362"/>
        <v>0</v>
      </c>
      <c r="I651" s="74">
        <f t="shared" si="362"/>
        <v>0</v>
      </c>
      <c r="J651" s="74">
        <f t="shared" si="362"/>
        <v>0</v>
      </c>
      <c r="K651" s="74">
        <f t="shared" si="362"/>
        <v>0</v>
      </c>
      <c r="L651" s="74">
        <f t="shared" si="362"/>
        <v>0</v>
      </c>
      <c r="M651" s="74">
        <f t="shared" si="362"/>
        <v>0</v>
      </c>
      <c r="N651" s="74">
        <f t="shared" si="362"/>
        <v>0</v>
      </c>
      <c r="O651" s="74">
        <f t="shared" si="362"/>
        <v>0</v>
      </c>
      <c r="P651" s="74">
        <f t="shared" si="362"/>
        <v>0</v>
      </c>
      <c r="Q651" s="74">
        <f t="shared" si="362"/>
        <v>0</v>
      </c>
      <c r="R651" s="74">
        <f t="shared" si="362"/>
        <v>0</v>
      </c>
      <c r="S651" s="74">
        <f t="shared" si="362"/>
        <v>0</v>
      </c>
      <c r="T651" s="74">
        <f t="shared" si="362"/>
        <v>0</v>
      </c>
      <c r="U651" s="74">
        <f t="shared" si="362"/>
        <v>0</v>
      </c>
      <c r="V651" s="74">
        <f t="shared" si="362"/>
        <v>0</v>
      </c>
      <c r="W651" s="74">
        <f t="shared" si="362"/>
        <v>0</v>
      </c>
      <c r="X651" s="74">
        <f t="shared" si="362"/>
        <v>0</v>
      </c>
      <c r="Y651" s="74">
        <f t="shared" si="362"/>
        <v>0</v>
      </c>
      <c r="Z651" s="74">
        <f t="shared" si="362"/>
        <v>0</v>
      </c>
    </row>
    <row r="652" hidden="1" outlineLevel="1">
      <c r="A652" s="16"/>
      <c r="B652" s="93">
        <f t="shared" si="357"/>
        <v>8</v>
      </c>
      <c r="C652" s="40"/>
      <c r="D652" s="40" t="s">
        <v>161</v>
      </c>
      <c r="E652" s="74">
        <f t="shared" si="108"/>
        <v>0</v>
      </c>
      <c r="F652" s="74"/>
      <c r="G652" s="74">
        <f t="shared" ref="G652:Z652" si="363">min(sum($G505:G505)-F673,G631)</f>
        <v>0</v>
      </c>
      <c r="H652" s="74">
        <f t="shared" si="363"/>
        <v>0</v>
      </c>
      <c r="I652" s="74">
        <f t="shared" si="363"/>
        <v>0</v>
      </c>
      <c r="J652" s="74">
        <f t="shared" si="363"/>
        <v>0</v>
      </c>
      <c r="K652" s="74">
        <f t="shared" si="363"/>
        <v>0</v>
      </c>
      <c r="L652" s="74">
        <f t="shared" si="363"/>
        <v>0</v>
      </c>
      <c r="M652" s="74">
        <f t="shared" si="363"/>
        <v>0</v>
      </c>
      <c r="N652" s="74">
        <f t="shared" si="363"/>
        <v>0</v>
      </c>
      <c r="O652" s="74">
        <f t="shared" si="363"/>
        <v>0</v>
      </c>
      <c r="P652" s="74">
        <f t="shared" si="363"/>
        <v>0</v>
      </c>
      <c r="Q652" s="74">
        <f t="shared" si="363"/>
        <v>0</v>
      </c>
      <c r="R652" s="74">
        <f t="shared" si="363"/>
        <v>0</v>
      </c>
      <c r="S652" s="74">
        <f t="shared" si="363"/>
        <v>0</v>
      </c>
      <c r="T652" s="74">
        <f t="shared" si="363"/>
        <v>0</v>
      </c>
      <c r="U652" s="74">
        <f t="shared" si="363"/>
        <v>0</v>
      </c>
      <c r="V652" s="74">
        <f t="shared" si="363"/>
        <v>0</v>
      </c>
      <c r="W652" s="74">
        <f t="shared" si="363"/>
        <v>0</v>
      </c>
      <c r="X652" s="74">
        <f t="shared" si="363"/>
        <v>0</v>
      </c>
      <c r="Y652" s="74">
        <f t="shared" si="363"/>
        <v>0</v>
      </c>
      <c r="Z652" s="74">
        <f t="shared" si="363"/>
        <v>0</v>
      </c>
    </row>
    <row r="653" hidden="1" outlineLevel="1">
      <c r="A653" s="16"/>
      <c r="B653" s="93">
        <f t="shared" si="357"/>
        <v>9</v>
      </c>
      <c r="C653" s="40"/>
      <c r="D653" s="40" t="s">
        <v>161</v>
      </c>
      <c r="E653" s="74">
        <f t="shared" si="108"/>
        <v>0</v>
      </c>
      <c r="F653" s="74"/>
      <c r="G653" s="74">
        <f t="shared" ref="G653:Z653" si="364">min(sum($G506:G506)-F674,G632)</f>
        <v>0</v>
      </c>
      <c r="H653" s="74">
        <f t="shared" si="364"/>
        <v>0</v>
      </c>
      <c r="I653" s="74">
        <f t="shared" si="364"/>
        <v>0</v>
      </c>
      <c r="J653" s="74">
        <f t="shared" si="364"/>
        <v>0</v>
      </c>
      <c r="K653" s="74">
        <f t="shared" si="364"/>
        <v>0</v>
      </c>
      <c r="L653" s="74">
        <f t="shared" si="364"/>
        <v>0</v>
      </c>
      <c r="M653" s="74">
        <f t="shared" si="364"/>
        <v>0</v>
      </c>
      <c r="N653" s="74">
        <f t="shared" si="364"/>
        <v>0</v>
      </c>
      <c r="O653" s="74">
        <f t="shared" si="364"/>
        <v>0</v>
      </c>
      <c r="P653" s="74">
        <f t="shared" si="364"/>
        <v>0</v>
      </c>
      <c r="Q653" s="74">
        <f t="shared" si="364"/>
        <v>0</v>
      </c>
      <c r="R653" s="74">
        <f t="shared" si="364"/>
        <v>0</v>
      </c>
      <c r="S653" s="74">
        <f t="shared" si="364"/>
        <v>0</v>
      </c>
      <c r="T653" s="74">
        <f t="shared" si="364"/>
        <v>0</v>
      </c>
      <c r="U653" s="74">
        <f t="shared" si="364"/>
        <v>0</v>
      </c>
      <c r="V653" s="74">
        <f t="shared" si="364"/>
        <v>0</v>
      </c>
      <c r="W653" s="74">
        <f t="shared" si="364"/>
        <v>0</v>
      </c>
      <c r="X653" s="74">
        <f t="shared" si="364"/>
        <v>0</v>
      </c>
      <c r="Y653" s="74">
        <f t="shared" si="364"/>
        <v>0</v>
      </c>
      <c r="Z653" s="74">
        <f t="shared" si="364"/>
        <v>0</v>
      </c>
    </row>
    <row r="654" hidden="1" outlineLevel="1">
      <c r="A654" s="16"/>
      <c r="B654" s="93">
        <f t="shared" si="357"/>
        <v>10</v>
      </c>
      <c r="C654" s="40"/>
      <c r="D654" s="40" t="s">
        <v>161</v>
      </c>
      <c r="E654" s="74">
        <f t="shared" si="108"/>
        <v>0</v>
      </c>
      <c r="F654" s="74"/>
      <c r="G654" s="74">
        <f t="shared" ref="G654:Z654" si="365">min(sum($G507:G507)-F675,G633)</f>
        <v>0</v>
      </c>
      <c r="H654" s="74">
        <f t="shared" si="365"/>
        <v>0</v>
      </c>
      <c r="I654" s="74">
        <f t="shared" si="365"/>
        <v>0</v>
      </c>
      <c r="J654" s="74">
        <f t="shared" si="365"/>
        <v>0</v>
      </c>
      <c r="K654" s="74">
        <f t="shared" si="365"/>
        <v>0</v>
      </c>
      <c r="L654" s="74">
        <f t="shared" si="365"/>
        <v>0</v>
      </c>
      <c r="M654" s="74">
        <f t="shared" si="365"/>
        <v>0</v>
      </c>
      <c r="N654" s="74">
        <f t="shared" si="365"/>
        <v>0</v>
      </c>
      <c r="O654" s="74">
        <f t="shared" si="365"/>
        <v>0</v>
      </c>
      <c r="P654" s="74">
        <f t="shared" si="365"/>
        <v>0</v>
      </c>
      <c r="Q654" s="74">
        <f t="shared" si="365"/>
        <v>0</v>
      </c>
      <c r="R654" s="74">
        <f t="shared" si="365"/>
        <v>0</v>
      </c>
      <c r="S654" s="74">
        <f t="shared" si="365"/>
        <v>0</v>
      </c>
      <c r="T654" s="74">
        <f t="shared" si="365"/>
        <v>0</v>
      </c>
      <c r="U654" s="74">
        <f t="shared" si="365"/>
        <v>0</v>
      </c>
      <c r="V654" s="74">
        <f t="shared" si="365"/>
        <v>0</v>
      </c>
      <c r="W654" s="74">
        <f t="shared" si="365"/>
        <v>0</v>
      </c>
      <c r="X654" s="74">
        <f t="shared" si="365"/>
        <v>0</v>
      </c>
      <c r="Y654" s="74">
        <f t="shared" si="365"/>
        <v>0</v>
      </c>
      <c r="Z654" s="74">
        <f t="shared" si="365"/>
        <v>0</v>
      </c>
    </row>
    <row r="655" hidden="1" outlineLevel="1">
      <c r="A655" s="16"/>
      <c r="B655" s="93">
        <f t="shared" si="357"/>
        <v>11</v>
      </c>
      <c r="C655" s="40"/>
      <c r="D655" s="40" t="s">
        <v>161</v>
      </c>
      <c r="E655" s="74">
        <f t="shared" si="108"/>
        <v>0</v>
      </c>
      <c r="F655" s="74"/>
      <c r="G655" s="74">
        <f t="shared" ref="G655:Z655" si="366">min(sum($G508:G508)-F676,G634)</f>
        <v>0</v>
      </c>
      <c r="H655" s="74">
        <f t="shared" si="366"/>
        <v>0</v>
      </c>
      <c r="I655" s="74">
        <f t="shared" si="366"/>
        <v>0</v>
      </c>
      <c r="J655" s="74">
        <f t="shared" si="366"/>
        <v>0</v>
      </c>
      <c r="K655" s="74">
        <f t="shared" si="366"/>
        <v>0</v>
      </c>
      <c r="L655" s="74">
        <f t="shared" si="366"/>
        <v>0</v>
      </c>
      <c r="M655" s="74">
        <f t="shared" si="366"/>
        <v>0</v>
      </c>
      <c r="N655" s="74">
        <f t="shared" si="366"/>
        <v>0</v>
      </c>
      <c r="O655" s="74">
        <f t="shared" si="366"/>
        <v>0</v>
      </c>
      <c r="P655" s="74">
        <f t="shared" si="366"/>
        <v>0</v>
      </c>
      <c r="Q655" s="74">
        <f t="shared" si="366"/>
        <v>0</v>
      </c>
      <c r="R655" s="74">
        <f t="shared" si="366"/>
        <v>0</v>
      </c>
      <c r="S655" s="74">
        <f t="shared" si="366"/>
        <v>0</v>
      </c>
      <c r="T655" s="74">
        <f t="shared" si="366"/>
        <v>0</v>
      </c>
      <c r="U655" s="74">
        <f t="shared" si="366"/>
        <v>0</v>
      </c>
      <c r="V655" s="74">
        <f t="shared" si="366"/>
        <v>0</v>
      </c>
      <c r="W655" s="74">
        <f t="shared" si="366"/>
        <v>0</v>
      </c>
      <c r="X655" s="74">
        <f t="shared" si="366"/>
        <v>0</v>
      </c>
      <c r="Y655" s="74">
        <f t="shared" si="366"/>
        <v>0</v>
      </c>
      <c r="Z655" s="74">
        <f t="shared" si="366"/>
        <v>0</v>
      </c>
    </row>
    <row r="656" hidden="1" outlineLevel="1">
      <c r="A656" s="16"/>
      <c r="B656" s="93">
        <f t="shared" si="357"/>
        <v>12</v>
      </c>
      <c r="C656" s="40"/>
      <c r="D656" s="40" t="s">
        <v>161</v>
      </c>
      <c r="E656" s="74">
        <f t="shared" si="108"/>
        <v>0</v>
      </c>
      <c r="F656" s="74"/>
      <c r="G656" s="74">
        <f t="shared" ref="G656:Z656" si="367">min(sum($G509:G509)-F677,G635)</f>
        <v>0</v>
      </c>
      <c r="H656" s="74">
        <f t="shared" si="367"/>
        <v>0</v>
      </c>
      <c r="I656" s="74">
        <f t="shared" si="367"/>
        <v>0</v>
      </c>
      <c r="J656" s="74">
        <f t="shared" si="367"/>
        <v>0</v>
      </c>
      <c r="K656" s="74">
        <f t="shared" si="367"/>
        <v>0</v>
      </c>
      <c r="L656" s="74">
        <f t="shared" si="367"/>
        <v>0</v>
      </c>
      <c r="M656" s="74">
        <f t="shared" si="367"/>
        <v>0</v>
      </c>
      <c r="N656" s="74">
        <f t="shared" si="367"/>
        <v>0</v>
      </c>
      <c r="O656" s="74">
        <f t="shared" si="367"/>
        <v>0</v>
      </c>
      <c r="P656" s="74">
        <f t="shared" si="367"/>
        <v>0</v>
      </c>
      <c r="Q656" s="74">
        <f t="shared" si="367"/>
        <v>0</v>
      </c>
      <c r="R656" s="74">
        <f t="shared" si="367"/>
        <v>0</v>
      </c>
      <c r="S656" s="74">
        <f t="shared" si="367"/>
        <v>0</v>
      </c>
      <c r="T656" s="74">
        <f t="shared" si="367"/>
        <v>0</v>
      </c>
      <c r="U656" s="74">
        <f t="shared" si="367"/>
        <v>0</v>
      </c>
      <c r="V656" s="74">
        <f t="shared" si="367"/>
        <v>0</v>
      </c>
      <c r="W656" s="74">
        <f t="shared" si="367"/>
        <v>0</v>
      </c>
      <c r="X656" s="74">
        <f t="shared" si="367"/>
        <v>0</v>
      </c>
      <c r="Y656" s="74">
        <f t="shared" si="367"/>
        <v>0</v>
      </c>
      <c r="Z656" s="74">
        <f t="shared" si="367"/>
        <v>0</v>
      </c>
    </row>
    <row r="657" hidden="1" outlineLevel="1">
      <c r="A657" s="16"/>
      <c r="B657" s="93">
        <f t="shared" si="357"/>
        <v>13</v>
      </c>
      <c r="C657" s="40"/>
      <c r="D657" s="40" t="s">
        <v>161</v>
      </c>
      <c r="E657" s="74">
        <f t="shared" si="108"/>
        <v>0</v>
      </c>
      <c r="F657" s="74"/>
      <c r="G657" s="74">
        <f t="shared" ref="G657:Z657" si="368">min(sum($G510:G510)-F678,G636)</f>
        <v>0</v>
      </c>
      <c r="H657" s="74">
        <f t="shared" si="368"/>
        <v>0</v>
      </c>
      <c r="I657" s="74">
        <f t="shared" si="368"/>
        <v>0</v>
      </c>
      <c r="J657" s="74">
        <f t="shared" si="368"/>
        <v>0</v>
      </c>
      <c r="K657" s="74">
        <f t="shared" si="368"/>
        <v>0</v>
      </c>
      <c r="L657" s="74">
        <f t="shared" si="368"/>
        <v>0</v>
      </c>
      <c r="M657" s="74">
        <f t="shared" si="368"/>
        <v>0</v>
      </c>
      <c r="N657" s="74">
        <f t="shared" si="368"/>
        <v>0</v>
      </c>
      <c r="O657" s="74">
        <f t="shared" si="368"/>
        <v>0</v>
      </c>
      <c r="P657" s="74">
        <f t="shared" si="368"/>
        <v>0</v>
      </c>
      <c r="Q657" s="74">
        <f t="shared" si="368"/>
        <v>0</v>
      </c>
      <c r="R657" s="74">
        <f t="shared" si="368"/>
        <v>0</v>
      </c>
      <c r="S657" s="74">
        <f t="shared" si="368"/>
        <v>0</v>
      </c>
      <c r="T657" s="74">
        <f t="shared" si="368"/>
        <v>0</v>
      </c>
      <c r="U657" s="74">
        <f t="shared" si="368"/>
        <v>0</v>
      </c>
      <c r="V657" s="74">
        <f t="shared" si="368"/>
        <v>0</v>
      </c>
      <c r="W657" s="74">
        <f t="shared" si="368"/>
        <v>0</v>
      </c>
      <c r="X657" s="74">
        <f t="shared" si="368"/>
        <v>0</v>
      </c>
      <c r="Y657" s="74">
        <f t="shared" si="368"/>
        <v>0</v>
      </c>
      <c r="Z657" s="74">
        <f t="shared" si="368"/>
        <v>0</v>
      </c>
    </row>
    <row r="658" hidden="1" outlineLevel="1">
      <c r="A658" s="16"/>
      <c r="B658" s="93">
        <f t="shared" si="357"/>
        <v>14</v>
      </c>
      <c r="C658" s="40"/>
      <c r="D658" s="40" t="s">
        <v>161</v>
      </c>
      <c r="E658" s="74">
        <f t="shared" si="108"/>
        <v>0</v>
      </c>
      <c r="F658" s="74"/>
      <c r="G658" s="74">
        <f t="shared" ref="G658:Z658" si="369">min(sum($G511:G511)-F679,G637)</f>
        <v>0</v>
      </c>
      <c r="H658" s="74">
        <f t="shared" si="369"/>
        <v>0</v>
      </c>
      <c r="I658" s="74">
        <f t="shared" si="369"/>
        <v>0</v>
      </c>
      <c r="J658" s="74">
        <f t="shared" si="369"/>
        <v>0</v>
      </c>
      <c r="K658" s="74">
        <f t="shared" si="369"/>
        <v>0</v>
      </c>
      <c r="L658" s="74">
        <f t="shared" si="369"/>
        <v>0</v>
      </c>
      <c r="M658" s="74">
        <f t="shared" si="369"/>
        <v>0</v>
      </c>
      <c r="N658" s="74">
        <f t="shared" si="369"/>
        <v>0</v>
      </c>
      <c r="O658" s="74">
        <f t="shared" si="369"/>
        <v>0</v>
      </c>
      <c r="P658" s="74">
        <f t="shared" si="369"/>
        <v>0</v>
      </c>
      <c r="Q658" s="74">
        <f t="shared" si="369"/>
        <v>0</v>
      </c>
      <c r="R658" s="74">
        <f t="shared" si="369"/>
        <v>0</v>
      </c>
      <c r="S658" s="74">
        <f t="shared" si="369"/>
        <v>0</v>
      </c>
      <c r="T658" s="74">
        <f t="shared" si="369"/>
        <v>0</v>
      </c>
      <c r="U658" s="74">
        <f t="shared" si="369"/>
        <v>0</v>
      </c>
      <c r="V658" s="74">
        <f t="shared" si="369"/>
        <v>0</v>
      </c>
      <c r="W658" s="74">
        <f t="shared" si="369"/>
        <v>0</v>
      </c>
      <c r="X658" s="74">
        <f t="shared" si="369"/>
        <v>0</v>
      </c>
      <c r="Y658" s="74">
        <f t="shared" si="369"/>
        <v>0</v>
      </c>
      <c r="Z658" s="74">
        <f t="shared" si="369"/>
        <v>0</v>
      </c>
    </row>
    <row r="659" hidden="1" outlineLevel="1">
      <c r="A659" s="16"/>
      <c r="B659" s="93">
        <f t="shared" si="357"/>
        <v>15</v>
      </c>
      <c r="C659" s="40"/>
      <c r="D659" s="40" t="s">
        <v>161</v>
      </c>
      <c r="E659" s="74">
        <f t="shared" si="108"/>
        <v>0</v>
      </c>
      <c r="F659" s="74"/>
      <c r="G659" s="74">
        <f t="shared" ref="G659:Z659" si="370">min(sum($G512:G512)-F680,G638)</f>
        <v>0</v>
      </c>
      <c r="H659" s="74">
        <f t="shared" si="370"/>
        <v>0</v>
      </c>
      <c r="I659" s="74">
        <f t="shared" si="370"/>
        <v>0</v>
      </c>
      <c r="J659" s="74">
        <f t="shared" si="370"/>
        <v>0</v>
      </c>
      <c r="K659" s="74">
        <f t="shared" si="370"/>
        <v>0</v>
      </c>
      <c r="L659" s="74">
        <f t="shared" si="370"/>
        <v>0</v>
      </c>
      <c r="M659" s="74">
        <f t="shared" si="370"/>
        <v>0</v>
      </c>
      <c r="N659" s="74">
        <f t="shared" si="370"/>
        <v>0</v>
      </c>
      <c r="O659" s="74">
        <f t="shared" si="370"/>
        <v>0</v>
      </c>
      <c r="P659" s="74">
        <f t="shared" si="370"/>
        <v>0</v>
      </c>
      <c r="Q659" s="74">
        <f t="shared" si="370"/>
        <v>0</v>
      </c>
      <c r="R659" s="74">
        <f t="shared" si="370"/>
        <v>0</v>
      </c>
      <c r="S659" s="74">
        <f t="shared" si="370"/>
        <v>0</v>
      </c>
      <c r="T659" s="74">
        <f t="shared" si="370"/>
        <v>0</v>
      </c>
      <c r="U659" s="74">
        <f t="shared" si="370"/>
        <v>0</v>
      </c>
      <c r="V659" s="74">
        <f t="shared" si="370"/>
        <v>0</v>
      </c>
      <c r="W659" s="74">
        <f t="shared" si="370"/>
        <v>0</v>
      </c>
      <c r="X659" s="74">
        <f t="shared" si="370"/>
        <v>0</v>
      </c>
      <c r="Y659" s="74">
        <f t="shared" si="370"/>
        <v>0</v>
      </c>
      <c r="Z659" s="74">
        <f t="shared" si="370"/>
        <v>0</v>
      </c>
    </row>
    <row r="660" hidden="1" outlineLevel="1">
      <c r="A660" s="16"/>
      <c r="B660" s="93">
        <f t="shared" si="357"/>
        <v>16</v>
      </c>
      <c r="C660" s="40"/>
      <c r="D660" s="40" t="s">
        <v>161</v>
      </c>
      <c r="E660" s="74">
        <f t="shared" si="108"/>
        <v>0</v>
      </c>
      <c r="F660" s="74"/>
      <c r="G660" s="74">
        <f t="shared" ref="G660:Z660" si="371">min(sum($G513:G513)-F681,G639)</f>
        <v>0</v>
      </c>
      <c r="H660" s="74">
        <f t="shared" si="371"/>
        <v>0</v>
      </c>
      <c r="I660" s="74">
        <f t="shared" si="371"/>
        <v>0</v>
      </c>
      <c r="J660" s="74">
        <f t="shared" si="371"/>
        <v>0</v>
      </c>
      <c r="K660" s="74">
        <f t="shared" si="371"/>
        <v>0</v>
      </c>
      <c r="L660" s="74">
        <f t="shared" si="371"/>
        <v>0</v>
      </c>
      <c r="M660" s="74">
        <f t="shared" si="371"/>
        <v>0</v>
      </c>
      <c r="N660" s="74">
        <f t="shared" si="371"/>
        <v>0</v>
      </c>
      <c r="O660" s="74">
        <f t="shared" si="371"/>
        <v>0</v>
      </c>
      <c r="P660" s="74">
        <f t="shared" si="371"/>
        <v>0</v>
      </c>
      <c r="Q660" s="74">
        <f t="shared" si="371"/>
        <v>0</v>
      </c>
      <c r="R660" s="74">
        <f t="shared" si="371"/>
        <v>0</v>
      </c>
      <c r="S660" s="74">
        <f t="shared" si="371"/>
        <v>0</v>
      </c>
      <c r="T660" s="74">
        <f t="shared" si="371"/>
        <v>0</v>
      </c>
      <c r="U660" s="74">
        <f t="shared" si="371"/>
        <v>0</v>
      </c>
      <c r="V660" s="74">
        <f t="shared" si="371"/>
        <v>0</v>
      </c>
      <c r="W660" s="74">
        <f t="shared" si="371"/>
        <v>0</v>
      </c>
      <c r="X660" s="74">
        <f t="shared" si="371"/>
        <v>0</v>
      </c>
      <c r="Y660" s="74">
        <f t="shared" si="371"/>
        <v>0</v>
      </c>
      <c r="Z660" s="74">
        <f t="shared" si="371"/>
        <v>0</v>
      </c>
    </row>
    <row r="661" hidden="1" outlineLevel="1">
      <c r="A661" s="16"/>
      <c r="B661" s="93">
        <f t="shared" si="357"/>
        <v>17</v>
      </c>
      <c r="C661" s="40"/>
      <c r="D661" s="40" t="s">
        <v>161</v>
      </c>
      <c r="E661" s="74">
        <f t="shared" si="108"/>
        <v>0</v>
      </c>
      <c r="F661" s="74"/>
      <c r="G661" s="74">
        <f t="shared" ref="G661:Z661" si="372">min(sum($G514:G514)-F682,G640)</f>
        <v>0</v>
      </c>
      <c r="H661" s="74">
        <f t="shared" si="372"/>
        <v>0</v>
      </c>
      <c r="I661" s="74">
        <f t="shared" si="372"/>
        <v>0</v>
      </c>
      <c r="J661" s="74">
        <f t="shared" si="372"/>
        <v>0</v>
      </c>
      <c r="K661" s="74">
        <f t="shared" si="372"/>
        <v>0</v>
      </c>
      <c r="L661" s="74">
        <f t="shared" si="372"/>
        <v>0</v>
      </c>
      <c r="M661" s="74">
        <f t="shared" si="372"/>
        <v>0</v>
      </c>
      <c r="N661" s="74">
        <f t="shared" si="372"/>
        <v>0</v>
      </c>
      <c r="O661" s="74">
        <f t="shared" si="372"/>
        <v>0</v>
      </c>
      <c r="P661" s="74">
        <f t="shared" si="372"/>
        <v>0</v>
      </c>
      <c r="Q661" s="74">
        <f t="shared" si="372"/>
        <v>0</v>
      </c>
      <c r="R661" s="74">
        <f t="shared" si="372"/>
        <v>0</v>
      </c>
      <c r="S661" s="74">
        <f t="shared" si="372"/>
        <v>0</v>
      </c>
      <c r="T661" s="74">
        <f t="shared" si="372"/>
        <v>0</v>
      </c>
      <c r="U661" s="74">
        <f t="shared" si="372"/>
        <v>0</v>
      </c>
      <c r="V661" s="74">
        <f t="shared" si="372"/>
        <v>0</v>
      </c>
      <c r="W661" s="74">
        <f t="shared" si="372"/>
        <v>0</v>
      </c>
      <c r="X661" s="74">
        <f t="shared" si="372"/>
        <v>0</v>
      </c>
      <c r="Y661" s="74">
        <f t="shared" si="372"/>
        <v>0</v>
      </c>
      <c r="Z661" s="74">
        <f t="shared" si="372"/>
        <v>0</v>
      </c>
    </row>
    <row r="662" hidden="1" outlineLevel="1">
      <c r="A662" s="16"/>
      <c r="B662" s="93">
        <f t="shared" si="357"/>
        <v>18</v>
      </c>
      <c r="C662" s="40"/>
      <c r="D662" s="40" t="s">
        <v>161</v>
      </c>
      <c r="E662" s="74">
        <f t="shared" si="108"/>
        <v>0</v>
      </c>
      <c r="F662" s="74"/>
      <c r="G662" s="74">
        <f t="shared" ref="G662:Z662" si="373">min(sum($G515:G515)-F683,G641)</f>
        <v>0</v>
      </c>
      <c r="H662" s="74">
        <f t="shared" si="373"/>
        <v>0</v>
      </c>
      <c r="I662" s="74">
        <f t="shared" si="373"/>
        <v>0</v>
      </c>
      <c r="J662" s="74">
        <f t="shared" si="373"/>
        <v>0</v>
      </c>
      <c r="K662" s="74">
        <f t="shared" si="373"/>
        <v>0</v>
      </c>
      <c r="L662" s="74">
        <f t="shared" si="373"/>
        <v>0</v>
      </c>
      <c r="M662" s="74">
        <f t="shared" si="373"/>
        <v>0</v>
      </c>
      <c r="N662" s="74">
        <f t="shared" si="373"/>
        <v>0</v>
      </c>
      <c r="O662" s="74">
        <f t="shared" si="373"/>
        <v>0</v>
      </c>
      <c r="P662" s="74">
        <f t="shared" si="373"/>
        <v>0</v>
      </c>
      <c r="Q662" s="74">
        <f t="shared" si="373"/>
        <v>0</v>
      </c>
      <c r="R662" s="74">
        <f t="shared" si="373"/>
        <v>0</v>
      </c>
      <c r="S662" s="74">
        <f t="shared" si="373"/>
        <v>0</v>
      </c>
      <c r="T662" s="74">
        <f t="shared" si="373"/>
        <v>0</v>
      </c>
      <c r="U662" s="74">
        <f t="shared" si="373"/>
        <v>0</v>
      </c>
      <c r="V662" s="74">
        <f t="shared" si="373"/>
        <v>0</v>
      </c>
      <c r="W662" s="74">
        <f t="shared" si="373"/>
        <v>0</v>
      </c>
      <c r="X662" s="74">
        <f t="shared" si="373"/>
        <v>0</v>
      </c>
      <c r="Y662" s="74">
        <f t="shared" si="373"/>
        <v>0</v>
      </c>
      <c r="Z662" s="74">
        <f t="shared" si="373"/>
        <v>0</v>
      </c>
    </row>
    <row r="663" hidden="1" outlineLevel="1">
      <c r="A663" s="16"/>
      <c r="B663" s="93">
        <f t="shared" si="357"/>
        <v>19</v>
      </c>
      <c r="C663" s="40"/>
      <c r="D663" s="40" t="s">
        <v>161</v>
      </c>
      <c r="E663" s="74">
        <f t="shared" si="108"/>
        <v>0</v>
      </c>
      <c r="F663" s="74"/>
      <c r="G663" s="74">
        <f t="shared" ref="G663:Z663" si="374">min(sum($G516:G516)-F684,G642)</f>
        <v>0</v>
      </c>
      <c r="H663" s="74">
        <f t="shared" si="374"/>
        <v>0</v>
      </c>
      <c r="I663" s="74">
        <f t="shared" si="374"/>
        <v>0</v>
      </c>
      <c r="J663" s="74">
        <f t="shared" si="374"/>
        <v>0</v>
      </c>
      <c r="K663" s="74">
        <f t="shared" si="374"/>
        <v>0</v>
      </c>
      <c r="L663" s="74">
        <f t="shared" si="374"/>
        <v>0</v>
      </c>
      <c r="M663" s="74">
        <f t="shared" si="374"/>
        <v>0</v>
      </c>
      <c r="N663" s="74">
        <f t="shared" si="374"/>
        <v>0</v>
      </c>
      <c r="O663" s="74">
        <f t="shared" si="374"/>
        <v>0</v>
      </c>
      <c r="P663" s="74">
        <f t="shared" si="374"/>
        <v>0</v>
      </c>
      <c r="Q663" s="74">
        <f t="shared" si="374"/>
        <v>0</v>
      </c>
      <c r="R663" s="74">
        <f t="shared" si="374"/>
        <v>0</v>
      </c>
      <c r="S663" s="74">
        <f t="shared" si="374"/>
        <v>0</v>
      </c>
      <c r="T663" s="74">
        <f t="shared" si="374"/>
        <v>0</v>
      </c>
      <c r="U663" s="74">
        <f t="shared" si="374"/>
        <v>0</v>
      </c>
      <c r="V663" s="74">
        <f t="shared" si="374"/>
        <v>0</v>
      </c>
      <c r="W663" s="74">
        <f t="shared" si="374"/>
        <v>0</v>
      </c>
      <c r="X663" s="74">
        <f t="shared" si="374"/>
        <v>0</v>
      </c>
      <c r="Y663" s="74">
        <f t="shared" si="374"/>
        <v>0</v>
      </c>
      <c r="Z663" s="74">
        <f t="shared" si="374"/>
        <v>0</v>
      </c>
    </row>
    <row r="664" hidden="1" outlineLevel="1">
      <c r="A664" s="16"/>
      <c r="B664" s="93">
        <f t="shared" si="357"/>
        <v>20</v>
      </c>
      <c r="C664" s="40"/>
      <c r="D664" s="40" t="s">
        <v>161</v>
      </c>
      <c r="E664" s="74">
        <f t="shared" si="108"/>
        <v>0</v>
      </c>
      <c r="F664" s="74"/>
      <c r="G664" s="74">
        <f t="shared" ref="G664:Z664" si="375">min(sum($G517:G517)-F685,G643)</f>
        <v>0</v>
      </c>
      <c r="H664" s="74">
        <f t="shared" si="375"/>
        <v>0</v>
      </c>
      <c r="I664" s="74">
        <f t="shared" si="375"/>
        <v>0</v>
      </c>
      <c r="J664" s="74">
        <f t="shared" si="375"/>
        <v>0</v>
      </c>
      <c r="K664" s="74">
        <f t="shared" si="375"/>
        <v>0</v>
      </c>
      <c r="L664" s="74">
        <f t="shared" si="375"/>
        <v>0</v>
      </c>
      <c r="M664" s="74">
        <f t="shared" si="375"/>
        <v>0</v>
      </c>
      <c r="N664" s="74">
        <f t="shared" si="375"/>
        <v>0</v>
      </c>
      <c r="O664" s="74">
        <f t="shared" si="375"/>
        <v>0</v>
      </c>
      <c r="P664" s="74">
        <f t="shared" si="375"/>
        <v>0</v>
      </c>
      <c r="Q664" s="74">
        <f t="shared" si="375"/>
        <v>0</v>
      </c>
      <c r="R664" s="74">
        <f t="shared" si="375"/>
        <v>0</v>
      </c>
      <c r="S664" s="74">
        <f t="shared" si="375"/>
        <v>0</v>
      </c>
      <c r="T664" s="74">
        <f t="shared" si="375"/>
        <v>0</v>
      </c>
      <c r="U664" s="74">
        <f t="shared" si="375"/>
        <v>0</v>
      </c>
      <c r="V664" s="74">
        <f t="shared" si="375"/>
        <v>0</v>
      </c>
      <c r="W664" s="74">
        <f t="shared" si="375"/>
        <v>0</v>
      </c>
      <c r="X664" s="74">
        <f t="shared" si="375"/>
        <v>0</v>
      </c>
      <c r="Y664" s="74">
        <f t="shared" si="375"/>
        <v>0</v>
      </c>
      <c r="Z664" s="74">
        <f t="shared" si="375"/>
        <v>0</v>
      </c>
    </row>
    <row r="665" collapsed="1">
      <c r="B665" s="40" t="s">
        <v>218</v>
      </c>
      <c r="C665" s="16"/>
      <c r="D665" s="16" t="s">
        <v>177</v>
      </c>
      <c r="E665" s="74">
        <f t="shared" si="108"/>
        <v>98450000</v>
      </c>
      <c r="F665" s="78"/>
      <c r="G665" s="77">
        <f t="shared" ref="G665:Z665" si="376">sum(G666:G685)</f>
        <v>0</v>
      </c>
      <c r="H665" s="77">
        <f t="shared" si="376"/>
        <v>0</v>
      </c>
      <c r="I665" s="77">
        <f t="shared" si="376"/>
        <v>0</v>
      </c>
      <c r="J665" s="77">
        <f t="shared" si="376"/>
        <v>359342.5</v>
      </c>
      <c r="K665" s="77">
        <f t="shared" si="376"/>
        <v>718685</v>
      </c>
      <c r="L665" s="77">
        <f t="shared" si="376"/>
        <v>5020950</v>
      </c>
      <c r="M665" s="77">
        <f t="shared" si="376"/>
        <v>15172785.83</v>
      </c>
      <c r="N665" s="77">
        <f t="shared" si="376"/>
        <v>29205192.5</v>
      </c>
      <c r="O665" s="77">
        <f t="shared" si="376"/>
        <v>57719594.17</v>
      </c>
      <c r="P665" s="77">
        <f t="shared" si="376"/>
        <v>80025082.5</v>
      </c>
      <c r="Q665" s="77">
        <f t="shared" si="376"/>
        <v>98450000</v>
      </c>
      <c r="R665" s="77">
        <f t="shared" si="376"/>
        <v>98450000</v>
      </c>
      <c r="S665" s="77">
        <f t="shared" si="376"/>
        <v>98450000</v>
      </c>
      <c r="T665" s="77">
        <f t="shared" si="376"/>
        <v>98450000</v>
      </c>
      <c r="U665" s="77">
        <f t="shared" si="376"/>
        <v>98450000</v>
      </c>
      <c r="V665" s="77">
        <f t="shared" si="376"/>
        <v>98450000</v>
      </c>
      <c r="W665" s="77">
        <f t="shared" si="376"/>
        <v>98450000</v>
      </c>
      <c r="X665" s="77">
        <f t="shared" si="376"/>
        <v>98450000</v>
      </c>
      <c r="Y665" s="77">
        <f t="shared" si="376"/>
        <v>98450000</v>
      </c>
      <c r="Z665" s="77">
        <f t="shared" si="376"/>
        <v>98450000</v>
      </c>
    </row>
    <row r="666" hidden="1" outlineLevel="1">
      <c r="A666" s="16"/>
      <c r="B666" s="93">
        <f>G$4</f>
        <v>1</v>
      </c>
      <c r="C666" s="40"/>
      <c r="D666" s="16" t="s">
        <v>177</v>
      </c>
      <c r="E666" s="74">
        <f t="shared" si="108"/>
        <v>32816666.67</v>
      </c>
      <c r="F666" s="74"/>
      <c r="G666" s="74">
        <f t="shared" ref="G666:Z666" si="377">F666+G645</f>
        <v>0</v>
      </c>
      <c r="H666" s="74">
        <f t="shared" si="377"/>
        <v>0</v>
      </c>
      <c r="I666" s="74">
        <f t="shared" si="377"/>
        <v>0</v>
      </c>
      <c r="J666" s="74">
        <f t="shared" si="377"/>
        <v>359342.5</v>
      </c>
      <c r="K666" s="74">
        <f t="shared" si="377"/>
        <v>359342.5</v>
      </c>
      <c r="L666" s="74">
        <f t="shared" si="377"/>
        <v>4302265</v>
      </c>
      <c r="M666" s="74">
        <f t="shared" si="377"/>
        <v>10511178.33</v>
      </c>
      <c r="N666" s="74">
        <f t="shared" si="377"/>
        <v>14391749.17</v>
      </c>
      <c r="O666" s="74">
        <f t="shared" si="377"/>
        <v>32816666.67</v>
      </c>
      <c r="P666" s="74">
        <f t="shared" si="377"/>
        <v>32816666.67</v>
      </c>
      <c r="Q666" s="74">
        <f t="shared" si="377"/>
        <v>32816666.67</v>
      </c>
      <c r="R666" s="74">
        <f t="shared" si="377"/>
        <v>32816666.67</v>
      </c>
      <c r="S666" s="74">
        <f t="shared" si="377"/>
        <v>32816666.67</v>
      </c>
      <c r="T666" s="74">
        <f t="shared" si="377"/>
        <v>32816666.67</v>
      </c>
      <c r="U666" s="74">
        <f t="shared" si="377"/>
        <v>32816666.67</v>
      </c>
      <c r="V666" s="74">
        <f t="shared" si="377"/>
        <v>32816666.67</v>
      </c>
      <c r="W666" s="74">
        <f t="shared" si="377"/>
        <v>32816666.67</v>
      </c>
      <c r="X666" s="74">
        <f t="shared" si="377"/>
        <v>32816666.67</v>
      </c>
      <c r="Y666" s="74">
        <f t="shared" si="377"/>
        <v>32816666.67</v>
      </c>
      <c r="Z666" s="74">
        <f t="shared" si="377"/>
        <v>32816666.67</v>
      </c>
    </row>
    <row r="667" hidden="1" outlineLevel="1">
      <c r="A667" s="16"/>
      <c r="B667" s="93">
        <f t="shared" ref="B667:B685" si="379">B666+1</f>
        <v>2</v>
      </c>
      <c r="C667" s="40"/>
      <c r="D667" s="16" t="s">
        <v>177</v>
      </c>
      <c r="E667" s="74">
        <f t="shared" si="108"/>
        <v>32816666.67</v>
      </c>
      <c r="F667" s="74"/>
      <c r="G667" s="74">
        <f t="shared" ref="G667:Z667" si="378">F667+G646</f>
        <v>0</v>
      </c>
      <c r="H667" s="74">
        <f t="shared" si="378"/>
        <v>0</v>
      </c>
      <c r="I667" s="74">
        <f t="shared" si="378"/>
        <v>0</v>
      </c>
      <c r="J667" s="74">
        <f t="shared" si="378"/>
        <v>0</v>
      </c>
      <c r="K667" s="74">
        <f t="shared" si="378"/>
        <v>359342.5</v>
      </c>
      <c r="L667" s="74">
        <f t="shared" si="378"/>
        <v>359342.5</v>
      </c>
      <c r="M667" s="74">
        <f t="shared" si="378"/>
        <v>4302265</v>
      </c>
      <c r="N667" s="74">
        <f t="shared" si="378"/>
        <v>10511178.33</v>
      </c>
      <c r="O667" s="74">
        <f t="shared" si="378"/>
        <v>14391749.17</v>
      </c>
      <c r="P667" s="74">
        <f t="shared" si="378"/>
        <v>32816666.67</v>
      </c>
      <c r="Q667" s="74">
        <f t="shared" si="378"/>
        <v>32816666.67</v>
      </c>
      <c r="R667" s="74">
        <f t="shared" si="378"/>
        <v>32816666.67</v>
      </c>
      <c r="S667" s="74">
        <f t="shared" si="378"/>
        <v>32816666.67</v>
      </c>
      <c r="T667" s="74">
        <f t="shared" si="378"/>
        <v>32816666.67</v>
      </c>
      <c r="U667" s="74">
        <f t="shared" si="378"/>
        <v>32816666.67</v>
      </c>
      <c r="V667" s="74">
        <f t="shared" si="378"/>
        <v>32816666.67</v>
      </c>
      <c r="W667" s="74">
        <f t="shared" si="378"/>
        <v>32816666.67</v>
      </c>
      <c r="X667" s="74">
        <f t="shared" si="378"/>
        <v>32816666.67</v>
      </c>
      <c r="Y667" s="74">
        <f t="shared" si="378"/>
        <v>32816666.67</v>
      </c>
      <c r="Z667" s="74">
        <f t="shared" si="378"/>
        <v>32816666.67</v>
      </c>
    </row>
    <row r="668" hidden="1" outlineLevel="1">
      <c r="A668" s="16"/>
      <c r="B668" s="93">
        <f t="shared" si="379"/>
        <v>3</v>
      </c>
      <c r="C668" s="40"/>
      <c r="D668" s="16" t="s">
        <v>177</v>
      </c>
      <c r="E668" s="74">
        <f t="shared" si="108"/>
        <v>32816666.67</v>
      </c>
      <c r="F668" s="74"/>
      <c r="G668" s="74">
        <f t="shared" ref="G668:Z668" si="380">F668+G647</f>
        <v>0</v>
      </c>
      <c r="H668" s="74">
        <f t="shared" si="380"/>
        <v>0</v>
      </c>
      <c r="I668" s="74">
        <f t="shared" si="380"/>
        <v>0</v>
      </c>
      <c r="J668" s="74">
        <f t="shared" si="380"/>
        <v>0</v>
      </c>
      <c r="K668" s="74">
        <f t="shared" si="380"/>
        <v>0</v>
      </c>
      <c r="L668" s="74">
        <f t="shared" si="380"/>
        <v>359342.5</v>
      </c>
      <c r="M668" s="74">
        <f t="shared" si="380"/>
        <v>359342.5</v>
      </c>
      <c r="N668" s="74">
        <f t="shared" si="380"/>
        <v>4302265</v>
      </c>
      <c r="O668" s="74">
        <f t="shared" si="380"/>
        <v>10511178.33</v>
      </c>
      <c r="P668" s="74">
        <f t="shared" si="380"/>
        <v>14391749.17</v>
      </c>
      <c r="Q668" s="74">
        <f t="shared" si="380"/>
        <v>32816666.67</v>
      </c>
      <c r="R668" s="74">
        <f t="shared" si="380"/>
        <v>32816666.67</v>
      </c>
      <c r="S668" s="74">
        <f t="shared" si="380"/>
        <v>32816666.67</v>
      </c>
      <c r="T668" s="74">
        <f t="shared" si="380"/>
        <v>32816666.67</v>
      </c>
      <c r="U668" s="74">
        <f t="shared" si="380"/>
        <v>32816666.67</v>
      </c>
      <c r="V668" s="74">
        <f t="shared" si="380"/>
        <v>32816666.67</v>
      </c>
      <c r="W668" s="74">
        <f t="shared" si="380"/>
        <v>32816666.67</v>
      </c>
      <c r="X668" s="74">
        <f t="shared" si="380"/>
        <v>32816666.67</v>
      </c>
      <c r="Y668" s="74">
        <f t="shared" si="380"/>
        <v>32816666.67</v>
      </c>
      <c r="Z668" s="74">
        <f t="shared" si="380"/>
        <v>32816666.67</v>
      </c>
    </row>
    <row r="669" hidden="1" outlineLevel="1">
      <c r="A669" s="16"/>
      <c r="B669" s="93">
        <f t="shared" si="379"/>
        <v>4</v>
      </c>
      <c r="C669" s="40"/>
      <c r="D669" s="16" t="s">
        <v>177</v>
      </c>
      <c r="E669" s="74">
        <f t="shared" si="108"/>
        <v>0</v>
      </c>
      <c r="F669" s="74"/>
      <c r="G669" s="74">
        <f t="shared" ref="G669:Z669" si="381">F669+G648</f>
        <v>0</v>
      </c>
      <c r="H669" s="74">
        <f t="shared" si="381"/>
        <v>0</v>
      </c>
      <c r="I669" s="74">
        <f t="shared" si="381"/>
        <v>0</v>
      </c>
      <c r="J669" s="74">
        <f t="shared" si="381"/>
        <v>0</v>
      </c>
      <c r="K669" s="74">
        <f t="shared" si="381"/>
        <v>0</v>
      </c>
      <c r="L669" s="74">
        <f t="shared" si="381"/>
        <v>0</v>
      </c>
      <c r="M669" s="74">
        <f t="shared" si="381"/>
        <v>0</v>
      </c>
      <c r="N669" s="74">
        <f t="shared" si="381"/>
        <v>0</v>
      </c>
      <c r="O669" s="74">
        <f t="shared" si="381"/>
        <v>0</v>
      </c>
      <c r="P669" s="74">
        <f t="shared" si="381"/>
        <v>0</v>
      </c>
      <c r="Q669" s="74">
        <f t="shared" si="381"/>
        <v>0</v>
      </c>
      <c r="R669" s="74">
        <f t="shared" si="381"/>
        <v>0</v>
      </c>
      <c r="S669" s="74">
        <f t="shared" si="381"/>
        <v>0</v>
      </c>
      <c r="T669" s="74">
        <f t="shared" si="381"/>
        <v>0</v>
      </c>
      <c r="U669" s="74">
        <f t="shared" si="381"/>
        <v>0</v>
      </c>
      <c r="V669" s="74">
        <f t="shared" si="381"/>
        <v>0</v>
      </c>
      <c r="W669" s="74">
        <f t="shared" si="381"/>
        <v>0</v>
      </c>
      <c r="X669" s="74">
        <f t="shared" si="381"/>
        <v>0</v>
      </c>
      <c r="Y669" s="74">
        <f t="shared" si="381"/>
        <v>0</v>
      </c>
      <c r="Z669" s="74">
        <f t="shared" si="381"/>
        <v>0</v>
      </c>
    </row>
    <row r="670" hidden="1" outlineLevel="1">
      <c r="A670" s="16"/>
      <c r="B670" s="93">
        <f t="shared" si="379"/>
        <v>5</v>
      </c>
      <c r="C670" s="40"/>
      <c r="D670" s="16" t="s">
        <v>177</v>
      </c>
      <c r="E670" s="74">
        <f t="shared" si="108"/>
        <v>0</v>
      </c>
      <c r="F670" s="74"/>
      <c r="G670" s="74">
        <f t="shared" ref="G670:Z670" si="382">F670+G649</f>
        <v>0</v>
      </c>
      <c r="H670" s="74">
        <f t="shared" si="382"/>
        <v>0</v>
      </c>
      <c r="I670" s="74">
        <f t="shared" si="382"/>
        <v>0</v>
      </c>
      <c r="J670" s="74">
        <f t="shared" si="382"/>
        <v>0</v>
      </c>
      <c r="K670" s="74">
        <f t="shared" si="382"/>
        <v>0</v>
      </c>
      <c r="L670" s="74">
        <f t="shared" si="382"/>
        <v>0</v>
      </c>
      <c r="M670" s="74">
        <f t="shared" si="382"/>
        <v>0</v>
      </c>
      <c r="N670" s="74">
        <f t="shared" si="382"/>
        <v>0</v>
      </c>
      <c r="O670" s="74">
        <f t="shared" si="382"/>
        <v>0</v>
      </c>
      <c r="P670" s="74">
        <f t="shared" si="382"/>
        <v>0</v>
      </c>
      <c r="Q670" s="74">
        <f t="shared" si="382"/>
        <v>0</v>
      </c>
      <c r="R670" s="74">
        <f t="shared" si="382"/>
        <v>0</v>
      </c>
      <c r="S670" s="74">
        <f t="shared" si="382"/>
        <v>0</v>
      </c>
      <c r="T670" s="74">
        <f t="shared" si="382"/>
        <v>0</v>
      </c>
      <c r="U670" s="74">
        <f t="shared" si="382"/>
        <v>0</v>
      </c>
      <c r="V670" s="74">
        <f t="shared" si="382"/>
        <v>0</v>
      </c>
      <c r="W670" s="74">
        <f t="shared" si="382"/>
        <v>0</v>
      </c>
      <c r="X670" s="74">
        <f t="shared" si="382"/>
        <v>0</v>
      </c>
      <c r="Y670" s="74">
        <f t="shared" si="382"/>
        <v>0</v>
      </c>
      <c r="Z670" s="74">
        <f t="shared" si="382"/>
        <v>0</v>
      </c>
    </row>
    <row r="671" hidden="1" outlineLevel="1">
      <c r="A671" s="16"/>
      <c r="B671" s="93">
        <f t="shared" si="379"/>
        <v>6</v>
      </c>
      <c r="C671" s="40"/>
      <c r="D671" s="16" t="s">
        <v>177</v>
      </c>
      <c r="E671" s="74">
        <f t="shared" si="108"/>
        <v>0</v>
      </c>
      <c r="F671" s="74"/>
      <c r="G671" s="74">
        <f t="shared" ref="G671:Z671" si="383">F671+G650</f>
        <v>0</v>
      </c>
      <c r="H671" s="74">
        <f t="shared" si="383"/>
        <v>0</v>
      </c>
      <c r="I671" s="74">
        <f t="shared" si="383"/>
        <v>0</v>
      </c>
      <c r="J671" s="74">
        <f t="shared" si="383"/>
        <v>0</v>
      </c>
      <c r="K671" s="74">
        <f t="shared" si="383"/>
        <v>0</v>
      </c>
      <c r="L671" s="74">
        <f t="shared" si="383"/>
        <v>0</v>
      </c>
      <c r="M671" s="74">
        <f t="shared" si="383"/>
        <v>0</v>
      </c>
      <c r="N671" s="74">
        <f t="shared" si="383"/>
        <v>0</v>
      </c>
      <c r="O671" s="74">
        <f t="shared" si="383"/>
        <v>0</v>
      </c>
      <c r="P671" s="74">
        <f t="shared" si="383"/>
        <v>0</v>
      </c>
      <c r="Q671" s="74">
        <f t="shared" si="383"/>
        <v>0</v>
      </c>
      <c r="R671" s="74">
        <f t="shared" si="383"/>
        <v>0</v>
      </c>
      <c r="S671" s="74">
        <f t="shared" si="383"/>
        <v>0</v>
      </c>
      <c r="T671" s="74">
        <f t="shared" si="383"/>
        <v>0</v>
      </c>
      <c r="U671" s="74">
        <f t="shared" si="383"/>
        <v>0</v>
      </c>
      <c r="V671" s="74">
        <f t="shared" si="383"/>
        <v>0</v>
      </c>
      <c r="W671" s="74">
        <f t="shared" si="383"/>
        <v>0</v>
      </c>
      <c r="X671" s="74">
        <f t="shared" si="383"/>
        <v>0</v>
      </c>
      <c r="Y671" s="74">
        <f t="shared" si="383"/>
        <v>0</v>
      </c>
      <c r="Z671" s="74">
        <f t="shared" si="383"/>
        <v>0</v>
      </c>
    </row>
    <row r="672" hidden="1" outlineLevel="1">
      <c r="A672" s="16"/>
      <c r="B672" s="93">
        <f t="shared" si="379"/>
        <v>7</v>
      </c>
      <c r="C672" s="40"/>
      <c r="D672" s="16" t="s">
        <v>177</v>
      </c>
      <c r="E672" s="74">
        <f t="shared" si="108"/>
        <v>0</v>
      </c>
      <c r="F672" s="74"/>
      <c r="G672" s="74">
        <f t="shared" ref="G672:Z672" si="384">F672+G651</f>
        <v>0</v>
      </c>
      <c r="H672" s="74">
        <f t="shared" si="384"/>
        <v>0</v>
      </c>
      <c r="I672" s="74">
        <f t="shared" si="384"/>
        <v>0</v>
      </c>
      <c r="J672" s="74">
        <f t="shared" si="384"/>
        <v>0</v>
      </c>
      <c r="K672" s="74">
        <f t="shared" si="384"/>
        <v>0</v>
      </c>
      <c r="L672" s="74">
        <f t="shared" si="384"/>
        <v>0</v>
      </c>
      <c r="M672" s="74">
        <f t="shared" si="384"/>
        <v>0</v>
      </c>
      <c r="N672" s="74">
        <f t="shared" si="384"/>
        <v>0</v>
      </c>
      <c r="O672" s="74">
        <f t="shared" si="384"/>
        <v>0</v>
      </c>
      <c r="P672" s="74">
        <f t="shared" si="384"/>
        <v>0</v>
      </c>
      <c r="Q672" s="74">
        <f t="shared" si="384"/>
        <v>0</v>
      </c>
      <c r="R672" s="74">
        <f t="shared" si="384"/>
        <v>0</v>
      </c>
      <c r="S672" s="74">
        <f t="shared" si="384"/>
        <v>0</v>
      </c>
      <c r="T672" s="74">
        <f t="shared" si="384"/>
        <v>0</v>
      </c>
      <c r="U672" s="74">
        <f t="shared" si="384"/>
        <v>0</v>
      </c>
      <c r="V672" s="74">
        <f t="shared" si="384"/>
        <v>0</v>
      </c>
      <c r="W672" s="74">
        <f t="shared" si="384"/>
        <v>0</v>
      </c>
      <c r="X672" s="74">
        <f t="shared" si="384"/>
        <v>0</v>
      </c>
      <c r="Y672" s="74">
        <f t="shared" si="384"/>
        <v>0</v>
      </c>
      <c r="Z672" s="74">
        <f t="shared" si="384"/>
        <v>0</v>
      </c>
    </row>
    <row r="673" hidden="1" outlineLevel="1">
      <c r="A673" s="16"/>
      <c r="B673" s="93">
        <f t="shared" si="379"/>
        <v>8</v>
      </c>
      <c r="C673" s="40"/>
      <c r="D673" s="16" t="s">
        <v>177</v>
      </c>
      <c r="E673" s="74">
        <f t="shared" si="108"/>
        <v>0</v>
      </c>
      <c r="F673" s="74"/>
      <c r="G673" s="74">
        <f t="shared" ref="G673:Z673" si="385">F673+G652</f>
        <v>0</v>
      </c>
      <c r="H673" s="74">
        <f t="shared" si="385"/>
        <v>0</v>
      </c>
      <c r="I673" s="74">
        <f t="shared" si="385"/>
        <v>0</v>
      </c>
      <c r="J673" s="74">
        <f t="shared" si="385"/>
        <v>0</v>
      </c>
      <c r="K673" s="74">
        <f t="shared" si="385"/>
        <v>0</v>
      </c>
      <c r="L673" s="74">
        <f t="shared" si="385"/>
        <v>0</v>
      </c>
      <c r="M673" s="74">
        <f t="shared" si="385"/>
        <v>0</v>
      </c>
      <c r="N673" s="74">
        <f t="shared" si="385"/>
        <v>0</v>
      </c>
      <c r="O673" s="74">
        <f t="shared" si="385"/>
        <v>0</v>
      </c>
      <c r="P673" s="74">
        <f t="shared" si="385"/>
        <v>0</v>
      </c>
      <c r="Q673" s="74">
        <f t="shared" si="385"/>
        <v>0</v>
      </c>
      <c r="R673" s="74">
        <f t="shared" si="385"/>
        <v>0</v>
      </c>
      <c r="S673" s="74">
        <f t="shared" si="385"/>
        <v>0</v>
      </c>
      <c r="T673" s="74">
        <f t="shared" si="385"/>
        <v>0</v>
      </c>
      <c r="U673" s="74">
        <f t="shared" si="385"/>
        <v>0</v>
      </c>
      <c r="V673" s="74">
        <f t="shared" si="385"/>
        <v>0</v>
      </c>
      <c r="W673" s="74">
        <f t="shared" si="385"/>
        <v>0</v>
      </c>
      <c r="X673" s="74">
        <f t="shared" si="385"/>
        <v>0</v>
      </c>
      <c r="Y673" s="74">
        <f t="shared" si="385"/>
        <v>0</v>
      </c>
      <c r="Z673" s="74">
        <f t="shared" si="385"/>
        <v>0</v>
      </c>
    </row>
    <row r="674" hidden="1" outlineLevel="1">
      <c r="A674" s="16"/>
      <c r="B674" s="93">
        <f t="shared" si="379"/>
        <v>9</v>
      </c>
      <c r="C674" s="40"/>
      <c r="D674" s="16" t="s">
        <v>177</v>
      </c>
      <c r="E674" s="74">
        <f t="shared" si="108"/>
        <v>0</v>
      </c>
      <c r="F674" s="74"/>
      <c r="G674" s="74">
        <f t="shared" ref="G674:Z674" si="386">F674+G653</f>
        <v>0</v>
      </c>
      <c r="H674" s="74">
        <f t="shared" si="386"/>
        <v>0</v>
      </c>
      <c r="I674" s="74">
        <f t="shared" si="386"/>
        <v>0</v>
      </c>
      <c r="J674" s="74">
        <f t="shared" si="386"/>
        <v>0</v>
      </c>
      <c r="K674" s="74">
        <f t="shared" si="386"/>
        <v>0</v>
      </c>
      <c r="L674" s="74">
        <f t="shared" si="386"/>
        <v>0</v>
      </c>
      <c r="M674" s="74">
        <f t="shared" si="386"/>
        <v>0</v>
      </c>
      <c r="N674" s="74">
        <f t="shared" si="386"/>
        <v>0</v>
      </c>
      <c r="O674" s="74">
        <f t="shared" si="386"/>
        <v>0</v>
      </c>
      <c r="P674" s="74">
        <f t="shared" si="386"/>
        <v>0</v>
      </c>
      <c r="Q674" s="74">
        <f t="shared" si="386"/>
        <v>0</v>
      </c>
      <c r="R674" s="74">
        <f t="shared" si="386"/>
        <v>0</v>
      </c>
      <c r="S674" s="74">
        <f t="shared" si="386"/>
        <v>0</v>
      </c>
      <c r="T674" s="74">
        <f t="shared" si="386"/>
        <v>0</v>
      </c>
      <c r="U674" s="74">
        <f t="shared" si="386"/>
        <v>0</v>
      </c>
      <c r="V674" s="74">
        <f t="shared" si="386"/>
        <v>0</v>
      </c>
      <c r="W674" s="74">
        <f t="shared" si="386"/>
        <v>0</v>
      </c>
      <c r="X674" s="74">
        <f t="shared" si="386"/>
        <v>0</v>
      </c>
      <c r="Y674" s="74">
        <f t="shared" si="386"/>
        <v>0</v>
      </c>
      <c r="Z674" s="74">
        <f t="shared" si="386"/>
        <v>0</v>
      </c>
    </row>
    <row r="675" hidden="1" outlineLevel="1">
      <c r="A675" s="16"/>
      <c r="B675" s="93">
        <f t="shared" si="379"/>
        <v>10</v>
      </c>
      <c r="C675" s="40"/>
      <c r="D675" s="16" t="s">
        <v>177</v>
      </c>
      <c r="E675" s="74">
        <f t="shared" si="108"/>
        <v>0</v>
      </c>
      <c r="F675" s="74"/>
      <c r="G675" s="74">
        <f t="shared" ref="G675:Z675" si="387">F675+G654</f>
        <v>0</v>
      </c>
      <c r="H675" s="74">
        <f t="shared" si="387"/>
        <v>0</v>
      </c>
      <c r="I675" s="74">
        <f t="shared" si="387"/>
        <v>0</v>
      </c>
      <c r="J675" s="74">
        <f t="shared" si="387"/>
        <v>0</v>
      </c>
      <c r="K675" s="74">
        <f t="shared" si="387"/>
        <v>0</v>
      </c>
      <c r="L675" s="74">
        <f t="shared" si="387"/>
        <v>0</v>
      </c>
      <c r="M675" s="74">
        <f t="shared" si="387"/>
        <v>0</v>
      </c>
      <c r="N675" s="74">
        <f t="shared" si="387"/>
        <v>0</v>
      </c>
      <c r="O675" s="74">
        <f t="shared" si="387"/>
        <v>0</v>
      </c>
      <c r="P675" s="74">
        <f t="shared" si="387"/>
        <v>0</v>
      </c>
      <c r="Q675" s="74">
        <f t="shared" si="387"/>
        <v>0</v>
      </c>
      <c r="R675" s="74">
        <f t="shared" si="387"/>
        <v>0</v>
      </c>
      <c r="S675" s="74">
        <f t="shared" si="387"/>
        <v>0</v>
      </c>
      <c r="T675" s="74">
        <f t="shared" si="387"/>
        <v>0</v>
      </c>
      <c r="U675" s="74">
        <f t="shared" si="387"/>
        <v>0</v>
      </c>
      <c r="V675" s="74">
        <f t="shared" si="387"/>
        <v>0</v>
      </c>
      <c r="W675" s="74">
        <f t="shared" si="387"/>
        <v>0</v>
      </c>
      <c r="X675" s="74">
        <f t="shared" si="387"/>
        <v>0</v>
      </c>
      <c r="Y675" s="74">
        <f t="shared" si="387"/>
        <v>0</v>
      </c>
      <c r="Z675" s="74">
        <f t="shared" si="387"/>
        <v>0</v>
      </c>
    </row>
    <row r="676" hidden="1" outlineLevel="1">
      <c r="A676" s="16"/>
      <c r="B676" s="93">
        <f t="shared" si="379"/>
        <v>11</v>
      </c>
      <c r="C676" s="40"/>
      <c r="D676" s="16" t="s">
        <v>177</v>
      </c>
      <c r="E676" s="74">
        <f t="shared" si="108"/>
        <v>0</v>
      </c>
      <c r="F676" s="74"/>
      <c r="G676" s="74">
        <f t="shared" ref="G676:Z676" si="388">F676+G655</f>
        <v>0</v>
      </c>
      <c r="H676" s="74">
        <f t="shared" si="388"/>
        <v>0</v>
      </c>
      <c r="I676" s="74">
        <f t="shared" si="388"/>
        <v>0</v>
      </c>
      <c r="J676" s="74">
        <f t="shared" si="388"/>
        <v>0</v>
      </c>
      <c r="K676" s="74">
        <f t="shared" si="388"/>
        <v>0</v>
      </c>
      <c r="L676" s="74">
        <f t="shared" si="388"/>
        <v>0</v>
      </c>
      <c r="M676" s="74">
        <f t="shared" si="388"/>
        <v>0</v>
      </c>
      <c r="N676" s="74">
        <f t="shared" si="388"/>
        <v>0</v>
      </c>
      <c r="O676" s="74">
        <f t="shared" si="388"/>
        <v>0</v>
      </c>
      <c r="P676" s="74">
        <f t="shared" si="388"/>
        <v>0</v>
      </c>
      <c r="Q676" s="74">
        <f t="shared" si="388"/>
        <v>0</v>
      </c>
      <c r="R676" s="74">
        <f t="shared" si="388"/>
        <v>0</v>
      </c>
      <c r="S676" s="74">
        <f t="shared" si="388"/>
        <v>0</v>
      </c>
      <c r="T676" s="74">
        <f t="shared" si="388"/>
        <v>0</v>
      </c>
      <c r="U676" s="74">
        <f t="shared" si="388"/>
        <v>0</v>
      </c>
      <c r="V676" s="74">
        <f t="shared" si="388"/>
        <v>0</v>
      </c>
      <c r="W676" s="74">
        <f t="shared" si="388"/>
        <v>0</v>
      </c>
      <c r="X676" s="74">
        <f t="shared" si="388"/>
        <v>0</v>
      </c>
      <c r="Y676" s="74">
        <f t="shared" si="388"/>
        <v>0</v>
      </c>
      <c r="Z676" s="74">
        <f t="shared" si="388"/>
        <v>0</v>
      </c>
    </row>
    <row r="677" hidden="1" outlineLevel="1">
      <c r="A677" s="16"/>
      <c r="B677" s="93">
        <f t="shared" si="379"/>
        <v>12</v>
      </c>
      <c r="C677" s="40"/>
      <c r="D677" s="16" t="s">
        <v>177</v>
      </c>
      <c r="E677" s="74">
        <f t="shared" si="108"/>
        <v>0</v>
      </c>
      <c r="F677" s="74"/>
      <c r="G677" s="74">
        <f t="shared" ref="G677:Z677" si="389">F677+G656</f>
        <v>0</v>
      </c>
      <c r="H677" s="74">
        <f t="shared" si="389"/>
        <v>0</v>
      </c>
      <c r="I677" s="74">
        <f t="shared" si="389"/>
        <v>0</v>
      </c>
      <c r="J677" s="74">
        <f t="shared" si="389"/>
        <v>0</v>
      </c>
      <c r="K677" s="74">
        <f t="shared" si="389"/>
        <v>0</v>
      </c>
      <c r="L677" s="74">
        <f t="shared" si="389"/>
        <v>0</v>
      </c>
      <c r="M677" s="74">
        <f t="shared" si="389"/>
        <v>0</v>
      </c>
      <c r="N677" s="74">
        <f t="shared" si="389"/>
        <v>0</v>
      </c>
      <c r="O677" s="74">
        <f t="shared" si="389"/>
        <v>0</v>
      </c>
      <c r="P677" s="74">
        <f t="shared" si="389"/>
        <v>0</v>
      </c>
      <c r="Q677" s="74">
        <f t="shared" si="389"/>
        <v>0</v>
      </c>
      <c r="R677" s="74">
        <f t="shared" si="389"/>
        <v>0</v>
      </c>
      <c r="S677" s="74">
        <f t="shared" si="389"/>
        <v>0</v>
      </c>
      <c r="T677" s="74">
        <f t="shared" si="389"/>
        <v>0</v>
      </c>
      <c r="U677" s="74">
        <f t="shared" si="389"/>
        <v>0</v>
      </c>
      <c r="V677" s="74">
        <f t="shared" si="389"/>
        <v>0</v>
      </c>
      <c r="W677" s="74">
        <f t="shared" si="389"/>
        <v>0</v>
      </c>
      <c r="X677" s="74">
        <f t="shared" si="389"/>
        <v>0</v>
      </c>
      <c r="Y677" s="74">
        <f t="shared" si="389"/>
        <v>0</v>
      </c>
      <c r="Z677" s="74">
        <f t="shared" si="389"/>
        <v>0</v>
      </c>
    </row>
    <row r="678" hidden="1" outlineLevel="1">
      <c r="A678" s="16"/>
      <c r="B678" s="93">
        <f t="shared" si="379"/>
        <v>13</v>
      </c>
      <c r="C678" s="40"/>
      <c r="D678" s="16" t="s">
        <v>177</v>
      </c>
      <c r="E678" s="74">
        <f t="shared" si="108"/>
        <v>0</v>
      </c>
      <c r="F678" s="74"/>
      <c r="G678" s="74">
        <f t="shared" ref="G678:Z678" si="390">F678+G657</f>
        <v>0</v>
      </c>
      <c r="H678" s="74">
        <f t="shared" si="390"/>
        <v>0</v>
      </c>
      <c r="I678" s="74">
        <f t="shared" si="390"/>
        <v>0</v>
      </c>
      <c r="J678" s="74">
        <f t="shared" si="390"/>
        <v>0</v>
      </c>
      <c r="K678" s="74">
        <f t="shared" si="390"/>
        <v>0</v>
      </c>
      <c r="L678" s="74">
        <f t="shared" si="390"/>
        <v>0</v>
      </c>
      <c r="M678" s="74">
        <f t="shared" si="390"/>
        <v>0</v>
      </c>
      <c r="N678" s="74">
        <f t="shared" si="390"/>
        <v>0</v>
      </c>
      <c r="O678" s="74">
        <f t="shared" si="390"/>
        <v>0</v>
      </c>
      <c r="P678" s="74">
        <f t="shared" si="390"/>
        <v>0</v>
      </c>
      <c r="Q678" s="74">
        <f t="shared" si="390"/>
        <v>0</v>
      </c>
      <c r="R678" s="74">
        <f t="shared" si="390"/>
        <v>0</v>
      </c>
      <c r="S678" s="74">
        <f t="shared" si="390"/>
        <v>0</v>
      </c>
      <c r="T678" s="74">
        <f t="shared" si="390"/>
        <v>0</v>
      </c>
      <c r="U678" s="74">
        <f t="shared" si="390"/>
        <v>0</v>
      </c>
      <c r="V678" s="74">
        <f t="shared" si="390"/>
        <v>0</v>
      </c>
      <c r="W678" s="74">
        <f t="shared" si="390"/>
        <v>0</v>
      </c>
      <c r="X678" s="74">
        <f t="shared" si="390"/>
        <v>0</v>
      </c>
      <c r="Y678" s="74">
        <f t="shared" si="390"/>
        <v>0</v>
      </c>
      <c r="Z678" s="74">
        <f t="shared" si="390"/>
        <v>0</v>
      </c>
    </row>
    <row r="679" hidden="1" outlineLevel="1">
      <c r="A679" s="16"/>
      <c r="B679" s="93">
        <f t="shared" si="379"/>
        <v>14</v>
      </c>
      <c r="C679" s="40"/>
      <c r="D679" s="16" t="s">
        <v>177</v>
      </c>
      <c r="E679" s="74">
        <f t="shared" si="108"/>
        <v>0</v>
      </c>
      <c r="F679" s="74"/>
      <c r="G679" s="74">
        <f t="shared" ref="G679:Z679" si="391">F679+G658</f>
        <v>0</v>
      </c>
      <c r="H679" s="74">
        <f t="shared" si="391"/>
        <v>0</v>
      </c>
      <c r="I679" s="74">
        <f t="shared" si="391"/>
        <v>0</v>
      </c>
      <c r="J679" s="74">
        <f t="shared" si="391"/>
        <v>0</v>
      </c>
      <c r="K679" s="74">
        <f t="shared" si="391"/>
        <v>0</v>
      </c>
      <c r="L679" s="74">
        <f t="shared" si="391"/>
        <v>0</v>
      </c>
      <c r="M679" s="74">
        <f t="shared" si="391"/>
        <v>0</v>
      </c>
      <c r="N679" s="74">
        <f t="shared" si="391"/>
        <v>0</v>
      </c>
      <c r="O679" s="74">
        <f t="shared" si="391"/>
        <v>0</v>
      </c>
      <c r="P679" s="74">
        <f t="shared" si="391"/>
        <v>0</v>
      </c>
      <c r="Q679" s="74">
        <f t="shared" si="391"/>
        <v>0</v>
      </c>
      <c r="R679" s="74">
        <f t="shared" si="391"/>
        <v>0</v>
      </c>
      <c r="S679" s="74">
        <f t="shared" si="391"/>
        <v>0</v>
      </c>
      <c r="T679" s="74">
        <f t="shared" si="391"/>
        <v>0</v>
      </c>
      <c r="U679" s="74">
        <f t="shared" si="391"/>
        <v>0</v>
      </c>
      <c r="V679" s="74">
        <f t="shared" si="391"/>
        <v>0</v>
      </c>
      <c r="W679" s="74">
        <f t="shared" si="391"/>
        <v>0</v>
      </c>
      <c r="X679" s="74">
        <f t="shared" si="391"/>
        <v>0</v>
      </c>
      <c r="Y679" s="74">
        <f t="shared" si="391"/>
        <v>0</v>
      </c>
      <c r="Z679" s="74">
        <f t="shared" si="391"/>
        <v>0</v>
      </c>
    </row>
    <row r="680" hidden="1" outlineLevel="1">
      <c r="A680" s="16"/>
      <c r="B680" s="93">
        <f t="shared" si="379"/>
        <v>15</v>
      </c>
      <c r="C680" s="40"/>
      <c r="D680" s="16" t="s">
        <v>177</v>
      </c>
      <c r="E680" s="74">
        <f t="shared" si="108"/>
        <v>0</v>
      </c>
      <c r="F680" s="74"/>
      <c r="G680" s="74">
        <f t="shared" ref="G680:Z680" si="392">F680+G659</f>
        <v>0</v>
      </c>
      <c r="H680" s="74">
        <f t="shared" si="392"/>
        <v>0</v>
      </c>
      <c r="I680" s="74">
        <f t="shared" si="392"/>
        <v>0</v>
      </c>
      <c r="J680" s="74">
        <f t="shared" si="392"/>
        <v>0</v>
      </c>
      <c r="K680" s="74">
        <f t="shared" si="392"/>
        <v>0</v>
      </c>
      <c r="L680" s="74">
        <f t="shared" si="392"/>
        <v>0</v>
      </c>
      <c r="M680" s="74">
        <f t="shared" si="392"/>
        <v>0</v>
      </c>
      <c r="N680" s="74">
        <f t="shared" si="392"/>
        <v>0</v>
      </c>
      <c r="O680" s="74">
        <f t="shared" si="392"/>
        <v>0</v>
      </c>
      <c r="P680" s="74">
        <f t="shared" si="392"/>
        <v>0</v>
      </c>
      <c r="Q680" s="74">
        <f t="shared" si="392"/>
        <v>0</v>
      </c>
      <c r="R680" s="74">
        <f t="shared" si="392"/>
        <v>0</v>
      </c>
      <c r="S680" s="74">
        <f t="shared" si="392"/>
        <v>0</v>
      </c>
      <c r="T680" s="74">
        <f t="shared" si="392"/>
        <v>0</v>
      </c>
      <c r="U680" s="74">
        <f t="shared" si="392"/>
        <v>0</v>
      </c>
      <c r="V680" s="74">
        <f t="shared" si="392"/>
        <v>0</v>
      </c>
      <c r="W680" s="74">
        <f t="shared" si="392"/>
        <v>0</v>
      </c>
      <c r="X680" s="74">
        <f t="shared" si="392"/>
        <v>0</v>
      </c>
      <c r="Y680" s="74">
        <f t="shared" si="392"/>
        <v>0</v>
      </c>
      <c r="Z680" s="74">
        <f t="shared" si="392"/>
        <v>0</v>
      </c>
    </row>
    <row r="681" hidden="1" outlineLevel="1">
      <c r="A681" s="16"/>
      <c r="B681" s="93">
        <f t="shared" si="379"/>
        <v>16</v>
      </c>
      <c r="C681" s="40"/>
      <c r="D681" s="16" t="s">
        <v>177</v>
      </c>
      <c r="E681" s="74">
        <f t="shared" si="108"/>
        <v>0</v>
      </c>
      <c r="F681" s="74"/>
      <c r="G681" s="74">
        <f t="shared" ref="G681:Z681" si="393">F681+G660</f>
        <v>0</v>
      </c>
      <c r="H681" s="74">
        <f t="shared" si="393"/>
        <v>0</v>
      </c>
      <c r="I681" s="74">
        <f t="shared" si="393"/>
        <v>0</v>
      </c>
      <c r="J681" s="74">
        <f t="shared" si="393"/>
        <v>0</v>
      </c>
      <c r="K681" s="74">
        <f t="shared" si="393"/>
        <v>0</v>
      </c>
      <c r="L681" s="74">
        <f t="shared" si="393"/>
        <v>0</v>
      </c>
      <c r="M681" s="74">
        <f t="shared" si="393"/>
        <v>0</v>
      </c>
      <c r="N681" s="74">
        <f t="shared" si="393"/>
        <v>0</v>
      </c>
      <c r="O681" s="74">
        <f t="shared" si="393"/>
        <v>0</v>
      </c>
      <c r="P681" s="74">
        <f t="shared" si="393"/>
        <v>0</v>
      </c>
      <c r="Q681" s="74">
        <f t="shared" si="393"/>
        <v>0</v>
      </c>
      <c r="R681" s="74">
        <f t="shared" si="393"/>
        <v>0</v>
      </c>
      <c r="S681" s="74">
        <f t="shared" si="393"/>
        <v>0</v>
      </c>
      <c r="T681" s="74">
        <f t="shared" si="393"/>
        <v>0</v>
      </c>
      <c r="U681" s="74">
        <f t="shared" si="393"/>
        <v>0</v>
      </c>
      <c r="V681" s="74">
        <f t="shared" si="393"/>
        <v>0</v>
      </c>
      <c r="W681" s="74">
        <f t="shared" si="393"/>
        <v>0</v>
      </c>
      <c r="X681" s="74">
        <f t="shared" si="393"/>
        <v>0</v>
      </c>
      <c r="Y681" s="74">
        <f t="shared" si="393"/>
        <v>0</v>
      </c>
      <c r="Z681" s="74">
        <f t="shared" si="393"/>
        <v>0</v>
      </c>
    </row>
    <row r="682" hidden="1" outlineLevel="1">
      <c r="A682" s="16"/>
      <c r="B682" s="93">
        <f t="shared" si="379"/>
        <v>17</v>
      </c>
      <c r="C682" s="40"/>
      <c r="D682" s="16" t="s">
        <v>177</v>
      </c>
      <c r="E682" s="74">
        <f t="shared" si="108"/>
        <v>0</v>
      </c>
      <c r="F682" s="74"/>
      <c r="G682" s="74">
        <f t="shared" ref="G682:Z682" si="394">F682+G661</f>
        <v>0</v>
      </c>
      <c r="H682" s="74">
        <f t="shared" si="394"/>
        <v>0</v>
      </c>
      <c r="I682" s="74">
        <f t="shared" si="394"/>
        <v>0</v>
      </c>
      <c r="J682" s="74">
        <f t="shared" si="394"/>
        <v>0</v>
      </c>
      <c r="K682" s="74">
        <f t="shared" si="394"/>
        <v>0</v>
      </c>
      <c r="L682" s="74">
        <f t="shared" si="394"/>
        <v>0</v>
      </c>
      <c r="M682" s="74">
        <f t="shared" si="394"/>
        <v>0</v>
      </c>
      <c r="N682" s="74">
        <f t="shared" si="394"/>
        <v>0</v>
      </c>
      <c r="O682" s="74">
        <f t="shared" si="394"/>
        <v>0</v>
      </c>
      <c r="P682" s="74">
        <f t="shared" si="394"/>
        <v>0</v>
      </c>
      <c r="Q682" s="74">
        <f t="shared" si="394"/>
        <v>0</v>
      </c>
      <c r="R682" s="74">
        <f t="shared" si="394"/>
        <v>0</v>
      </c>
      <c r="S682" s="74">
        <f t="shared" si="394"/>
        <v>0</v>
      </c>
      <c r="T682" s="74">
        <f t="shared" si="394"/>
        <v>0</v>
      </c>
      <c r="U682" s="74">
        <f t="shared" si="394"/>
        <v>0</v>
      </c>
      <c r="V682" s="74">
        <f t="shared" si="394"/>
        <v>0</v>
      </c>
      <c r="W682" s="74">
        <f t="shared" si="394"/>
        <v>0</v>
      </c>
      <c r="X682" s="74">
        <f t="shared" si="394"/>
        <v>0</v>
      </c>
      <c r="Y682" s="74">
        <f t="shared" si="394"/>
        <v>0</v>
      </c>
      <c r="Z682" s="74">
        <f t="shared" si="394"/>
        <v>0</v>
      </c>
    </row>
    <row r="683" hidden="1" outlineLevel="1">
      <c r="A683" s="16"/>
      <c r="B683" s="93">
        <f t="shared" si="379"/>
        <v>18</v>
      </c>
      <c r="C683" s="40"/>
      <c r="D683" s="16" t="s">
        <v>177</v>
      </c>
      <c r="E683" s="74">
        <f t="shared" si="108"/>
        <v>0</v>
      </c>
      <c r="F683" s="74"/>
      <c r="G683" s="74">
        <f t="shared" ref="G683:Z683" si="395">F683+G662</f>
        <v>0</v>
      </c>
      <c r="H683" s="74">
        <f t="shared" si="395"/>
        <v>0</v>
      </c>
      <c r="I683" s="74">
        <f t="shared" si="395"/>
        <v>0</v>
      </c>
      <c r="J683" s="74">
        <f t="shared" si="395"/>
        <v>0</v>
      </c>
      <c r="K683" s="74">
        <f t="shared" si="395"/>
        <v>0</v>
      </c>
      <c r="L683" s="74">
        <f t="shared" si="395"/>
        <v>0</v>
      </c>
      <c r="M683" s="74">
        <f t="shared" si="395"/>
        <v>0</v>
      </c>
      <c r="N683" s="74">
        <f t="shared" si="395"/>
        <v>0</v>
      </c>
      <c r="O683" s="74">
        <f t="shared" si="395"/>
        <v>0</v>
      </c>
      <c r="P683" s="74">
        <f t="shared" si="395"/>
        <v>0</v>
      </c>
      <c r="Q683" s="74">
        <f t="shared" si="395"/>
        <v>0</v>
      </c>
      <c r="R683" s="74">
        <f t="shared" si="395"/>
        <v>0</v>
      </c>
      <c r="S683" s="74">
        <f t="shared" si="395"/>
        <v>0</v>
      </c>
      <c r="T683" s="74">
        <f t="shared" si="395"/>
        <v>0</v>
      </c>
      <c r="U683" s="74">
        <f t="shared" si="395"/>
        <v>0</v>
      </c>
      <c r="V683" s="74">
        <f t="shared" si="395"/>
        <v>0</v>
      </c>
      <c r="W683" s="74">
        <f t="shared" si="395"/>
        <v>0</v>
      </c>
      <c r="X683" s="74">
        <f t="shared" si="395"/>
        <v>0</v>
      </c>
      <c r="Y683" s="74">
        <f t="shared" si="395"/>
        <v>0</v>
      </c>
      <c r="Z683" s="74">
        <f t="shared" si="395"/>
        <v>0</v>
      </c>
    </row>
    <row r="684" hidden="1" outlineLevel="1">
      <c r="A684" s="16"/>
      <c r="B684" s="93">
        <f t="shared" si="379"/>
        <v>19</v>
      </c>
      <c r="C684" s="40"/>
      <c r="D684" s="16" t="s">
        <v>177</v>
      </c>
      <c r="E684" s="74">
        <f t="shared" si="108"/>
        <v>0</v>
      </c>
      <c r="F684" s="74"/>
      <c r="G684" s="74">
        <f t="shared" ref="G684:Z684" si="396">F684+G663</f>
        <v>0</v>
      </c>
      <c r="H684" s="74">
        <f t="shared" si="396"/>
        <v>0</v>
      </c>
      <c r="I684" s="74">
        <f t="shared" si="396"/>
        <v>0</v>
      </c>
      <c r="J684" s="74">
        <f t="shared" si="396"/>
        <v>0</v>
      </c>
      <c r="K684" s="74">
        <f t="shared" si="396"/>
        <v>0</v>
      </c>
      <c r="L684" s="74">
        <f t="shared" si="396"/>
        <v>0</v>
      </c>
      <c r="M684" s="74">
        <f t="shared" si="396"/>
        <v>0</v>
      </c>
      <c r="N684" s="74">
        <f t="shared" si="396"/>
        <v>0</v>
      </c>
      <c r="O684" s="74">
        <f t="shared" si="396"/>
        <v>0</v>
      </c>
      <c r="P684" s="74">
        <f t="shared" si="396"/>
        <v>0</v>
      </c>
      <c r="Q684" s="74">
        <f t="shared" si="396"/>
        <v>0</v>
      </c>
      <c r="R684" s="74">
        <f t="shared" si="396"/>
        <v>0</v>
      </c>
      <c r="S684" s="74">
        <f t="shared" si="396"/>
        <v>0</v>
      </c>
      <c r="T684" s="74">
        <f t="shared" si="396"/>
        <v>0</v>
      </c>
      <c r="U684" s="74">
        <f t="shared" si="396"/>
        <v>0</v>
      </c>
      <c r="V684" s="74">
        <f t="shared" si="396"/>
        <v>0</v>
      </c>
      <c r="W684" s="74">
        <f t="shared" si="396"/>
        <v>0</v>
      </c>
      <c r="X684" s="74">
        <f t="shared" si="396"/>
        <v>0</v>
      </c>
      <c r="Y684" s="74">
        <f t="shared" si="396"/>
        <v>0</v>
      </c>
      <c r="Z684" s="74">
        <f t="shared" si="396"/>
        <v>0</v>
      </c>
    </row>
    <row r="685" hidden="1" outlineLevel="1">
      <c r="A685" s="16"/>
      <c r="B685" s="93">
        <f t="shared" si="379"/>
        <v>20</v>
      </c>
      <c r="C685" s="40"/>
      <c r="D685" s="16" t="s">
        <v>177</v>
      </c>
      <c r="E685" s="74">
        <f t="shared" si="108"/>
        <v>0</v>
      </c>
      <c r="F685" s="74"/>
      <c r="G685" s="74">
        <f t="shared" ref="G685:Z685" si="397">F685+G664</f>
        <v>0</v>
      </c>
      <c r="H685" s="74">
        <f t="shared" si="397"/>
        <v>0</v>
      </c>
      <c r="I685" s="74">
        <f t="shared" si="397"/>
        <v>0</v>
      </c>
      <c r="J685" s="74">
        <f t="shared" si="397"/>
        <v>0</v>
      </c>
      <c r="K685" s="74">
        <f t="shared" si="397"/>
        <v>0</v>
      </c>
      <c r="L685" s="74">
        <f t="shared" si="397"/>
        <v>0</v>
      </c>
      <c r="M685" s="74">
        <f t="shared" si="397"/>
        <v>0</v>
      </c>
      <c r="N685" s="74">
        <f t="shared" si="397"/>
        <v>0</v>
      </c>
      <c r="O685" s="74">
        <f t="shared" si="397"/>
        <v>0</v>
      </c>
      <c r="P685" s="74">
        <f t="shared" si="397"/>
        <v>0</v>
      </c>
      <c r="Q685" s="74">
        <f t="shared" si="397"/>
        <v>0</v>
      </c>
      <c r="R685" s="74">
        <f t="shared" si="397"/>
        <v>0</v>
      </c>
      <c r="S685" s="74">
        <f t="shared" si="397"/>
        <v>0</v>
      </c>
      <c r="T685" s="74">
        <f t="shared" si="397"/>
        <v>0</v>
      </c>
      <c r="U685" s="74">
        <f t="shared" si="397"/>
        <v>0</v>
      </c>
      <c r="V685" s="74">
        <f t="shared" si="397"/>
        <v>0</v>
      </c>
      <c r="W685" s="74">
        <f t="shared" si="397"/>
        <v>0</v>
      </c>
      <c r="X685" s="74">
        <f t="shared" si="397"/>
        <v>0</v>
      </c>
      <c r="Y685" s="74">
        <f t="shared" si="397"/>
        <v>0</v>
      </c>
      <c r="Z685" s="74">
        <f t="shared" si="397"/>
        <v>0</v>
      </c>
    </row>
    <row r="686" collapsed="1">
      <c r="B686" s="40" t="s">
        <v>220</v>
      </c>
      <c r="C686" s="16"/>
      <c r="D686" s="16" t="s">
        <v>177</v>
      </c>
      <c r="E686" s="74">
        <f t="shared" si="108"/>
        <v>0</v>
      </c>
      <c r="F686" s="78"/>
      <c r="G686" s="77">
        <f t="shared" ref="G686:Z686" si="398">sum(G687:G706)</f>
        <v>5641185</v>
      </c>
      <c r="H686" s="77">
        <f t="shared" si="398"/>
        <v>19831111.67</v>
      </c>
      <c r="I686" s="77">
        <f t="shared" si="398"/>
        <v>42569780</v>
      </c>
      <c r="J686" s="77">
        <f t="shared" si="398"/>
        <v>65887662.5</v>
      </c>
      <c r="K686" s="77">
        <f t="shared" si="398"/>
        <v>82220517.5</v>
      </c>
      <c r="L686" s="77">
        <f t="shared" si="398"/>
        <v>86061708.33</v>
      </c>
      <c r="M686" s="77">
        <f t="shared" si="398"/>
        <v>78261186.67</v>
      </c>
      <c r="N686" s="77">
        <f t="shared" si="398"/>
        <v>65803980</v>
      </c>
      <c r="O686" s="77">
        <f t="shared" si="398"/>
        <v>39224120.83</v>
      </c>
      <c r="P686" s="77">
        <f t="shared" si="398"/>
        <v>18065575</v>
      </c>
      <c r="Q686" s="77">
        <f t="shared" si="398"/>
        <v>-0.000000003725290298</v>
      </c>
      <c r="R686" s="77">
        <f t="shared" si="398"/>
        <v>0</v>
      </c>
      <c r="S686" s="77">
        <f t="shared" si="398"/>
        <v>0</v>
      </c>
      <c r="T686" s="77">
        <f t="shared" si="398"/>
        <v>0</v>
      </c>
      <c r="U686" s="77">
        <f t="shared" si="398"/>
        <v>0</v>
      </c>
      <c r="V686" s="77">
        <f t="shared" si="398"/>
        <v>0</v>
      </c>
      <c r="W686" s="77">
        <f t="shared" si="398"/>
        <v>0</v>
      </c>
      <c r="X686" s="77">
        <f t="shared" si="398"/>
        <v>0</v>
      </c>
      <c r="Y686" s="77">
        <f t="shared" si="398"/>
        <v>0</v>
      </c>
      <c r="Z686" s="77">
        <f t="shared" si="398"/>
        <v>0</v>
      </c>
    </row>
    <row r="687" hidden="1" outlineLevel="1">
      <c r="A687" s="16"/>
      <c r="B687" s="93">
        <f>G$4</f>
        <v>1</v>
      </c>
      <c r="C687" s="40"/>
      <c r="D687" s="16" t="s">
        <v>177</v>
      </c>
      <c r="E687" s="74">
        <f t="shared" si="108"/>
        <v>0</v>
      </c>
      <c r="F687" s="74"/>
      <c r="G687" s="74">
        <f t="shared" ref="G687:Z687" si="399">sum($G498:G498)-G666</f>
        <v>5641185</v>
      </c>
      <c r="H687" s="74">
        <f t="shared" si="399"/>
        <v>14189926.67</v>
      </c>
      <c r="I687" s="74">
        <f t="shared" si="399"/>
        <v>22738668.33</v>
      </c>
      <c r="J687" s="74">
        <f t="shared" si="399"/>
        <v>28959067.5</v>
      </c>
      <c r="K687" s="74">
        <f t="shared" si="399"/>
        <v>30522781.67</v>
      </c>
      <c r="L687" s="74">
        <f t="shared" si="399"/>
        <v>26579859.17</v>
      </c>
      <c r="M687" s="74">
        <f t="shared" si="399"/>
        <v>21158545.83</v>
      </c>
      <c r="N687" s="74">
        <f t="shared" si="399"/>
        <v>18065575</v>
      </c>
      <c r="O687" s="74">
        <f t="shared" si="399"/>
        <v>-0.000000003725290298</v>
      </c>
      <c r="P687" s="74">
        <f t="shared" si="399"/>
        <v>0</v>
      </c>
      <c r="Q687" s="74">
        <f t="shared" si="399"/>
        <v>0</v>
      </c>
      <c r="R687" s="74">
        <f t="shared" si="399"/>
        <v>0</v>
      </c>
      <c r="S687" s="74">
        <f t="shared" si="399"/>
        <v>0</v>
      </c>
      <c r="T687" s="74">
        <f t="shared" si="399"/>
        <v>0</v>
      </c>
      <c r="U687" s="74">
        <f t="shared" si="399"/>
        <v>0</v>
      </c>
      <c r="V687" s="74">
        <f t="shared" si="399"/>
        <v>0</v>
      </c>
      <c r="W687" s="74">
        <f t="shared" si="399"/>
        <v>0</v>
      </c>
      <c r="X687" s="74">
        <f t="shared" si="399"/>
        <v>0</v>
      </c>
      <c r="Y687" s="74">
        <f t="shared" si="399"/>
        <v>0</v>
      </c>
      <c r="Z687" s="74">
        <f t="shared" si="399"/>
        <v>0</v>
      </c>
    </row>
    <row r="688" hidden="1" outlineLevel="1">
      <c r="A688" s="16"/>
      <c r="B688" s="93">
        <f t="shared" ref="B688:B706" si="401">B687+1</f>
        <v>2</v>
      </c>
      <c r="C688" s="40"/>
      <c r="D688" s="16" t="s">
        <v>177</v>
      </c>
      <c r="E688" s="74">
        <f t="shared" si="108"/>
        <v>0</v>
      </c>
      <c r="F688" s="74"/>
      <c r="G688" s="74">
        <f t="shared" ref="G688:Z688" si="400">sum($G499:G499)-G667</f>
        <v>0</v>
      </c>
      <c r="H688" s="74">
        <f t="shared" si="400"/>
        <v>5641185</v>
      </c>
      <c r="I688" s="74">
        <f t="shared" si="400"/>
        <v>14189926.67</v>
      </c>
      <c r="J688" s="74">
        <f t="shared" si="400"/>
        <v>22738668.33</v>
      </c>
      <c r="K688" s="74">
        <f t="shared" si="400"/>
        <v>28959067.5</v>
      </c>
      <c r="L688" s="74">
        <f t="shared" si="400"/>
        <v>30522781.67</v>
      </c>
      <c r="M688" s="74">
        <f t="shared" si="400"/>
        <v>26579859.17</v>
      </c>
      <c r="N688" s="74">
        <f t="shared" si="400"/>
        <v>21158545.83</v>
      </c>
      <c r="O688" s="74">
        <f t="shared" si="400"/>
        <v>18065575</v>
      </c>
      <c r="P688" s="74">
        <f t="shared" si="400"/>
        <v>-0.000000003725290298</v>
      </c>
      <c r="Q688" s="74">
        <f t="shared" si="400"/>
        <v>0</v>
      </c>
      <c r="R688" s="74">
        <f t="shared" si="400"/>
        <v>0</v>
      </c>
      <c r="S688" s="74">
        <f t="shared" si="400"/>
        <v>0</v>
      </c>
      <c r="T688" s="74">
        <f t="shared" si="400"/>
        <v>0</v>
      </c>
      <c r="U688" s="74">
        <f t="shared" si="400"/>
        <v>0</v>
      </c>
      <c r="V688" s="74">
        <f t="shared" si="400"/>
        <v>0</v>
      </c>
      <c r="W688" s="74">
        <f t="shared" si="400"/>
        <v>0</v>
      </c>
      <c r="X688" s="74">
        <f t="shared" si="400"/>
        <v>0</v>
      </c>
      <c r="Y688" s="74">
        <f t="shared" si="400"/>
        <v>0</v>
      </c>
      <c r="Z688" s="74">
        <f t="shared" si="400"/>
        <v>0</v>
      </c>
    </row>
    <row r="689" hidden="1" outlineLevel="1">
      <c r="A689" s="16"/>
      <c r="B689" s="93">
        <f t="shared" si="401"/>
        <v>3</v>
      </c>
      <c r="C689" s="40"/>
      <c r="D689" s="16" t="s">
        <v>177</v>
      </c>
      <c r="E689" s="74">
        <f t="shared" si="108"/>
        <v>0</v>
      </c>
      <c r="F689" s="74"/>
      <c r="G689" s="74">
        <f t="shared" ref="G689:Z689" si="402">sum($G500:G500)-G668</f>
        <v>0</v>
      </c>
      <c r="H689" s="74">
        <f t="shared" si="402"/>
        <v>0</v>
      </c>
      <c r="I689" s="74">
        <f t="shared" si="402"/>
        <v>5641185</v>
      </c>
      <c r="J689" s="74">
        <f t="shared" si="402"/>
        <v>14189926.67</v>
      </c>
      <c r="K689" s="74">
        <f t="shared" si="402"/>
        <v>22738668.33</v>
      </c>
      <c r="L689" s="74">
        <f t="shared" si="402"/>
        <v>28959067.5</v>
      </c>
      <c r="M689" s="74">
        <f t="shared" si="402"/>
        <v>30522781.67</v>
      </c>
      <c r="N689" s="74">
        <f t="shared" si="402"/>
        <v>26579859.17</v>
      </c>
      <c r="O689" s="74">
        <f t="shared" si="402"/>
        <v>21158545.83</v>
      </c>
      <c r="P689" s="74">
        <f t="shared" si="402"/>
        <v>18065575</v>
      </c>
      <c r="Q689" s="74">
        <f t="shared" si="402"/>
        <v>-0.000000003725290298</v>
      </c>
      <c r="R689" s="74">
        <f t="shared" si="402"/>
        <v>0</v>
      </c>
      <c r="S689" s="74">
        <f t="shared" si="402"/>
        <v>0</v>
      </c>
      <c r="T689" s="74">
        <f t="shared" si="402"/>
        <v>0</v>
      </c>
      <c r="U689" s="74">
        <f t="shared" si="402"/>
        <v>0</v>
      </c>
      <c r="V689" s="74">
        <f t="shared" si="402"/>
        <v>0</v>
      </c>
      <c r="W689" s="74">
        <f t="shared" si="402"/>
        <v>0</v>
      </c>
      <c r="X689" s="74">
        <f t="shared" si="402"/>
        <v>0</v>
      </c>
      <c r="Y689" s="74">
        <f t="shared" si="402"/>
        <v>0</v>
      </c>
      <c r="Z689" s="74">
        <f t="shared" si="402"/>
        <v>0</v>
      </c>
    </row>
    <row r="690" hidden="1" outlineLevel="1">
      <c r="A690" s="16"/>
      <c r="B690" s="93">
        <f t="shared" si="401"/>
        <v>4</v>
      </c>
      <c r="C690" s="40"/>
      <c r="D690" s="16" t="s">
        <v>177</v>
      </c>
      <c r="E690" s="74">
        <f t="shared" si="108"/>
        <v>0</v>
      </c>
      <c r="F690" s="74"/>
      <c r="G690" s="74">
        <f t="shared" ref="G690:Z690" si="403">sum($G501:G501)-G669</f>
        <v>0</v>
      </c>
      <c r="H690" s="74">
        <f t="shared" si="403"/>
        <v>0</v>
      </c>
      <c r="I690" s="74">
        <f t="shared" si="403"/>
        <v>0</v>
      </c>
      <c r="J690" s="74">
        <f t="shared" si="403"/>
        <v>0</v>
      </c>
      <c r="K690" s="74">
        <f t="shared" si="403"/>
        <v>0</v>
      </c>
      <c r="L690" s="74">
        <f t="shared" si="403"/>
        <v>0</v>
      </c>
      <c r="M690" s="74">
        <f t="shared" si="403"/>
        <v>0</v>
      </c>
      <c r="N690" s="74">
        <f t="shared" si="403"/>
        <v>0</v>
      </c>
      <c r="O690" s="74">
        <f t="shared" si="403"/>
        <v>0</v>
      </c>
      <c r="P690" s="74">
        <f t="shared" si="403"/>
        <v>0</v>
      </c>
      <c r="Q690" s="74">
        <f t="shared" si="403"/>
        <v>0</v>
      </c>
      <c r="R690" s="74">
        <f t="shared" si="403"/>
        <v>0</v>
      </c>
      <c r="S690" s="74">
        <f t="shared" si="403"/>
        <v>0</v>
      </c>
      <c r="T690" s="74">
        <f t="shared" si="403"/>
        <v>0</v>
      </c>
      <c r="U690" s="74">
        <f t="shared" si="403"/>
        <v>0</v>
      </c>
      <c r="V690" s="74">
        <f t="shared" si="403"/>
        <v>0</v>
      </c>
      <c r="W690" s="74">
        <f t="shared" si="403"/>
        <v>0</v>
      </c>
      <c r="X690" s="74">
        <f t="shared" si="403"/>
        <v>0</v>
      </c>
      <c r="Y690" s="74">
        <f t="shared" si="403"/>
        <v>0</v>
      </c>
      <c r="Z690" s="74">
        <f t="shared" si="403"/>
        <v>0</v>
      </c>
    </row>
    <row r="691" hidden="1" outlineLevel="1">
      <c r="A691" s="16"/>
      <c r="B691" s="93">
        <f t="shared" si="401"/>
        <v>5</v>
      </c>
      <c r="C691" s="40"/>
      <c r="D691" s="16" t="s">
        <v>177</v>
      </c>
      <c r="E691" s="74">
        <f t="shared" si="108"/>
        <v>0</v>
      </c>
      <c r="F691" s="74"/>
      <c r="G691" s="74">
        <f t="shared" ref="G691:Z691" si="404">sum($G502:G502)-G670</f>
        <v>0</v>
      </c>
      <c r="H691" s="74">
        <f t="shared" si="404"/>
        <v>0</v>
      </c>
      <c r="I691" s="74">
        <f t="shared" si="404"/>
        <v>0</v>
      </c>
      <c r="J691" s="74">
        <f t="shared" si="404"/>
        <v>0</v>
      </c>
      <c r="K691" s="74">
        <f t="shared" si="404"/>
        <v>0</v>
      </c>
      <c r="L691" s="74">
        <f t="shared" si="404"/>
        <v>0</v>
      </c>
      <c r="M691" s="74">
        <f t="shared" si="404"/>
        <v>0</v>
      </c>
      <c r="N691" s="74">
        <f t="shared" si="404"/>
        <v>0</v>
      </c>
      <c r="O691" s="74">
        <f t="shared" si="404"/>
        <v>0</v>
      </c>
      <c r="P691" s="74">
        <f t="shared" si="404"/>
        <v>0</v>
      </c>
      <c r="Q691" s="74">
        <f t="shared" si="404"/>
        <v>0</v>
      </c>
      <c r="R691" s="74">
        <f t="shared" si="404"/>
        <v>0</v>
      </c>
      <c r="S691" s="74">
        <f t="shared" si="404"/>
        <v>0</v>
      </c>
      <c r="T691" s="74">
        <f t="shared" si="404"/>
        <v>0</v>
      </c>
      <c r="U691" s="74">
        <f t="shared" si="404"/>
        <v>0</v>
      </c>
      <c r="V691" s="74">
        <f t="shared" si="404"/>
        <v>0</v>
      </c>
      <c r="W691" s="74">
        <f t="shared" si="404"/>
        <v>0</v>
      </c>
      <c r="X691" s="74">
        <f t="shared" si="404"/>
        <v>0</v>
      </c>
      <c r="Y691" s="74">
        <f t="shared" si="404"/>
        <v>0</v>
      </c>
      <c r="Z691" s="74">
        <f t="shared" si="404"/>
        <v>0</v>
      </c>
    </row>
    <row r="692" hidden="1" outlineLevel="1">
      <c r="A692" s="16"/>
      <c r="B692" s="93">
        <f t="shared" si="401"/>
        <v>6</v>
      </c>
      <c r="C692" s="40"/>
      <c r="D692" s="16" t="s">
        <v>177</v>
      </c>
      <c r="E692" s="74">
        <f t="shared" si="108"/>
        <v>0</v>
      </c>
      <c r="F692" s="74"/>
      <c r="G692" s="74">
        <f t="shared" ref="G692:Z692" si="405">sum($G503:G503)-G671</f>
        <v>0</v>
      </c>
      <c r="H692" s="74">
        <f t="shared" si="405"/>
        <v>0</v>
      </c>
      <c r="I692" s="74">
        <f t="shared" si="405"/>
        <v>0</v>
      </c>
      <c r="J692" s="74">
        <f t="shared" si="405"/>
        <v>0</v>
      </c>
      <c r="K692" s="74">
        <f t="shared" si="405"/>
        <v>0</v>
      </c>
      <c r="L692" s="74">
        <f t="shared" si="405"/>
        <v>0</v>
      </c>
      <c r="M692" s="74">
        <f t="shared" si="405"/>
        <v>0</v>
      </c>
      <c r="N692" s="74">
        <f t="shared" si="405"/>
        <v>0</v>
      </c>
      <c r="O692" s="74">
        <f t="shared" si="405"/>
        <v>0</v>
      </c>
      <c r="P692" s="74">
        <f t="shared" si="405"/>
        <v>0</v>
      </c>
      <c r="Q692" s="74">
        <f t="shared" si="405"/>
        <v>0</v>
      </c>
      <c r="R692" s="74">
        <f t="shared" si="405"/>
        <v>0</v>
      </c>
      <c r="S692" s="74">
        <f t="shared" si="405"/>
        <v>0</v>
      </c>
      <c r="T692" s="74">
        <f t="shared" si="405"/>
        <v>0</v>
      </c>
      <c r="U692" s="74">
        <f t="shared" si="405"/>
        <v>0</v>
      </c>
      <c r="V692" s="74">
        <f t="shared" si="405"/>
        <v>0</v>
      </c>
      <c r="W692" s="74">
        <f t="shared" si="405"/>
        <v>0</v>
      </c>
      <c r="X692" s="74">
        <f t="shared" si="405"/>
        <v>0</v>
      </c>
      <c r="Y692" s="74">
        <f t="shared" si="405"/>
        <v>0</v>
      </c>
      <c r="Z692" s="74">
        <f t="shared" si="405"/>
        <v>0</v>
      </c>
    </row>
    <row r="693" hidden="1" outlineLevel="1">
      <c r="A693" s="16"/>
      <c r="B693" s="93">
        <f t="shared" si="401"/>
        <v>7</v>
      </c>
      <c r="C693" s="40"/>
      <c r="D693" s="16" t="s">
        <v>177</v>
      </c>
      <c r="E693" s="74">
        <f t="shared" si="108"/>
        <v>0</v>
      </c>
      <c r="F693" s="74"/>
      <c r="G693" s="74">
        <f t="shared" ref="G693:Z693" si="406">sum($G504:G504)-G672</f>
        <v>0</v>
      </c>
      <c r="H693" s="74">
        <f t="shared" si="406"/>
        <v>0</v>
      </c>
      <c r="I693" s="74">
        <f t="shared" si="406"/>
        <v>0</v>
      </c>
      <c r="J693" s="74">
        <f t="shared" si="406"/>
        <v>0</v>
      </c>
      <c r="K693" s="74">
        <f t="shared" si="406"/>
        <v>0</v>
      </c>
      <c r="L693" s="74">
        <f t="shared" si="406"/>
        <v>0</v>
      </c>
      <c r="M693" s="74">
        <f t="shared" si="406"/>
        <v>0</v>
      </c>
      <c r="N693" s="74">
        <f t="shared" si="406"/>
        <v>0</v>
      </c>
      <c r="O693" s="74">
        <f t="shared" si="406"/>
        <v>0</v>
      </c>
      <c r="P693" s="74">
        <f t="shared" si="406"/>
        <v>0</v>
      </c>
      <c r="Q693" s="74">
        <f t="shared" si="406"/>
        <v>0</v>
      </c>
      <c r="R693" s="74">
        <f t="shared" si="406"/>
        <v>0</v>
      </c>
      <c r="S693" s="74">
        <f t="shared" si="406"/>
        <v>0</v>
      </c>
      <c r="T693" s="74">
        <f t="shared" si="406"/>
        <v>0</v>
      </c>
      <c r="U693" s="74">
        <f t="shared" si="406"/>
        <v>0</v>
      </c>
      <c r="V693" s="74">
        <f t="shared" si="406"/>
        <v>0</v>
      </c>
      <c r="W693" s="74">
        <f t="shared" si="406"/>
        <v>0</v>
      </c>
      <c r="X693" s="74">
        <f t="shared" si="406"/>
        <v>0</v>
      </c>
      <c r="Y693" s="74">
        <f t="shared" si="406"/>
        <v>0</v>
      </c>
      <c r="Z693" s="74">
        <f t="shared" si="406"/>
        <v>0</v>
      </c>
    </row>
    <row r="694" hidden="1" outlineLevel="1">
      <c r="A694" s="16"/>
      <c r="B694" s="93">
        <f t="shared" si="401"/>
        <v>8</v>
      </c>
      <c r="C694" s="40"/>
      <c r="D694" s="16" t="s">
        <v>177</v>
      </c>
      <c r="E694" s="74">
        <f t="shared" si="108"/>
        <v>0</v>
      </c>
      <c r="F694" s="74"/>
      <c r="G694" s="74">
        <f t="shared" ref="G694:Z694" si="407">sum($G505:G505)-G673</f>
        <v>0</v>
      </c>
      <c r="H694" s="74">
        <f t="shared" si="407"/>
        <v>0</v>
      </c>
      <c r="I694" s="74">
        <f t="shared" si="407"/>
        <v>0</v>
      </c>
      <c r="J694" s="74">
        <f t="shared" si="407"/>
        <v>0</v>
      </c>
      <c r="K694" s="74">
        <f t="shared" si="407"/>
        <v>0</v>
      </c>
      <c r="L694" s="74">
        <f t="shared" si="407"/>
        <v>0</v>
      </c>
      <c r="M694" s="74">
        <f t="shared" si="407"/>
        <v>0</v>
      </c>
      <c r="N694" s="74">
        <f t="shared" si="407"/>
        <v>0</v>
      </c>
      <c r="O694" s="74">
        <f t="shared" si="407"/>
        <v>0</v>
      </c>
      <c r="P694" s="74">
        <f t="shared" si="407"/>
        <v>0</v>
      </c>
      <c r="Q694" s="74">
        <f t="shared" si="407"/>
        <v>0</v>
      </c>
      <c r="R694" s="74">
        <f t="shared" si="407"/>
        <v>0</v>
      </c>
      <c r="S694" s="74">
        <f t="shared" si="407"/>
        <v>0</v>
      </c>
      <c r="T694" s="74">
        <f t="shared" si="407"/>
        <v>0</v>
      </c>
      <c r="U694" s="74">
        <f t="shared" si="407"/>
        <v>0</v>
      </c>
      <c r="V694" s="74">
        <f t="shared" si="407"/>
        <v>0</v>
      </c>
      <c r="W694" s="74">
        <f t="shared" si="407"/>
        <v>0</v>
      </c>
      <c r="X694" s="74">
        <f t="shared" si="407"/>
        <v>0</v>
      </c>
      <c r="Y694" s="74">
        <f t="shared" si="407"/>
        <v>0</v>
      </c>
      <c r="Z694" s="74">
        <f t="shared" si="407"/>
        <v>0</v>
      </c>
    </row>
    <row r="695" hidden="1" outlineLevel="1">
      <c r="A695" s="16"/>
      <c r="B695" s="93">
        <f t="shared" si="401"/>
        <v>9</v>
      </c>
      <c r="C695" s="40"/>
      <c r="D695" s="16" t="s">
        <v>177</v>
      </c>
      <c r="E695" s="74">
        <f t="shared" si="108"/>
        <v>0</v>
      </c>
      <c r="F695" s="74"/>
      <c r="G695" s="74">
        <f t="shared" ref="G695:Z695" si="408">sum($G506:G506)-G674</f>
        <v>0</v>
      </c>
      <c r="H695" s="74">
        <f t="shared" si="408"/>
        <v>0</v>
      </c>
      <c r="I695" s="74">
        <f t="shared" si="408"/>
        <v>0</v>
      </c>
      <c r="J695" s="74">
        <f t="shared" si="408"/>
        <v>0</v>
      </c>
      <c r="K695" s="74">
        <f t="shared" si="408"/>
        <v>0</v>
      </c>
      <c r="L695" s="74">
        <f t="shared" si="408"/>
        <v>0</v>
      </c>
      <c r="M695" s="74">
        <f t="shared" si="408"/>
        <v>0</v>
      </c>
      <c r="N695" s="74">
        <f t="shared" si="408"/>
        <v>0</v>
      </c>
      <c r="O695" s="74">
        <f t="shared" si="408"/>
        <v>0</v>
      </c>
      <c r="P695" s="74">
        <f t="shared" si="408"/>
        <v>0</v>
      </c>
      <c r="Q695" s="74">
        <f t="shared" si="408"/>
        <v>0</v>
      </c>
      <c r="R695" s="74">
        <f t="shared" si="408"/>
        <v>0</v>
      </c>
      <c r="S695" s="74">
        <f t="shared" si="408"/>
        <v>0</v>
      </c>
      <c r="T695" s="74">
        <f t="shared" si="408"/>
        <v>0</v>
      </c>
      <c r="U695" s="74">
        <f t="shared" si="408"/>
        <v>0</v>
      </c>
      <c r="V695" s="74">
        <f t="shared" si="408"/>
        <v>0</v>
      </c>
      <c r="W695" s="74">
        <f t="shared" si="408"/>
        <v>0</v>
      </c>
      <c r="X695" s="74">
        <f t="shared" si="408"/>
        <v>0</v>
      </c>
      <c r="Y695" s="74">
        <f t="shared" si="408"/>
        <v>0</v>
      </c>
      <c r="Z695" s="74">
        <f t="shared" si="408"/>
        <v>0</v>
      </c>
    </row>
    <row r="696" hidden="1" outlineLevel="1">
      <c r="A696" s="16"/>
      <c r="B696" s="93">
        <f t="shared" si="401"/>
        <v>10</v>
      </c>
      <c r="C696" s="40"/>
      <c r="D696" s="16" t="s">
        <v>177</v>
      </c>
      <c r="E696" s="74">
        <f t="shared" si="108"/>
        <v>0</v>
      </c>
      <c r="F696" s="74"/>
      <c r="G696" s="74">
        <f t="shared" ref="G696:Z696" si="409">sum($G507:G507)-G675</f>
        <v>0</v>
      </c>
      <c r="H696" s="74">
        <f t="shared" si="409"/>
        <v>0</v>
      </c>
      <c r="I696" s="74">
        <f t="shared" si="409"/>
        <v>0</v>
      </c>
      <c r="J696" s="74">
        <f t="shared" si="409"/>
        <v>0</v>
      </c>
      <c r="K696" s="74">
        <f t="shared" si="409"/>
        <v>0</v>
      </c>
      <c r="L696" s="74">
        <f t="shared" si="409"/>
        <v>0</v>
      </c>
      <c r="M696" s="74">
        <f t="shared" si="409"/>
        <v>0</v>
      </c>
      <c r="N696" s="74">
        <f t="shared" si="409"/>
        <v>0</v>
      </c>
      <c r="O696" s="74">
        <f t="shared" si="409"/>
        <v>0</v>
      </c>
      <c r="P696" s="74">
        <f t="shared" si="409"/>
        <v>0</v>
      </c>
      <c r="Q696" s="74">
        <f t="shared" si="409"/>
        <v>0</v>
      </c>
      <c r="R696" s="74">
        <f t="shared" si="409"/>
        <v>0</v>
      </c>
      <c r="S696" s="74">
        <f t="shared" si="409"/>
        <v>0</v>
      </c>
      <c r="T696" s="74">
        <f t="shared" si="409"/>
        <v>0</v>
      </c>
      <c r="U696" s="74">
        <f t="shared" si="409"/>
        <v>0</v>
      </c>
      <c r="V696" s="74">
        <f t="shared" si="409"/>
        <v>0</v>
      </c>
      <c r="W696" s="74">
        <f t="shared" si="409"/>
        <v>0</v>
      </c>
      <c r="X696" s="74">
        <f t="shared" si="409"/>
        <v>0</v>
      </c>
      <c r="Y696" s="74">
        <f t="shared" si="409"/>
        <v>0</v>
      </c>
      <c r="Z696" s="74">
        <f t="shared" si="409"/>
        <v>0</v>
      </c>
    </row>
    <row r="697" hidden="1" outlineLevel="1">
      <c r="A697" s="16"/>
      <c r="B697" s="93">
        <f t="shared" si="401"/>
        <v>11</v>
      </c>
      <c r="C697" s="40"/>
      <c r="D697" s="16" t="s">
        <v>177</v>
      </c>
      <c r="E697" s="74">
        <f t="shared" si="108"/>
        <v>0</v>
      </c>
      <c r="F697" s="74"/>
      <c r="G697" s="74">
        <f t="shared" ref="G697:Z697" si="410">sum($G508:G508)-G676</f>
        <v>0</v>
      </c>
      <c r="H697" s="74">
        <f t="shared" si="410"/>
        <v>0</v>
      </c>
      <c r="I697" s="74">
        <f t="shared" si="410"/>
        <v>0</v>
      </c>
      <c r="J697" s="74">
        <f t="shared" si="410"/>
        <v>0</v>
      </c>
      <c r="K697" s="74">
        <f t="shared" si="410"/>
        <v>0</v>
      </c>
      <c r="L697" s="74">
        <f t="shared" si="410"/>
        <v>0</v>
      </c>
      <c r="M697" s="74">
        <f t="shared" si="410"/>
        <v>0</v>
      </c>
      <c r="N697" s="74">
        <f t="shared" si="410"/>
        <v>0</v>
      </c>
      <c r="O697" s="74">
        <f t="shared" si="410"/>
        <v>0</v>
      </c>
      <c r="P697" s="74">
        <f t="shared" si="410"/>
        <v>0</v>
      </c>
      <c r="Q697" s="74">
        <f t="shared" si="410"/>
        <v>0</v>
      </c>
      <c r="R697" s="74">
        <f t="shared" si="410"/>
        <v>0</v>
      </c>
      <c r="S697" s="74">
        <f t="shared" si="410"/>
        <v>0</v>
      </c>
      <c r="T697" s="74">
        <f t="shared" si="410"/>
        <v>0</v>
      </c>
      <c r="U697" s="74">
        <f t="shared" si="410"/>
        <v>0</v>
      </c>
      <c r="V697" s="74">
        <f t="shared" si="410"/>
        <v>0</v>
      </c>
      <c r="W697" s="74">
        <f t="shared" si="410"/>
        <v>0</v>
      </c>
      <c r="X697" s="74">
        <f t="shared" si="410"/>
        <v>0</v>
      </c>
      <c r="Y697" s="74">
        <f t="shared" si="410"/>
        <v>0</v>
      </c>
      <c r="Z697" s="74">
        <f t="shared" si="410"/>
        <v>0</v>
      </c>
    </row>
    <row r="698" hidden="1" outlineLevel="1">
      <c r="A698" s="16"/>
      <c r="B698" s="93">
        <f t="shared" si="401"/>
        <v>12</v>
      </c>
      <c r="C698" s="40"/>
      <c r="D698" s="16" t="s">
        <v>177</v>
      </c>
      <c r="E698" s="74">
        <f t="shared" si="108"/>
        <v>0</v>
      </c>
      <c r="F698" s="74"/>
      <c r="G698" s="74">
        <f t="shared" ref="G698:Z698" si="411">sum($G509:G509)-G677</f>
        <v>0</v>
      </c>
      <c r="H698" s="74">
        <f t="shared" si="411"/>
        <v>0</v>
      </c>
      <c r="I698" s="74">
        <f t="shared" si="411"/>
        <v>0</v>
      </c>
      <c r="J698" s="74">
        <f t="shared" si="411"/>
        <v>0</v>
      </c>
      <c r="K698" s="74">
        <f t="shared" si="411"/>
        <v>0</v>
      </c>
      <c r="L698" s="74">
        <f t="shared" si="411"/>
        <v>0</v>
      </c>
      <c r="M698" s="74">
        <f t="shared" si="411"/>
        <v>0</v>
      </c>
      <c r="N698" s="74">
        <f t="shared" si="411"/>
        <v>0</v>
      </c>
      <c r="O698" s="74">
        <f t="shared" si="411"/>
        <v>0</v>
      </c>
      <c r="P698" s="74">
        <f t="shared" si="411"/>
        <v>0</v>
      </c>
      <c r="Q698" s="74">
        <f t="shared" si="411"/>
        <v>0</v>
      </c>
      <c r="R698" s="74">
        <f t="shared" si="411"/>
        <v>0</v>
      </c>
      <c r="S698" s="74">
        <f t="shared" si="411"/>
        <v>0</v>
      </c>
      <c r="T698" s="74">
        <f t="shared" si="411"/>
        <v>0</v>
      </c>
      <c r="U698" s="74">
        <f t="shared" si="411"/>
        <v>0</v>
      </c>
      <c r="V698" s="74">
        <f t="shared" si="411"/>
        <v>0</v>
      </c>
      <c r="W698" s="74">
        <f t="shared" si="411"/>
        <v>0</v>
      </c>
      <c r="X698" s="74">
        <f t="shared" si="411"/>
        <v>0</v>
      </c>
      <c r="Y698" s="74">
        <f t="shared" si="411"/>
        <v>0</v>
      </c>
      <c r="Z698" s="74">
        <f t="shared" si="411"/>
        <v>0</v>
      </c>
    </row>
    <row r="699" hidden="1" outlineLevel="1">
      <c r="A699" s="16"/>
      <c r="B699" s="93">
        <f t="shared" si="401"/>
        <v>13</v>
      </c>
      <c r="C699" s="40"/>
      <c r="D699" s="16" t="s">
        <v>177</v>
      </c>
      <c r="E699" s="74">
        <f t="shared" si="108"/>
        <v>0</v>
      </c>
      <c r="F699" s="74"/>
      <c r="G699" s="74">
        <f t="shared" ref="G699:Z699" si="412">sum($G510:G510)-G678</f>
        <v>0</v>
      </c>
      <c r="H699" s="74">
        <f t="shared" si="412"/>
        <v>0</v>
      </c>
      <c r="I699" s="74">
        <f t="shared" si="412"/>
        <v>0</v>
      </c>
      <c r="J699" s="74">
        <f t="shared" si="412"/>
        <v>0</v>
      </c>
      <c r="K699" s="74">
        <f t="shared" si="412"/>
        <v>0</v>
      </c>
      <c r="L699" s="74">
        <f t="shared" si="412"/>
        <v>0</v>
      </c>
      <c r="M699" s="74">
        <f t="shared" si="412"/>
        <v>0</v>
      </c>
      <c r="N699" s="74">
        <f t="shared" si="412"/>
        <v>0</v>
      </c>
      <c r="O699" s="74">
        <f t="shared" si="412"/>
        <v>0</v>
      </c>
      <c r="P699" s="74">
        <f t="shared" si="412"/>
        <v>0</v>
      </c>
      <c r="Q699" s="74">
        <f t="shared" si="412"/>
        <v>0</v>
      </c>
      <c r="R699" s="74">
        <f t="shared" si="412"/>
        <v>0</v>
      </c>
      <c r="S699" s="74">
        <f t="shared" si="412"/>
        <v>0</v>
      </c>
      <c r="T699" s="74">
        <f t="shared" si="412"/>
        <v>0</v>
      </c>
      <c r="U699" s="74">
        <f t="shared" si="412"/>
        <v>0</v>
      </c>
      <c r="V699" s="74">
        <f t="shared" si="412"/>
        <v>0</v>
      </c>
      <c r="W699" s="74">
        <f t="shared" si="412"/>
        <v>0</v>
      </c>
      <c r="X699" s="74">
        <f t="shared" si="412"/>
        <v>0</v>
      </c>
      <c r="Y699" s="74">
        <f t="shared" si="412"/>
        <v>0</v>
      </c>
      <c r="Z699" s="74">
        <f t="shared" si="412"/>
        <v>0</v>
      </c>
    </row>
    <row r="700" hidden="1" outlineLevel="1">
      <c r="A700" s="16"/>
      <c r="B700" s="93">
        <f t="shared" si="401"/>
        <v>14</v>
      </c>
      <c r="C700" s="40"/>
      <c r="D700" s="16" t="s">
        <v>177</v>
      </c>
      <c r="E700" s="74">
        <f t="shared" si="108"/>
        <v>0</v>
      </c>
      <c r="F700" s="74"/>
      <c r="G700" s="74">
        <f t="shared" ref="G700:Z700" si="413">sum($G511:G511)-G679</f>
        <v>0</v>
      </c>
      <c r="H700" s="74">
        <f t="shared" si="413"/>
        <v>0</v>
      </c>
      <c r="I700" s="74">
        <f t="shared" si="413"/>
        <v>0</v>
      </c>
      <c r="J700" s="74">
        <f t="shared" si="413"/>
        <v>0</v>
      </c>
      <c r="K700" s="74">
        <f t="shared" si="413"/>
        <v>0</v>
      </c>
      <c r="L700" s="74">
        <f t="shared" si="413"/>
        <v>0</v>
      </c>
      <c r="M700" s="74">
        <f t="shared" si="413"/>
        <v>0</v>
      </c>
      <c r="N700" s="74">
        <f t="shared" si="413"/>
        <v>0</v>
      </c>
      <c r="O700" s="74">
        <f t="shared" si="413"/>
        <v>0</v>
      </c>
      <c r="P700" s="74">
        <f t="shared" si="413"/>
        <v>0</v>
      </c>
      <c r="Q700" s="74">
        <f t="shared" si="413"/>
        <v>0</v>
      </c>
      <c r="R700" s="74">
        <f t="shared" si="413"/>
        <v>0</v>
      </c>
      <c r="S700" s="74">
        <f t="shared" si="413"/>
        <v>0</v>
      </c>
      <c r="T700" s="74">
        <f t="shared" si="413"/>
        <v>0</v>
      </c>
      <c r="U700" s="74">
        <f t="shared" si="413"/>
        <v>0</v>
      </c>
      <c r="V700" s="74">
        <f t="shared" si="413"/>
        <v>0</v>
      </c>
      <c r="W700" s="74">
        <f t="shared" si="413"/>
        <v>0</v>
      </c>
      <c r="X700" s="74">
        <f t="shared" si="413"/>
        <v>0</v>
      </c>
      <c r="Y700" s="74">
        <f t="shared" si="413"/>
        <v>0</v>
      </c>
      <c r="Z700" s="74">
        <f t="shared" si="413"/>
        <v>0</v>
      </c>
    </row>
    <row r="701" hidden="1" outlineLevel="1">
      <c r="A701" s="16"/>
      <c r="B701" s="93">
        <f t="shared" si="401"/>
        <v>15</v>
      </c>
      <c r="C701" s="40"/>
      <c r="D701" s="16" t="s">
        <v>177</v>
      </c>
      <c r="E701" s="74">
        <f t="shared" si="108"/>
        <v>0</v>
      </c>
      <c r="F701" s="74"/>
      <c r="G701" s="74">
        <f t="shared" ref="G701:Z701" si="414">sum($G512:G512)-G680</f>
        <v>0</v>
      </c>
      <c r="H701" s="74">
        <f t="shared" si="414"/>
        <v>0</v>
      </c>
      <c r="I701" s="74">
        <f t="shared" si="414"/>
        <v>0</v>
      </c>
      <c r="J701" s="74">
        <f t="shared" si="414"/>
        <v>0</v>
      </c>
      <c r="K701" s="74">
        <f t="shared" si="414"/>
        <v>0</v>
      </c>
      <c r="L701" s="74">
        <f t="shared" si="414"/>
        <v>0</v>
      </c>
      <c r="M701" s="74">
        <f t="shared" si="414"/>
        <v>0</v>
      </c>
      <c r="N701" s="74">
        <f t="shared" si="414"/>
        <v>0</v>
      </c>
      <c r="O701" s="74">
        <f t="shared" si="414"/>
        <v>0</v>
      </c>
      <c r="P701" s="74">
        <f t="shared" si="414"/>
        <v>0</v>
      </c>
      <c r="Q701" s="74">
        <f t="shared" si="414"/>
        <v>0</v>
      </c>
      <c r="R701" s="74">
        <f t="shared" si="414"/>
        <v>0</v>
      </c>
      <c r="S701" s="74">
        <f t="shared" si="414"/>
        <v>0</v>
      </c>
      <c r="T701" s="74">
        <f t="shared" si="414"/>
        <v>0</v>
      </c>
      <c r="U701" s="74">
        <f t="shared" si="414"/>
        <v>0</v>
      </c>
      <c r="V701" s="74">
        <f t="shared" si="414"/>
        <v>0</v>
      </c>
      <c r="W701" s="74">
        <f t="shared" si="414"/>
        <v>0</v>
      </c>
      <c r="X701" s="74">
        <f t="shared" si="414"/>
        <v>0</v>
      </c>
      <c r="Y701" s="74">
        <f t="shared" si="414"/>
        <v>0</v>
      </c>
      <c r="Z701" s="74">
        <f t="shared" si="414"/>
        <v>0</v>
      </c>
    </row>
    <row r="702" hidden="1" outlineLevel="1">
      <c r="A702" s="16"/>
      <c r="B702" s="93">
        <f t="shared" si="401"/>
        <v>16</v>
      </c>
      <c r="C702" s="40"/>
      <c r="D702" s="16" t="s">
        <v>177</v>
      </c>
      <c r="E702" s="74">
        <f t="shared" si="108"/>
        <v>0</v>
      </c>
      <c r="F702" s="74"/>
      <c r="G702" s="74">
        <f t="shared" ref="G702:Z702" si="415">sum($G513:G513)-G681</f>
        <v>0</v>
      </c>
      <c r="H702" s="74">
        <f t="shared" si="415"/>
        <v>0</v>
      </c>
      <c r="I702" s="74">
        <f t="shared" si="415"/>
        <v>0</v>
      </c>
      <c r="J702" s="74">
        <f t="shared" si="415"/>
        <v>0</v>
      </c>
      <c r="K702" s="74">
        <f t="shared" si="415"/>
        <v>0</v>
      </c>
      <c r="L702" s="74">
        <f t="shared" si="415"/>
        <v>0</v>
      </c>
      <c r="M702" s="74">
        <f t="shared" si="415"/>
        <v>0</v>
      </c>
      <c r="N702" s="74">
        <f t="shared" si="415"/>
        <v>0</v>
      </c>
      <c r="O702" s="74">
        <f t="shared" si="415"/>
        <v>0</v>
      </c>
      <c r="P702" s="74">
        <f t="shared" si="415"/>
        <v>0</v>
      </c>
      <c r="Q702" s="74">
        <f t="shared" si="415"/>
        <v>0</v>
      </c>
      <c r="R702" s="74">
        <f t="shared" si="415"/>
        <v>0</v>
      </c>
      <c r="S702" s="74">
        <f t="shared" si="415"/>
        <v>0</v>
      </c>
      <c r="T702" s="74">
        <f t="shared" si="415"/>
        <v>0</v>
      </c>
      <c r="U702" s="74">
        <f t="shared" si="415"/>
        <v>0</v>
      </c>
      <c r="V702" s="74">
        <f t="shared" si="415"/>
        <v>0</v>
      </c>
      <c r="W702" s="74">
        <f t="shared" si="415"/>
        <v>0</v>
      </c>
      <c r="X702" s="74">
        <f t="shared" si="415"/>
        <v>0</v>
      </c>
      <c r="Y702" s="74">
        <f t="shared" si="415"/>
        <v>0</v>
      </c>
      <c r="Z702" s="74">
        <f t="shared" si="415"/>
        <v>0</v>
      </c>
    </row>
    <row r="703" hidden="1" outlineLevel="1">
      <c r="A703" s="16"/>
      <c r="B703" s="93">
        <f t="shared" si="401"/>
        <v>17</v>
      </c>
      <c r="C703" s="40"/>
      <c r="D703" s="16" t="s">
        <v>177</v>
      </c>
      <c r="E703" s="74">
        <f t="shared" si="108"/>
        <v>0</v>
      </c>
      <c r="F703" s="74"/>
      <c r="G703" s="74">
        <f t="shared" ref="G703:Z703" si="416">sum($G514:G514)-G682</f>
        <v>0</v>
      </c>
      <c r="H703" s="74">
        <f t="shared" si="416"/>
        <v>0</v>
      </c>
      <c r="I703" s="74">
        <f t="shared" si="416"/>
        <v>0</v>
      </c>
      <c r="J703" s="74">
        <f t="shared" si="416"/>
        <v>0</v>
      </c>
      <c r="K703" s="74">
        <f t="shared" si="416"/>
        <v>0</v>
      </c>
      <c r="L703" s="74">
        <f t="shared" si="416"/>
        <v>0</v>
      </c>
      <c r="M703" s="74">
        <f t="shared" si="416"/>
        <v>0</v>
      </c>
      <c r="N703" s="74">
        <f t="shared" si="416"/>
        <v>0</v>
      </c>
      <c r="O703" s="74">
        <f t="shared" si="416"/>
        <v>0</v>
      </c>
      <c r="P703" s="74">
        <f t="shared" si="416"/>
        <v>0</v>
      </c>
      <c r="Q703" s="74">
        <f t="shared" si="416"/>
        <v>0</v>
      </c>
      <c r="R703" s="74">
        <f t="shared" si="416"/>
        <v>0</v>
      </c>
      <c r="S703" s="74">
        <f t="shared" si="416"/>
        <v>0</v>
      </c>
      <c r="T703" s="74">
        <f t="shared" si="416"/>
        <v>0</v>
      </c>
      <c r="U703" s="74">
        <f t="shared" si="416"/>
        <v>0</v>
      </c>
      <c r="V703" s="74">
        <f t="shared" si="416"/>
        <v>0</v>
      </c>
      <c r="W703" s="74">
        <f t="shared" si="416"/>
        <v>0</v>
      </c>
      <c r="X703" s="74">
        <f t="shared" si="416"/>
        <v>0</v>
      </c>
      <c r="Y703" s="74">
        <f t="shared" si="416"/>
        <v>0</v>
      </c>
      <c r="Z703" s="74">
        <f t="shared" si="416"/>
        <v>0</v>
      </c>
    </row>
    <row r="704" hidden="1" outlineLevel="1">
      <c r="A704" s="16"/>
      <c r="B704" s="93">
        <f t="shared" si="401"/>
        <v>18</v>
      </c>
      <c r="C704" s="40"/>
      <c r="D704" s="16" t="s">
        <v>177</v>
      </c>
      <c r="E704" s="74">
        <f t="shared" si="108"/>
        <v>0</v>
      </c>
      <c r="F704" s="74"/>
      <c r="G704" s="74">
        <f t="shared" ref="G704:Z704" si="417">sum($G515:G515)-G683</f>
        <v>0</v>
      </c>
      <c r="H704" s="74">
        <f t="shared" si="417"/>
        <v>0</v>
      </c>
      <c r="I704" s="74">
        <f t="shared" si="417"/>
        <v>0</v>
      </c>
      <c r="J704" s="74">
        <f t="shared" si="417"/>
        <v>0</v>
      </c>
      <c r="K704" s="74">
        <f t="shared" si="417"/>
        <v>0</v>
      </c>
      <c r="L704" s="74">
        <f t="shared" si="417"/>
        <v>0</v>
      </c>
      <c r="M704" s="74">
        <f t="shared" si="417"/>
        <v>0</v>
      </c>
      <c r="N704" s="74">
        <f t="shared" si="417"/>
        <v>0</v>
      </c>
      <c r="O704" s="74">
        <f t="shared" si="417"/>
        <v>0</v>
      </c>
      <c r="P704" s="74">
        <f t="shared" si="417"/>
        <v>0</v>
      </c>
      <c r="Q704" s="74">
        <f t="shared" si="417"/>
        <v>0</v>
      </c>
      <c r="R704" s="74">
        <f t="shared" si="417"/>
        <v>0</v>
      </c>
      <c r="S704" s="74">
        <f t="shared" si="417"/>
        <v>0</v>
      </c>
      <c r="T704" s="74">
        <f t="shared" si="417"/>
        <v>0</v>
      </c>
      <c r="U704" s="74">
        <f t="shared" si="417"/>
        <v>0</v>
      </c>
      <c r="V704" s="74">
        <f t="shared" si="417"/>
        <v>0</v>
      </c>
      <c r="W704" s="74">
        <f t="shared" si="417"/>
        <v>0</v>
      </c>
      <c r="X704" s="74">
        <f t="shared" si="417"/>
        <v>0</v>
      </c>
      <c r="Y704" s="74">
        <f t="shared" si="417"/>
        <v>0</v>
      </c>
      <c r="Z704" s="74">
        <f t="shared" si="417"/>
        <v>0</v>
      </c>
    </row>
    <row r="705" hidden="1" outlineLevel="1">
      <c r="A705" s="16"/>
      <c r="B705" s="93">
        <f t="shared" si="401"/>
        <v>19</v>
      </c>
      <c r="C705" s="40"/>
      <c r="D705" s="16" t="s">
        <v>177</v>
      </c>
      <c r="E705" s="74">
        <f t="shared" si="108"/>
        <v>0</v>
      </c>
      <c r="F705" s="74"/>
      <c r="G705" s="74">
        <f t="shared" ref="G705:Z705" si="418">sum($G516:G516)-G684</f>
        <v>0</v>
      </c>
      <c r="H705" s="74">
        <f t="shared" si="418"/>
        <v>0</v>
      </c>
      <c r="I705" s="74">
        <f t="shared" si="418"/>
        <v>0</v>
      </c>
      <c r="J705" s="74">
        <f t="shared" si="418"/>
        <v>0</v>
      </c>
      <c r="K705" s="74">
        <f t="shared" si="418"/>
        <v>0</v>
      </c>
      <c r="L705" s="74">
        <f t="shared" si="418"/>
        <v>0</v>
      </c>
      <c r="M705" s="74">
        <f t="shared" si="418"/>
        <v>0</v>
      </c>
      <c r="N705" s="74">
        <f t="shared" si="418"/>
        <v>0</v>
      </c>
      <c r="O705" s="74">
        <f t="shared" si="418"/>
        <v>0</v>
      </c>
      <c r="P705" s="74">
        <f t="shared" si="418"/>
        <v>0</v>
      </c>
      <c r="Q705" s="74">
        <f t="shared" si="418"/>
        <v>0</v>
      </c>
      <c r="R705" s="74">
        <f t="shared" si="418"/>
        <v>0</v>
      </c>
      <c r="S705" s="74">
        <f t="shared" si="418"/>
        <v>0</v>
      </c>
      <c r="T705" s="74">
        <f t="shared" si="418"/>
        <v>0</v>
      </c>
      <c r="U705" s="74">
        <f t="shared" si="418"/>
        <v>0</v>
      </c>
      <c r="V705" s="74">
        <f t="shared" si="418"/>
        <v>0</v>
      </c>
      <c r="W705" s="74">
        <f t="shared" si="418"/>
        <v>0</v>
      </c>
      <c r="X705" s="74">
        <f t="shared" si="418"/>
        <v>0</v>
      </c>
      <c r="Y705" s="74">
        <f t="shared" si="418"/>
        <v>0</v>
      </c>
      <c r="Z705" s="74">
        <f t="shared" si="418"/>
        <v>0</v>
      </c>
    </row>
    <row r="706" hidden="1" outlineLevel="1">
      <c r="A706" s="16"/>
      <c r="B706" s="93">
        <f t="shared" si="401"/>
        <v>20</v>
      </c>
      <c r="C706" s="40"/>
      <c r="D706" s="16" t="s">
        <v>177</v>
      </c>
      <c r="E706" s="74">
        <f t="shared" si="108"/>
        <v>0</v>
      </c>
      <c r="F706" s="74"/>
      <c r="G706" s="74">
        <f t="shared" ref="G706:Z706" si="419">sum($G517:G517)-G685</f>
        <v>0</v>
      </c>
      <c r="H706" s="74">
        <f t="shared" si="419"/>
        <v>0</v>
      </c>
      <c r="I706" s="74">
        <f t="shared" si="419"/>
        <v>0</v>
      </c>
      <c r="J706" s="74">
        <f t="shared" si="419"/>
        <v>0</v>
      </c>
      <c r="K706" s="74">
        <f t="shared" si="419"/>
        <v>0</v>
      </c>
      <c r="L706" s="74">
        <f t="shared" si="419"/>
        <v>0</v>
      </c>
      <c r="M706" s="74">
        <f t="shared" si="419"/>
        <v>0</v>
      </c>
      <c r="N706" s="74">
        <f t="shared" si="419"/>
        <v>0</v>
      </c>
      <c r="O706" s="74">
        <f t="shared" si="419"/>
        <v>0</v>
      </c>
      <c r="P706" s="74">
        <f t="shared" si="419"/>
        <v>0</v>
      </c>
      <c r="Q706" s="74">
        <f t="shared" si="419"/>
        <v>0</v>
      </c>
      <c r="R706" s="74">
        <f t="shared" si="419"/>
        <v>0</v>
      </c>
      <c r="S706" s="74">
        <f t="shared" si="419"/>
        <v>0</v>
      </c>
      <c r="T706" s="74">
        <f t="shared" si="419"/>
        <v>0</v>
      </c>
      <c r="U706" s="74">
        <f t="shared" si="419"/>
        <v>0</v>
      </c>
      <c r="V706" s="74">
        <f t="shared" si="419"/>
        <v>0</v>
      </c>
      <c r="W706" s="74">
        <f t="shared" si="419"/>
        <v>0</v>
      </c>
      <c r="X706" s="74">
        <f t="shared" si="419"/>
        <v>0</v>
      </c>
      <c r="Y706" s="74">
        <f t="shared" si="419"/>
        <v>0</v>
      </c>
      <c r="Z706" s="74">
        <f t="shared" si="419"/>
        <v>0</v>
      </c>
    </row>
    <row r="707" collapsed="1">
      <c r="B707" s="16" t="s">
        <v>222</v>
      </c>
      <c r="C707" s="16"/>
      <c r="D707" s="16" t="s">
        <v>161</v>
      </c>
      <c r="E707" s="74">
        <f t="shared" si="108"/>
        <v>254394800</v>
      </c>
      <c r="F707" s="95"/>
      <c r="G707" s="77">
        <f t="shared" ref="G707:Z707" si="420">sum(G708:G727)</f>
        <v>0</v>
      </c>
      <c r="H707" s="77">
        <f t="shared" si="420"/>
        <v>0</v>
      </c>
      <c r="I707" s="77">
        <f t="shared" si="420"/>
        <v>0</v>
      </c>
      <c r="J707" s="77">
        <f t="shared" si="420"/>
        <v>0</v>
      </c>
      <c r="K707" s="77">
        <f t="shared" si="420"/>
        <v>0</v>
      </c>
      <c r="L707" s="77">
        <f t="shared" si="420"/>
        <v>0</v>
      </c>
      <c r="M707" s="77">
        <f t="shared" si="420"/>
        <v>0</v>
      </c>
      <c r="N707" s="77">
        <f t="shared" si="420"/>
        <v>0</v>
      </c>
      <c r="O707" s="77">
        <f t="shared" si="420"/>
        <v>10291306.67</v>
      </c>
      <c r="P707" s="77">
        <f t="shared" si="420"/>
        <v>35126960</v>
      </c>
      <c r="Q707" s="77">
        <f t="shared" si="420"/>
        <v>59962613.33</v>
      </c>
      <c r="R707" s="77">
        <f t="shared" si="420"/>
        <v>74506960</v>
      </c>
      <c r="S707" s="77">
        <f t="shared" si="420"/>
        <v>49671306.67</v>
      </c>
      <c r="T707" s="77">
        <f t="shared" si="420"/>
        <v>24835653.33</v>
      </c>
      <c r="U707" s="77">
        <f t="shared" si="420"/>
        <v>0</v>
      </c>
      <c r="V707" s="77">
        <f t="shared" si="420"/>
        <v>0</v>
      </c>
      <c r="W707" s="77">
        <f t="shared" si="420"/>
        <v>0</v>
      </c>
      <c r="X707" s="77">
        <f t="shared" si="420"/>
        <v>0</v>
      </c>
      <c r="Y707" s="77">
        <f t="shared" si="420"/>
        <v>0</v>
      </c>
      <c r="Z707" s="77">
        <f t="shared" si="420"/>
        <v>0</v>
      </c>
    </row>
    <row r="708" hidden="1" outlineLevel="1">
      <c r="B708" s="93">
        <f>G$4</f>
        <v>1</v>
      </c>
      <c r="C708" s="40"/>
      <c r="D708" s="16" t="s">
        <v>161</v>
      </c>
      <c r="E708" s="74">
        <f t="shared" si="108"/>
        <v>84798266.67</v>
      </c>
      <c r="F708" s="74"/>
      <c r="G708" s="74">
        <f t="shared" ref="G708:Z708" si="421">G624-G645</f>
        <v>0</v>
      </c>
      <c r="H708" s="74">
        <f t="shared" si="421"/>
        <v>0</v>
      </c>
      <c r="I708" s="74">
        <f t="shared" si="421"/>
        <v>0</v>
      </c>
      <c r="J708" s="74">
        <f t="shared" si="421"/>
        <v>0</v>
      </c>
      <c r="K708" s="74">
        <f t="shared" si="421"/>
        <v>0</v>
      </c>
      <c r="L708" s="74">
        <f t="shared" si="421"/>
        <v>0</v>
      </c>
      <c r="M708" s="74">
        <f t="shared" si="421"/>
        <v>0</v>
      </c>
      <c r="N708" s="74">
        <f t="shared" si="421"/>
        <v>0</v>
      </c>
      <c r="O708" s="74">
        <f t="shared" si="421"/>
        <v>10291306.67</v>
      </c>
      <c r="P708" s="74">
        <f t="shared" si="421"/>
        <v>24835653.33</v>
      </c>
      <c r="Q708" s="74">
        <f t="shared" si="421"/>
        <v>24835653.33</v>
      </c>
      <c r="R708" s="74">
        <f t="shared" si="421"/>
        <v>24835653.33</v>
      </c>
      <c r="S708" s="74">
        <f t="shared" si="421"/>
        <v>0</v>
      </c>
      <c r="T708" s="74">
        <f t="shared" si="421"/>
        <v>0</v>
      </c>
      <c r="U708" s="74">
        <f t="shared" si="421"/>
        <v>0</v>
      </c>
      <c r="V708" s="74">
        <f t="shared" si="421"/>
        <v>0</v>
      </c>
      <c r="W708" s="74">
        <f t="shared" si="421"/>
        <v>0</v>
      </c>
      <c r="X708" s="74">
        <f t="shared" si="421"/>
        <v>0</v>
      </c>
      <c r="Y708" s="74">
        <f t="shared" si="421"/>
        <v>0</v>
      </c>
      <c r="Z708" s="74">
        <f t="shared" si="421"/>
        <v>0</v>
      </c>
    </row>
    <row r="709" hidden="1" outlineLevel="1">
      <c r="B709" s="93">
        <f t="shared" ref="B709:B727" si="423">B708+1</f>
        <v>2</v>
      </c>
      <c r="C709" s="40"/>
      <c r="D709" s="16" t="s">
        <v>161</v>
      </c>
      <c r="E709" s="74">
        <f t="shared" si="108"/>
        <v>84798266.67</v>
      </c>
      <c r="F709" s="74"/>
      <c r="G709" s="74">
        <f t="shared" ref="G709:Z709" si="422">G625-G646</f>
        <v>0</v>
      </c>
      <c r="H709" s="74">
        <f t="shared" si="422"/>
        <v>0</v>
      </c>
      <c r="I709" s="74">
        <f t="shared" si="422"/>
        <v>0</v>
      </c>
      <c r="J709" s="74">
        <f t="shared" si="422"/>
        <v>0</v>
      </c>
      <c r="K709" s="74">
        <f t="shared" si="422"/>
        <v>0</v>
      </c>
      <c r="L709" s="74">
        <f t="shared" si="422"/>
        <v>0</v>
      </c>
      <c r="M709" s="74">
        <f t="shared" si="422"/>
        <v>0</v>
      </c>
      <c r="N709" s="74">
        <f t="shared" si="422"/>
        <v>0</v>
      </c>
      <c r="O709" s="74">
        <f t="shared" si="422"/>
        <v>0</v>
      </c>
      <c r="P709" s="74">
        <f t="shared" si="422"/>
        <v>10291306.67</v>
      </c>
      <c r="Q709" s="74">
        <f t="shared" si="422"/>
        <v>24835653.33</v>
      </c>
      <c r="R709" s="74">
        <f t="shared" si="422"/>
        <v>24835653.33</v>
      </c>
      <c r="S709" s="74">
        <f t="shared" si="422"/>
        <v>24835653.33</v>
      </c>
      <c r="T709" s="74">
        <f t="shared" si="422"/>
        <v>0</v>
      </c>
      <c r="U709" s="74">
        <f t="shared" si="422"/>
        <v>0</v>
      </c>
      <c r="V709" s="74">
        <f t="shared" si="422"/>
        <v>0</v>
      </c>
      <c r="W709" s="74">
        <f t="shared" si="422"/>
        <v>0</v>
      </c>
      <c r="X709" s="74">
        <f t="shared" si="422"/>
        <v>0</v>
      </c>
      <c r="Y709" s="74">
        <f t="shared" si="422"/>
        <v>0</v>
      </c>
      <c r="Z709" s="74">
        <f t="shared" si="422"/>
        <v>0</v>
      </c>
    </row>
    <row r="710" hidden="1" outlineLevel="1">
      <c r="B710" s="93">
        <f t="shared" si="423"/>
        <v>3</v>
      </c>
      <c r="C710" s="40"/>
      <c r="D710" s="16" t="s">
        <v>161</v>
      </c>
      <c r="E710" s="74">
        <f t="shared" si="108"/>
        <v>84798266.67</v>
      </c>
      <c r="F710" s="74"/>
      <c r="G710" s="74">
        <f t="shared" ref="G710:Z710" si="424">G626-G647</f>
        <v>0</v>
      </c>
      <c r="H710" s="74">
        <f t="shared" si="424"/>
        <v>0</v>
      </c>
      <c r="I710" s="74">
        <f t="shared" si="424"/>
        <v>0</v>
      </c>
      <c r="J710" s="74">
        <f t="shared" si="424"/>
        <v>0</v>
      </c>
      <c r="K710" s="74">
        <f t="shared" si="424"/>
        <v>0</v>
      </c>
      <c r="L710" s="74">
        <f t="shared" si="424"/>
        <v>0</v>
      </c>
      <c r="M710" s="74">
        <f t="shared" si="424"/>
        <v>0</v>
      </c>
      <c r="N710" s="74">
        <f t="shared" si="424"/>
        <v>0</v>
      </c>
      <c r="O710" s="74">
        <f t="shared" si="424"/>
        <v>0</v>
      </c>
      <c r="P710" s="74">
        <f t="shared" si="424"/>
        <v>0</v>
      </c>
      <c r="Q710" s="74">
        <f t="shared" si="424"/>
        <v>10291306.67</v>
      </c>
      <c r="R710" s="74">
        <f t="shared" si="424"/>
        <v>24835653.33</v>
      </c>
      <c r="S710" s="74">
        <f t="shared" si="424"/>
        <v>24835653.33</v>
      </c>
      <c r="T710" s="74">
        <f t="shared" si="424"/>
        <v>24835653.33</v>
      </c>
      <c r="U710" s="74">
        <f t="shared" si="424"/>
        <v>0</v>
      </c>
      <c r="V710" s="74">
        <f t="shared" si="424"/>
        <v>0</v>
      </c>
      <c r="W710" s="74">
        <f t="shared" si="424"/>
        <v>0</v>
      </c>
      <c r="X710" s="74">
        <f t="shared" si="424"/>
        <v>0</v>
      </c>
      <c r="Y710" s="74">
        <f t="shared" si="424"/>
        <v>0</v>
      </c>
      <c r="Z710" s="74">
        <f t="shared" si="424"/>
        <v>0</v>
      </c>
    </row>
    <row r="711" hidden="1" outlineLevel="1">
      <c r="B711" s="93">
        <f t="shared" si="423"/>
        <v>4</v>
      </c>
      <c r="C711" s="40"/>
      <c r="D711" s="16" t="s">
        <v>161</v>
      </c>
      <c r="E711" s="74">
        <f t="shared" si="108"/>
        <v>0</v>
      </c>
      <c r="F711" s="74"/>
      <c r="G711" s="74">
        <f t="shared" ref="G711:Z711" si="425">G627-G648</f>
        <v>0</v>
      </c>
      <c r="H711" s="74">
        <f t="shared" si="425"/>
        <v>0</v>
      </c>
      <c r="I711" s="74">
        <f t="shared" si="425"/>
        <v>0</v>
      </c>
      <c r="J711" s="74">
        <f t="shared" si="425"/>
        <v>0</v>
      </c>
      <c r="K711" s="74">
        <f t="shared" si="425"/>
        <v>0</v>
      </c>
      <c r="L711" s="74">
        <f t="shared" si="425"/>
        <v>0</v>
      </c>
      <c r="M711" s="74">
        <f t="shared" si="425"/>
        <v>0</v>
      </c>
      <c r="N711" s="74">
        <f t="shared" si="425"/>
        <v>0</v>
      </c>
      <c r="O711" s="74">
        <f t="shared" si="425"/>
        <v>0</v>
      </c>
      <c r="P711" s="74">
        <f t="shared" si="425"/>
        <v>0</v>
      </c>
      <c r="Q711" s="74">
        <f t="shared" si="425"/>
        <v>0</v>
      </c>
      <c r="R711" s="74">
        <f t="shared" si="425"/>
        <v>0</v>
      </c>
      <c r="S711" s="74">
        <f t="shared" si="425"/>
        <v>0</v>
      </c>
      <c r="T711" s="74">
        <f t="shared" si="425"/>
        <v>0</v>
      </c>
      <c r="U711" s="74">
        <f t="shared" si="425"/>
        <v>0</v>
      </c>
      <c r="V711" s="74">
        <f t="shared" si="425"/>
        <v>0</v>
      </c>
      <c r="W711" s="74">
        <f t="shared" si="425"/>
        <v>0</v>
      </c>
      <c r="X711" s="74">
        <f t="shared" si="425"/>
        <v>0</v>
      </c>
      <c r="Y711" s="74">
        <f t="shared" si="425"/>
        <v>0</v>
      </c>
      <c r="Z711" s="74">
        <f t="shared" si="425"/>
        <v>0</v>
      </c>
    </row>
    <row r="712" hidden="1" outlineLevel="1">
      <c r="B712" s="93">
        <f t="shared" si="423"/>
        <v>5</v>
      </c>
      <c r="C712" s="40"/>
      <c r="D712" s="16" t="s">
        <v>161</v>
      </c>
      <c r="E712" s="74">
        <f t="shared" si="108"/>
        <v>0</v>
      </c>
      <c r="F712" s="74"/>
      <c r="G712" s="74">
        <f t="shared" ref="G712:Z712" si="426">G628-G649</f>
        <v>0</v>
      </c>
      <c r="H712" s="74">
        <f t="shared" si="426"/>
        <v>0</v>
      </c>
      <c r="I712" s="74">
        <f t="shared" si="426"/>
        <v>0</v>
      </c>
      <c r="J712" s="74">
        <f t="shared" si="426"/>
        <v>0</v>
      </c>
      <c r="K712" s="74">
        <f t="shared" si="426"/>
        <v>0</v>
      </c>
      <c r="L712" s="74">
        <f t="shared" si="426"/>
        <v>0</v>
      </c>
      <c r="M712" s="74">
        <f t="shared" si="426"/>
        <v>0</v>
      </c>
      <c r="N712" s="74">
        <f t="shared" si="426"/>
        <v>0</v>
      </c>
      <c r="O712" s="74">
        <f t="shared" si="426"/>
        <v>0</v>
      </c>
      <c r="P712" s="74">
        <f t="shared" si="426"/>
        <v>0</v>
      </c>
      <c r="Q712" s="74">
        <f t="shared" si="426"/>
        <v>0</v>
      </c>
      <c r="R712" s="74">
        <f t="shared" si="426"/>
        <v>0</v>
      </c>
      <c r="S712" s="74">
        <f t="shared" si="426"/>
        <v>0</v>
      </c>
      <c r="T712" s="74">
        <f t="shared" si="426"/>
        <v>0</v>
      </c>
      <c r="U712" s="74">
        <f t="shared" si="426"/>
        <v>0</v>
      </c>
      <c r="V712" s="74">
        <f t="shared" si="426"/>
        <v>0</v>
      </c>
      <c r="W712" s="74">
        <f t="shared" si="426"/>
        <v>0</v>
      </c>
      <c r="X712" s="74">
        <f t="shared" si="426"/>
        <v>0</v>
      </c>
      <c r="Y712" s="74">
        <f t="shared" si="426"/>
        <v>0</v>
      </c>
      <c r="Z712" s="74">
        <f t="shared" si="426"/>
        <v>0</v>
      </c>
    </row>
    <row r="713" hidden="1" outlineLevel="1">
      <c r="B713" s="93">
        <f t="shared" si="423"/>
        <v>6</v>
      </c>
      <c r="C713" s="40"/>
      <c r="D713" s="16" t="s">
        <v>161</v>
      </c>
      <c r="E713" s="74">
        <f t="shared" si="108"/>
        <v>0</v>
      </c>
      <c r="F713" s="74"/>
      <c r="G713" s="74">
        <f t="shared" ref="G713:Z713" si="427">G629-G650</f>
        <v>0</v>
      </c>
      <c r="H713" s="74">
        <f t="shared" si="427"/>
        <v>0</v>
      </c>
      <c r="I713" s="74">
        <f t="shared" si="427"/>
        <v>0</v>
      </c>
      <c r="J713" s="74">
        <f t="shared" si="427"/>
        <v>0</v>
      </c>
      <c r="K713" s="74">
        <f t="shared" si="427"/>
        <v>0</v>
      </c>
      <c r="L713" s="74">
        <f t="shared" si="427"/>
        <v>0</v>
      </c>
      <c r="M713" s="74">
        <f t="shared" si="427"/>
        <v>0</v>
      </c>
      <c r="N713" s="74">
        <f t="shared" si="427"/>
        <v>0</v>
      </c>
      <c r="O713" s="74">
        <f t="shared" si="427"/>
        <v>0</v>
      </c>
      <c r="P713" s="74">
        <f t="shared" si="427"/>
        <v>0</v>
      </c>
      <c r="Q713" s="74">
        <f t="shared" si="427"/>
        <v>0</v>
      </c>
      <c r="R713" s="74">
        <f t="shared" si="427"/>
        <v>0</v>
      </c>
      <c r="S713" s="74">
        <f t="shared" si="427"/>
        <v>0</v>
      </c>
      <c r="T713" s="74">
        <f t="shared" si="427"/>
        <v>0</v>
      </c>
      <c r="U713" s="74">
        <f t="shared" si="427"/>
        <v>0</v>
      </c>
      <c r="V713" s="74">
        <f t="shared" si="427"/>
        <v>0</v>
      </c>
      <c r="W713" s="74">
        <f t="shared" si="427"/>
        <v>0</v>
      </c>
      <c r="X713" s="74">
        <f t="shared" si="427"/>
        <v>0</v>
      </c>
      <c r="Y713" s="74">
        <f t="shared" si="427"/>
        <v>0</v>
      </c>
      <c r="Z713" s="74">
        <f t="shared" si="427"/>
        <v>0</v>
      </c>
    </row>
    <row r="714" hidden="1" outlineLevel="1">
      <c r="B714" s="93">
        <f t="shared" si="423"/>
        <v>7</v>
      </c>
      <c r="C714" s="40"/>
      <c r="D714" s="16" t="s">
        <v>161</v>
      </c>
      <c r="E714" s="74">
        <f t="shared" si="108"/>
        <v>0</v>
      </c>
      <c r="F714" s="74"/>
      <c r="G714" s="74">
        <f t="shared" ref="G714:Z714" si="428">G630-G651</f>
        <v>0</v>
      </c>
      <c r="H714" s="74">
        <f t="shared" si="428"/>
        <v>0</v>
      </c>
      <c r="I714" s="74">
        <f t="shared" si="428"/>
        <v>0</v>
      </c>
      <c r="J714" s="74">
        <f t="shared" si="428"/>
        <v>0</v>
      </c>
      <c r="K714" s="74">
        <f t="shared" si="428"/>
        <v>0</v>
      </c>
      <c r="L714" s="74">
        <f t="shared" si="428"/>
        <v>0</v>
      </c>
      <c r="M714" s="74">
        <f t="shared" si="428"/>
        <v>0</v>
      </c>
      <c r="N714" s="74">
        <f t="shared" si="428"/>
        <v>0</v>
      </c>
      <c r="O714" s="74">
        <f t="shared" si="428"/>
        <v>0</v>
      </c>
      <c r="P714" s="74">
        <f t="shared" si="428"/>
        <v>0</v>
      </c>
      <c r="Q714" s="74">
        <f t="shared" si="428"/>
        <v>0</v>
      </c>
      <c r="R714" s="74">
        <f t="shared" si="428"/>
        <v>0</v>
      </c>
      <c r="S714" s="74">
        <f t="shared" si="428"/>
        <v>0</v>
      </c>
      <c r="T714" s="74">
        <f t="shared" si="428"/>
        <v>0</v>
      </c>
      <c r="U714" s="74">
        <f t="shared" si="428"/>
        <v>0</v>
      </c>
      <c r="V714" s="74">
        <f t="shared" si="428"/>
        <v>0</v>
      </c>
      <c r="W714" s="74">
        <f t="shared" si="428"/>
        <v>0</v>
      </c>
      <c r="X714" s="74">
        <f t="shared" si="428"/>
        <v>0</v>
      </c>
      <c r="Y714" s="74">
        <f t="shared" si="428"/>
        <v>0</v>
      </c>
      <c r="Z714" s="74">
        <f t="shared" si="428"/>
        <v>0</v>
      </c>
    </row>
    <row r="715" hidden="1" outlineLevel="1">
      <c r="B715" s="93">
        <f t="shared" si="423"/>
        <v>8</v>
      </c>
      <c r="C715" s="40"/>
      <c r="D715" s="16" t="s">
        <v>161</v>
      </c>
      <c r="E715" s="74">
        <f t="shared" si="108"/>
        <v>0</v>
      </c>
      <c r="F715" s="74"/>
      <c r="G715" s="74">
        <f t="shared" ref="G715:Z715" si="429">G631-G652</f>
        <v>0</v>
      </c>
      <c r="H715" s="74">
        <f t="shared" si="429"/>
        <v>0</v>
      </c>
      <c r="I715" s="74">
        <f t="shared" si="429"/>
        <v>0</v>
      </c>
      <c r="J715" s="74">
        <f t="shared" si="429"/>
        <v>0</v>
      </c>
      <c r="K715" s="74">
        <f t="shared" si="429"/>
        <v>0</v>
      </c>
      <c r="L715" s="74">
        <f t="shared" si="429"/>
        <v>0</v>
      </c>
      <c r="M715" s="74">
        <f t="shared" si="429"/>
        <v>0</v>
      </c>
      <c r="N715" s="74">
        <f t="shared" si="429"/>
        <v>0</v>
      </c>
      <c r="O715" s="74">
        <f t="shared" si="429"/>
        <v>0</v>
      </c>
      <c r="P715" s="74">
        <f t="shared" si="429"/>
        <v>0</v>
      </c>
      <c r="Q715" s="74">
        <f t="shared" si="429"/>
        <v>0</v>
      </c>
      <c r="R715" s="74">
        <f t="shared" si="429"/>
        <v>0</v>
      </c>
      <c r="S715" s="74">
        <f t="shared" si="429"/>
        <v>0</v>
      </c>
      <c r="T715" s="74">
        <f t="shared" si="429"/>
        <v>0</v>
      </c>
      <c r="U715" s="74">
        <f t="shared" si="429"/>
        <v>0</v>
      </c>
      <c r="V715" s="74">
        <f t="shared" si="429"/>
        <v>0</v>
      </c>
      <c r="W715" s="74">
        <f t="shared" si="429"/>
        <v>0</v>
      </c>
      <c r="X715" s="74">
        <f t="shared" si="429"/>
        <v>0</v>
      </c>
      <c r="Y715" s="74">
        <f t="shared" si="429"/>
        <v>0</v>
      </c>
      <c r="Z715" s="74">
        <f t="shared" si="429"/>
        <v>0</v>
      </c>
    </row>
    <row r="716" hidden="1" outlineLevel="1">
      <c r="B716" s="93">
        <f t="shared" si="423"/>
        <v>9</v>
      </c>
      <c r="C716" s="40"/>
      <c r="D716" s="16" t="s">
        <v>161</v>
      </c>
      <c r="E716" s="74">
        <f t="shared" si="108"/>
        <v>0</v>
      </c>
      <c r="F716" s="74"/>
      <c r="G716" s="74">
        <f t="shared" ref="G716:Z716" si="430">G632-G653</f>
        <v>0</v>
      </c>
      <c r="H716" s="74">
        <f t="shared" si="430"/>
        <v>0</v>
      </c>
      <c r="I716" s="74">
        <f t="shared" si="430"/>
        <v>0</v>
      </c>
      <c r="J716" s="74">
        <f t="shared" si="430"/>
        <v>0</v>
      </c>
      <c r="K716" s="74">
        <f t="shared" si="430"/>
        <v>0</v>
      </c>
      <c r="L716" s="74">
        <f t="shared" si="430"/>
        <v>0</v>
      </c>
      <c r="M716" s="74">
        <f t="shared" si="430"/>
        <v>0</v>
      </c>
      <c r="N716" s="74">
        <f t="shared" si="430"/>
        <v>0</v>
      </c>
      <c r="O716" s="74">
        <f t="shared" si="430"/>
        <v>0</v>
      </c>
      <c r="P716" s="74">
        <f t="shared" si="430"/>
        <v>0</v>
      </c>
      <c r="Q716" s="74">
        <f t="shared" si="430"/>
        <v>0</v>
      </c>
      <c r="R716" s="74">
        <f t="shared" si="430"/>
        <v>0</v>
      </c>
      <c r="S716" s="74">
        <f t="shared" si="430"/>
        <v>0</v>
      </c>
      <c r="T716" s="74">
        <f t="shared" si="430"/>
        <v>0</v>
      </c>
      <c r="U716" s="74">
        <f t="shared" si="430"/>
        <v>0</v>
      </c>
      <c r="V716" s="74">
        <f t="shared" si="430"/>
        <v>0</v>
      </c>
      <c r="W716" s="74">
        <f t="shared" si="430"/>
        <v>0</v>
      </c>
      <c r="X716" s="74">
        <f t="shared" si="430"/>
        <v>0</v>
      </c>
      <c r="Y716" s="74">
        <f t="shared" si="430"/>
        <v>0</v>
      </c>
      <c r="Z716" s="74">
        <f t="shared" si="430"/>
        <v>0</v>
      </c>
    </row>
    <row r="717" hidden="1" outlineLevel="1">
      <c r="B717" s="93">
        <f t="shared" si="423"/>
        <v>10</v>
      </c>
      <c r="C717" s="40"/>
      <c r="D717" s="16" t="s">
        <v>161</v>
      </c>
      <c r="E717" s="74">
        <f t="shared" si="108"/>
        <v>0</v>
      </c>
      <c r="F717" s="74"/>
      <c r="G717" s="74">
        <f t="shared" ref="G717:Z717" si="431">G633-G654</f>
        <v>0</v>
      </c>
      <c r="H717" s="74">
        <f t="shared" si="431"/>
        <v>0</v>
      </c>
      <c r="I717" s="74">
        <f t="shared" si="431"/>
        <v>0</v>
      </c>
      <c r="J717" s="74">
        <f t="shared" si="431"/>
        <v>0</v>
      </c>
      <c r="K717" s="74">
        <f t="shared" si="431"/>
        <v>0</v>
      </c>
      <c r="L717" s="74">
        <f t="shared" si="431"/>
        <v>0</v>
      </c>
      <c r="M717" s="74">
        <f t="shared" si="431"/>
        <v>0</v>
      </c>
      <c r="N717" s="74">
        <f t="shared" si="431"/>
        <v>0</v>
      </c>
      <c r="O717" s="74">
        <f t="shared" si="431"/>
        <v>0</v>
      </c>
      <c r="P717" s="74">
        <f t="shared" si="431"/>
        <v>0</v>
      </c>
      <c r="Q717" s="74">
        <f t="shared" si="431"/>
        <v>0</v>
      </c>
      <c r="R717" s="74">
        <f t="shared" si="431"/>
        <v>0</v>
      </c>
      <c r="S717" s="74">
        <f t="shared" si="431"/>
        <v>0</v>
      </c>
      <c r="T717" s="74">
        <f t="shared" si="431"/>
        <v>0</v>
      </c>
      <c r="U717" s="74">
        <f t="shared" si="431"/>
        <v>0</v>
      </c>
      <c r="V717" s="74">
        <f t="shared" si="431"/>
        <v>0</v>
      </c>
      <c r="W717" s="74">
        <f t="shared" si="431"/>
        <v>0</v>
      </c>
      <c r="X717" s="74">
        <f t="shared" si="431"/>
        <v>0</v>
      </c>
      <c r="Y717" s="74">
        <f t="shared" si="431"/>
        <v>0</v>
      </c>
      <c r="Z717" s="74">
        <f t="shared" si="431"/>
        <v>0</v>
      </c>
    </row>
    <row r="718" hidden="1" outlineLevel="1">
      <c r="B718" s="93">
        <f t="shared" si="423"/>
        <v>11</v>
      </c>
      <c r="C718" s="40"/>
      <c r="D718" s="16" t="s">
        <v>161</v>
      </c>
      <c r="E718" s="74">
        <f t="shared" si="108"/>
        <v>0</v>
      </c>
      <c r="F718" s="74"/>
      <c r="G718" s="74">
        <f t="shared" ref="G718:Z718" si="432">G634-G655</f>
        <v>0</v>
      </c>
      <c r="H718" s="74">
        <f t="shared" si="432"/>
        <v>0</v>
      </c>
      <c r="I718" s="74">
        <f t="shared" si="432"/>
        <v>0</v>
      </c>
      <c r="J718" s="74">
        <f t="shared" si="432"/>
        <v>0</v>
      </c>
      <c r="K718" s="74">
        <f t="shared" si="432"/>
        <v>0</v>
      </c>
      <c r="L718" s="74">
        <f t="shared" si="432"/>
        <v>0</v>
      </c>
      <c r="M718" s="74">
        <f t="shared" si="432"/>
        <v>0</v>
      </c>
      <c r="N718" s="74">
        <f t="shared" si="432"/>
        <v>0</v>
      </c>
      <c r="O718" s="74">
        <f t="shared" si="432"/>
        <v>0</v>
      </c>
      <c r="P718" s="74">
        <f t="shared" si="432"/>
        <v>0</v>
      </c>
      <c r="Q718" s="74">
        <f t="shared" si="432"/>
        <v>0</v>
      </c>
      <c r="R718" s="74">
        <f t="shared" si="432"/>
        <v>0</v>
      </c>
      <c r="S718" s="74">
        <f t="shared" si="432"/>
        <v>0</v>
      </c>
      <c r="T718" s="74">
        <f t="shared" si="432"/>
        <v>0</v>
      </c>
      <c r="U718" s="74">
        <f t="shared" si="432"/>
        <v>0</v>
      </c>
      <c r="V718" s="74">
        <f t="shared" si="432"/>
        <v>0</v>
      </c>
      <c r="W718" s="74">
        <f t="shared" si="432"/>
        <v>0</v>
      </c>
      <c r="X718" s="74">
        <f t="shared" si="432"/>
        <v>0</v>
      </c>
      <c r="Y718" s="74">
        <f t="shared" si="432"/>
        <v>0</v>
      </c>
      <c r="Z718" s="74">
        <f t="shared" si="432"/>
        <v>0</v>
      </c>
    </row>
    <row r="719" hidden="1" outlineLevel="1">
      <c r="B719" s="93">
        <f t="shared" si="423"/>
        <v>12</v>
      </c>
      <c r="C719" s="40"/>
      <c r="D719" s="16" t="s">
        <v>161</v>
      </c>
      <c r="E719" s="74">
        <f t="shared" si="108"/>
        <v>0</v>
      </c>
      <c r="F719" s="74"/>
      <c r="G719" s="74">
        <f t="shared" ref="G719:Z719" si="433">G635-G656</f>
        <v>0</v>
      </c>
      <c r="H719" s="74">
        <f t="shared" si="433"/>
        <v>0</v>
      </c>
      <c r="I719" s="74">
        <f t="shared" si="433"/>
        <v>0</v>
      </c>
      <c r="J719" s="74">
        <f t="shared" si="433"/>
        <v>0</v>
      </c>
      <c r="K719" s="74">
        <f t="shared" si="433"/>
        <v>0</v>
      </c>
      <c r="L719" s="74">
        <f t="shared" si="433"/>
        <v>0</v>
      </c>
      <c r="M719" s="74">
        <f t="shared" si="433"/>
        <v>0</v>
      </c>
      <c r="N719" s="74">
        <f t="shared" si="433"/>
        <v>0</v>
      </c>
      <c r="O719" s="74">
        <f t="shared" si="433"/>
        <v>0</v>
      </c>
      <c r="P719" s="74">
        <f t="shared" si="433"/>
        <v>0</v>
      </c>
      <c r="Q719" s="74">
        <f t="shared" si="433"/>
        <v>0</v>
      </c>
      <c r="R719" s="74">
        <f t="shared" si="433"/>
        <v>0</v>
      </c>
      <c r="S719" s="74">
        <f t="shared" si="433"/>
        <v>0</v>
      </c>
      <c r="T719" s="74">
        <f t="shared" si="433"/>
        <v>0</v>
      </c>
      <c r="U719" s="74">
        <f t="shared" si="433"/>
        <v>0</v>
      </c>
      <c r="V719" s="74">
        <f t="shared" si="433"/>
        <v>0</v>
      </c>
      <c r="W719" s="74">
        <f t="shared" si="433"/>
        <v>0</v>
      </c>
      <c r="X719" s="74">
        <f t="shared" si="433"/>
        <v>0</v>
      </c>
      <c r="Y719" s="74">
        <f t="shared" si="433"/>
        <v>0</v>
      </c>
      <c r="Z719" s="74">
        <f t="shared" si="433"/>
        <v>0</v>
      </c>
    </row>
    <row r="720" hidden="1" outlineLevel="1">
      <c r="B720" s="93">
        <f t="shared" si="423"/>
        <v>13</v>
      </c>
      <c r="C720" s="40"/>
      <c r="D720" s="16" t="s">
        <v>161</v>
      </c>
      <c r="E720" s="74">
        <f t="shared" si="108"/>
        <v>0</v>
      </c>
      <c r="F720" s="74"/>
      <c r="G720" s="74">
        <f t="shared" ref="G720:Z720" si="434">G636-G657</f>
        <v>0</v>
      </c>
      <c r="H720" s="74">
        <f t="shared" si="434"/>
        <v>0</v>
      </c>
      <c r="I720" s="74">
        <f t="shared" si="434"/>
        <v>0</v>
      </c>
      <c r="J720" s="74">
        <f t="shared" si="434"/>
        <v>0</v>
      </c>
      <c r="K720" s="74">
        <f t="shared" si="434"/>
        <v>0</v>
      </c>
      <c r="L720" s="74">
        <f t="shared" si="434"/>
        <v>0</v>
      </c>
      <c r="M720" s="74">
        <f t="shared" si="434"/>
        <v>0</v>
      </c>
      <c r="N720" s="74">
        <f t="shared" si="434"/>
        <v>0</v>
      </c>
      <c r="O720" s="74">
        <f t="shared" si="434"/>
        <v>0</v>
      </c>
      <c r="P720" s="74">
        <f t="shared" si="434"/>
        <v>0</v>
      </c>
      <c r="Q720" s="74">
        <f t="shared" si="434"/>
        <v>0</v>
      </c>
      <c r="R720" s="74">
        <f t="shared" si="434"/>
        <v>0</v>
      </c>
      <c r="S720" s="74">
        <f t="shared" si="434"/>
        <v>0</v>
      </c>
      <c r="T720" s="74">
        <f t="shared" si="434"/>
        <v>0</v>
      </c>
      <c r="U720" s="74">
        <f t="shared" si="434"/>
        <v>0</v>
      </c>
      <c r="V720" s="74">
        <f t="shared" si="434"/>
        <v>0</v>
      </c>
      <c r="W720" s="74">
        <f t="shared" si="434"/>
        <v>0</v>
      </c>
      <c r="X720" s="74">
        <f t="shared" si="434"/>
        <v>0</v>
      </c>
      <c r="Y720" s="74">
        <f t="shared" si="434"/>
        <v>0</v>
      </c>
      <c r="Z720" s="74">
        <f t="shared" si="434"/>
        <v>0</v>
      </c>
    </row>
    <row r="721" hidden="1" outlineLevel="1">
      <c r="B721" s="93">
        <f t="shared" si="423"/>
        <v>14</v>
      </c>
      <c r="C721" s="40"/>
      <c r="D721" s="16" t="s">
        <v>161</v>
      </c>
      <c r="E721" s="74">
        <f t="shared" si="108"/>
        <v>0</v>
      </c>
      <c r="F721" s="74"/>
      <c r="G721" s="74">
        <f t="shared" ref="G721:Z721" si="435">G637-G658</f>
        <v>0</v>
      </c>
      <c r="H721" s="74">
        <f t="shared" si="435"/>
        <v>0</v>
      </c>
      <c r="I721" s="74">
        <f t="shared" si="435"/>
        <v>0</v>
      </c>
      <c r="J721" s="74">
        <f t="shared" si="435"/>
        <v>0</v>
      </c>
      <c r="K721" s="74">
        <f t="shared" si="435"/>
        <v>0</v>
      </c>
      <c r="L721" s="74">
        <f t="shared" si="435"/>
        <v>0</v>
      </c>
      <c r="M721" s="74">
        <f t="shared" si="435"/>
        <v>0</v>
      </c>
      <c r="N721" s="74">
        <f t="shared" si="435"/>
        <v>0</v>
      </c>
      <c r="O721" s="74">
        <f t="shared" si="435"/>
        <v>0</v>
      </c>
      <c r="P721" s="74">
        <f t="shared" si="435"/>
        <v>0</v>
      </c>
      <c r="Q721" s="74">
        <f t="shared" si="435"/>
        <v>0</v>
      </c>
      <c r="R721" s="74">
        <f t="shared" si="435"/>
        <v>0</v>
      </c>
      <c r="S721" s="74">
        <f t="shared" si="435"/>
        <v>0</v>
      </c>
      <c r="T721" s="74">
        <f t="shared" si="435"/>
        <v>0</v>
      </c>
      <c r="U721" s="74">
        <f t="shared" si="435"/>
        <v>0</v>
      </c>
      <c r="V721" s="74">
        <f t="shared" si="435"/>
        <v>0</v>
      </c>
      <c r="W721" s="74">
        <f t="shared" si="435"/>
        <v>0</v>
      </c>
      <c r="X721" s="74">
        <f t="shared" si="435"/>
        <v>0</v>
      </c>
      <c r="Y721" s="74">
        <f t="shared" si="435"/>
        <v>0</v>
      </c>
      <c r="Z721" s="74">
        <f t="shared" si="435"/>
        <v>0</v>
      </c>
    </row>
    <row r="722" hidden="1" outlineLevel="1">
      <c r="B722" s="93">
        <f t="shared" si="423"/>
        <v>15</v>
      </c>
      <c r="C722" s="40"/>
      <c r="D722" s="16" t="s">
        <v>161</v>
      </c>
      <c r="E722" s="74">
        <f t="shared" si="108"/>
        <v>0</v>
      </c>
      <c r="F722" s="74"/>
      <c r="G722" s="74">
        <f t="shared" ref="G722:Z722" si="436">G638-G659</f>
        <v>0</v>
      </c>
      <c r="H722" s="74">
        <f t="shared" si="436"/>
        <v>0</v>
      </c>
      <c r="I722" s="74">
        <f t="shared" si="436"/>
        <v>0</v>
      </c>
      <c r="J722" s="74">
        <f t="shared" si="436"/>
        <v>0</v>
      </c>
      <c r="K722" s="74">
        <f t="shared" si="436"/>
        <v>0</v>
      </c>
      <c r="L722" s="74">
        <f t="shared" si="436"/>
        <v>0</v>
      </c>
      <c r="M722" s="74">
        <f t="shared" si="436"/>
        <v>0</v>
      </c>
      <c r="N722" s="74">
        <f t="shared" si="436"/>
        <v>0</v>
      </c>
      <c r="O722" s="74">
        <f t="shared" si="436"/>
        <v>0</v>
      </c>
      <c r="P722" s="74">
        <f t="shared" si="436"/>
        <v>0</v>
      </c>
      <c r="Q722" s="74">
        <f t="shared" si="436"/>
        <v>0</v>
      </c>
      <c r="R722" s="74">
        <f t="shared" si="436"/>
        <v>0</v>
      </c>
      <c r="S722" s="74">
        <f t="shared" si="436"/>
        <v>0</v>
      </c>
      <c r="T722" s="74">
        <f t="shared" si="436"/>
        <v>0</v>
      </c>
      <c r="U722" s="74">
        <f t="shared" si="436"/>
        <v>0</v>
      </c>
      <c r="V722" s="74">
        <f t="shared" si="436"/>
        <v>0</v>
      </c>
      <c r="W722" s="74">
        <f t="shared" si="436"/>
        <v>0</v>
      </c>
      <c r="X722" s="74">
        <f t="shared" si="436"/>
        <v>0</v>
      </c>
      <c r="Y722" s="74">
        <f t="shared" si="436"/>
        <v>0</v>
      </c>
      <c r="Z722" s="74">
        <f t="shared" si="436"/>
        <v>0</v>
      </c>
    </row>
    <row r="723" hidden="1" outlineLevel="1">
      <c r="B723" s="93">
        <f t="shared" si="423"/>
        <v>16</v>
      </c>
      <c r="C723" s="40"/>
      <c r="D723" s="16" t="s">
        <v>161</v>
      </c>
      <c r="E723" s="74">
        <f t="shared" si="108"/>
        <v>0</v>
      </c>
      <c r="F723" s="74"/>
      <c r="G723" s="74">
        <f t="shared" ref="G723:Z723" si="437">G639-G660</f>
        <v>0</v>
      </c>
      <c r="H723" s="74">
        <f t="shared" si="437"/>
        <v>0</v>
      </c>
      <c r="I723" s="74">
        <f t="shared" si="437"/>
        <v>0</v>
      </c>
      <c r="J723" s="74">
        <f t="shared" si="437"/>
        <v>0</v>
      </c>
      <c r="K723" s="74">
        <f t="shared" si="437"/>
        <v>0</v>
      </c>
      <c r="L723" s="74">
        <f t="shared" si="437"/>
        <v>0</v>
      </c>
      <c r="M723" s="74">
        <f t="shared" si="437"/>
        <v>0</v>
      </c>
      <c r="N723" s="74">
        <f t="shared" si="437"/>
        <v>0</v>
      </c>
      <c r="O723" s="74">
        <f t="shared" si="437"/>
        <v>0</v>
      </c>
      <c r="P723" s="74">
        <f t="shared" si="437"/>
        <v>0</v>
      </c>
      <c r="Q723" s="74">
        <f t="shared" si="437"/>
        <v>0</v>
      </c>
      <c r="R723" s="74">
        <f t="shared" si="437"/>
        <v>0</v>
      </c>
      <c r="S723" s="74">
        <f t="shared" si="437"/>
        <v>0</v>
      </c>
      <c r="T723" s="74">
        <f t="shared" si="437"/>
        <v>0</v>
      </c>
      <c r="U723" s="74">
        <f t="shared" si="437"/>
        <v>0</v>
      </c>
      <c r="V723" s="74">
        <f t="shared" si="437"/>
        <v>0</v>
      </c>
      <c r="W723" s="74">
        <f t="shared" si="437"/>
        <v>0</v>
      </c>
      <c r="X723" s="74">
        <f t="shared" si="437"/>
        <v>0</v>
      </c>
      <c r="Y723" s="74">
        <f t="shared" si="437"/>
        <v>0</v>
      </c>
      <c r="Z723" s="74">
        <f t="shared" si="437"/>
        <v>0</v>
      </c>
    </row>
    <row r="724" hidden="1" outlineLevel="1">
      <c r="B724" s="93">
        <f t="shared" si="423"/>
        <v>17</v>
      </c>
      <c r="C724" s="40"/>
      <c r="D724" s="16" t="s">
        <v>161</v>
      </c>
      <c r="E724" s="74">
        <f t="shared" si="108"/>
        <v>0</v>
      </c>
      <c r="F724" s="74"/>
      <c r="G724" s="74">
        <f t="shared" ref="G724:Z724" si="438">G640-G661</f>
        <v>0</v>
      </c>
      <c r="H724" s="74">
        <f t="shared" si="438"/>
        <v>0</v>
      </c>
      <c r="I724" s="74">
        <f t="shared" si="438"/>
        <v>0</v>
      </c>
      <c r="J724" s="74">
        <f t="shared" si="438"/>
        <v>0</v>
      </c>
      <c r="K724" s="74">
        <f t="shared" si="438"/>
        <v>0</v>
      </c>
      <c r="L724" s="74">
        <f t="shared" si="438"/>
        <v>0</v>
      </c>
      <c r="M724" s="74">
        <f t="shared" si="438"/>
        <v>0</v>
      </c>
      <c r="N724" s="74">
        <f t="shared" si="438"/>
        <v>0</v>
      </c>
      <c r="O724" s="74">
        <f t="shared" si="438"/>
        <v>0</v>
      </c>
      <c r="P724" s="74">
        <f t="shared" si="438"/>
        <v>0</v>
      </c>
      <c r="Q724" s="74">
        <f t="shared" si="438"/>
        <v>0</v>
      </c>
      <c r="R724" s="74">
        <f t="shared" si="438"/>
        <v>0</v>
      </c>
      <c r="S724" s="74">
        <f t="shared" si="438"/>
        <v>0</v>
      </c>
      <c r="T724" s="74">
        <f t="shared" si="438"/>
        <v>0</v>
      </c>
      <c r="U724" s="74">
        <f t="shared" si="438"/>
        <v>0</v>
      </c>
      <c r="V724" s="74">
        <f t="shared" si="438"/>
        <v>0</v>
      </c>
      <c r="W724" s="74">
        <f t="shared" si="438"/>
        <v>0</v>
      </c>
      <c r="X724" s="74">
        <f t="shared" si="438"/>
        <v>0</v>
      </c>
      <c r="Y724" s="74">
        <f t="shared" si="438"/>
        <v>0</v>
      </c>
      <c r="Z724" s="74">
        <f t="shared" si="438"/>
        <v>0</v>
      </c>
    </row>
    <row r="725" hidden="1" outlineLevel="1">
      <c r="B725" s="93">
        <f t="shared" si="423"/>
        <v>18</v>
      </c>
      <c r="C725" s="40"/>
      <c r="D725" s="16" t="s">
        <v>161</v>
      </c>
      <c r="E725" s="74">
        <f t="shared" si="108"/>
        <v>0</v>
      </c>
      <c r="F725" s="74"/>
      <c r="G725" s="74">
        <f t="shared" ref="G725:Z725" si="439">G641-G662</f>
        <v>0</v>
      </c>
      <c r="H725" s="74">
        <f t="shared" si="439"/>
        <v>0</v>
      </c>
      <c r="I725" s="74">
        <f t="shared" si="439"/>
        <v>0</v>
      </c>
      <c r="J725" s="74">
        <f t="shared" si="439"/>
        <v>0</v>
      </c>
      <c r="K725" s="74">
        <f t="shared" si="439"/>
        <v>0</v>
      </c>
      <c r="L725" s="74">
        <f t="shared" si="439"/>
        <v>0</v>
      </c>
      <c r="M725" s="74">
        <f t="shared" si="439"/>
        <v>0</v>
      </c>
      <c r="N725" s="74">
        <f t="shared" si="439"/>
        <v>0</v>
      </c>
      <c r="O725" s="74">
        <f t="shared" si="439"/>
        <v>0</v>
      </c>
      <c r="P725" s="74">
        <f t="shared" si="439"/>
        <v>0</v>
      </c>
      <c r="Q725" s="74">
        <f t="shared" si="439"/>
        <v>0</v>
      </c>
      <c r="R725" s="74">
        <f t="shared" si="439"/>
        <v>0</v>
      </c>
      <c r="S725" s="74">
        <f t="shared" si="439"/>
        <v>0</v>
      </c>
      <c r="T725" s="74">
        <f t="shared" si="439"/>
        <v>0</v>
      </c>
      <c r="U725" s="74">
        <f t="shared" si="439"/>
        <v>0</v>
      </c>
      <c r="V725" s="74">
        <f t="shared" si="439"/>
        <v>0</v>
      </c>
      <c r="W725" s="74">
        <f t="shared" si="439"/>
        <v>0</v>
      </c>
      <c r="X725" s="74">
        <f t="shared" si="439"/>
        <v>0</v>
      </c>
      <c r="Y725" s="74">
        <f t="shared" si="439"/>
        <v>0</v>
      </c>
      <c r="Z725" s="74">
        <f t="shared" si="439"/>
        <v>0</v>
      </c>
    </row>
    <row r="726" hidden="1" outlineLevel="1">
      <c r="B726" s="93">
        <f t="shared" si="423"/>
        <v>19</v>
      </c>
      <c r="C726" s="40"/>
      <c r="D726" s="16" t="s">
        <v>161</v>
      </c>
      <c r="E726" s="74">
        <f t="shared" si="108"/>
        <v>0</v>
      </c>
      <c r="F726" s="74"/>
      <c r="G726" s="74">
        <f t="shared" ref="G726:Z726" si="440">G642-G663</f>
        <v>0</v>
      </c>
      <c r="H726" s="74">
        <f t="shared" si="440"/>
        <v>0</v>
      </c>
      <c r="I726" s="74">
        <f t="shared" si="440"/>
        <v>0</v>
      </c>
      <c r="J726" s="74">
        <f t="shared" si="440"/>
        <v>0</v>
      </c>
      <c r="K726" s="74">
        <f t="shared" si="440"/>
        <v>0</v>
      </c>
      <c r="L726" s="74">
        <f t="shared" si="440"/>
        <v>0</v>
      </c>
      <c r="M726" s="74">
        <f t="shared" si="440"/>
        <v>0</v>
      </c>
      <c r="N726" s="74">
        <f t="shared" si="440"/>
        <v>0</v>
      </c>
      <c r="O726" s="74">
        <f t="shared" si="440"/>
        <v>0</v>
      </c>
      <c r="P726" s="74">
        <f t="shared" si="440"/>
        <v>0</v>
      </c>
      <c r="Q726" s="74">
        <f t="shared" si="440"/>
        <v>0</v>
      </c>
      <c r="R726" s="74">
        <f t="shared" si="440"/>
        <v>0</v>
      </c>
      <c r="S726" s="74">
        <f t="shared" si="440"/>
        <v>0</v>
      </c>
      <c r="T726" s="74">
        <f t="shared" si="440"/>
        <v>0</v>
      </c>
      <c r="U726" s="74">
        <f t="shared" si="440"/>
        <v>0</v>
      </c>
      <c r="V726" s="74">
        <f t="shared" si="440"/>
        <v>0</v>
      </c>
      <c r="W726" s="74">
        <f t="shared" si="440"/>
        <v>0</v>
      </c>
      <c r="X726" s="74">
        <f t="shared" si="440"/>
        <v>0</v>
      </c>
      <c r="Y726" s="74">
        <f t="shared" si="440"/>
        <v>0</v>
      </c>
      <c r="Z726" s="74">
        <f t="shared" si="440"/>
        <v>0</v>
      </c>
    </row>
    <row r="727" hidden="1" outlineLevel="1">
      <c r="B727" s="93">
        <f t="shared" si="423"/>
        <v>20</v>
      </c>
      <c r="C727" s="40"/>
      <c r="D727" s="16" t="s">
        <v>161</v>
      </c>
      <c r="E727" s="74">
        <f t="shared" si="108"/>
        <v>0</v>
      </c>
      <c r="F727" s="74"/>
      <c r="G727" s="74">
        <f t="shared" ref="G727:Z727" si="441">G643-G664</f>
        <v>0</v>
      </c>
      <c r="H727" s="74">
        <f t="shared" si="441"/>
        <v>0</v>
      </c>
      <c r="I727" s="74">
        <f t="shared" si="441"/>
        <v>0</v>
      </c>
      <c r="J727" s="74">
        <f t="shared" si="441"/>
        <v>0</v>
      </c>
      <c r="K727" s="74">
        <f t="shared" si="441"/>
        <v>0</v>
      </c>
      <c r="L727" s="74">
        <f t="shared" si="441"/>
        <v>0</v>
      </c>
      <c r="M727" s="74">
        <f t="shared" si="441"/>
        <v>0</v>
      </c>
      <c r="N727" s="74">
        <f t="shared" si="441"/>
        <v>0</v>
      </c>
      <c r="O727" s="74">
        <f t="shared" si="441"/>
        <v>0</v>
      </c>
      <c r="P727" s="74">
        <f t="shared" si="441"/>
        <v>0</v>
      </c>
      <c r="Q727" s="74">
        <f t="shared" si="441"/>
        <v>0</v>
      </c>
      <c r="R727" s="74">
        <f t="shared" si="441"/>
        <v>0</v>
      </c>
      <c r="S727" s="74">
        <f t="shared" si="441"/>
        <v>0</v>
      </c>
      <c r="T727" s="74">
        <f t="shared" si="441"/>
        <v>0</v>
      </c>
      <c r="U727" s="74">
        <f t="shared" si="441"/>
        <v>0</v>
      </c>
      <c r="V727" s="74">
        <f t="shared" si="441"/>
        <v>0</v>
      </c>
      <c r="W727" s="74">
        <f t="shared" si="441"/>
        <v>0</v>
      </c>
      <c r="X727" s="74">
        <f t="shared" si="441"/>
        <v>0</v>
      </c>
      <c r="Y727" s="74">
        <f t="shared" si="441"/>
        <v>0</v>
      </c>
      <c r="Z727" s="74">
        <f t="shared" si="441"/>
        <v>0</v>
      </c>
    </row>
    <row r="728" collapsed="1">
      <c r="B728" s="81" t="s">
        <v>236</v>
      </c>
      <c r="C728" s="16"/>
      <c r="D728" s="16" t="s">
        <v>177</v>
      </c>
      <c r="E728" s="74">
        <f t="shared" si="108"/>
        <v>19690000</v>
      </c>
      <c r="F728" s="78"/>
      <c r="G728" s="77">
        <f t="shared" ref="G728:Z728" si="442">sum(G729:G748)</f>
        <v>656333.3333</v>
      </c>
      <c r="H728" s="77">
        <f t="shared" si="442"/>
        <v>1969000</v>
      </c>
      <c r="I728" s="77">
        <f t="shared" si="442"/>
        <v>3938000</v>
      </c>
      <c r="J728" s="77">
        <f t="shared" si="442"/>
        <v>5907000</v>
      </c>
      <c r="K728" s="77">
        <f t="shared" si="442"/>
        <v>7876000</v>
      </c>
      <c r="L728" s="77">
        <f t="shared" si="442"/>
        <v>9845000</v>
      </c>
      <c r="M728" s="77">
        <f t="shared" si="442"/>
        <v>11814000</v>
      </c>
      <c r="N728" s="77">
        <f t="shared" si="442"/>
        <v>13783000</v>
      </c>
      <c r="O728" s="77">
        <f t="shared" si="442"/>
        <v>15752000</v>
      </c>
      <c r="P728" s="77">
        <f t="shared" si="442"/>
        <v>17721000</v>
      </c>
      <c r="Q728" s="77">
        <f t="shared" si="442"/>
        <v>19033666.67</v>
      </c>
      <c r="R728" s="77">
        <f t="shared" si="442"/>
        <v>19690000</v>
      </c>
      <c r="S728" s="77">
        <f t="shared" si="442"/>
        <v>19690000</v>
      </c>
      <c r="T728" s="77">
        <f t="shared" si="442"/>
        <v>19690000</v>
      </c>
      <c r="U728" s="77">
        <f t="shared" si="442"/>
        <v>19690000</v>
      </c>
      <c r="V728" s="77">
        <f t="shared" si="442"/>
        <v>19690000</v>
      </c>
      <c r="W728" s="77">
        <f t="shared" si="442"/>
        <v>19690000</v>
      </c>
      <c r="X728" s="77">
        <f t="shared" si="442"/>
        <v>19690000</v>
      </c>
      <c r="Y728" s="77">
        <f t="shared" si="442"/>
        <v>19690000</v>
      </c>
      <c r="Z728" s="77">
        <f t="shared" si="442"/>
        <v>19690000</v>
      </c>
    </row>
    <row r="729" hidden="1" outlineLevel="1">
      <c r="B729" s="93">
        <f>G$4</f>
        <v>1</v>
      </c>
      <c r="C729" s="40"/>
      <c r="D729" s="16" t="s">
        <v>177</v>
      </c>
      <c r="E729" s="74">
        <f t="shared" si="108"/>
        <v>6563333.333</v>
      </c>
      <c r="F729" s="74"/>
      <c r="G729" s="74">
        <f t="shared" ref="G729:Z729" si="443">F729+G306</f>
        <v>656333.3333</v>
      </c>
      <c r="H729" s="74">
        <f t="shared" si="443"/>
        <v>1312666.667</v>
      </c>
      <c r="I729" s="74">
        <f t="shared" si="443"/>
        <v>1969000</v>
      </c>
      <c r="J729" s="74">
        <f t="shared" si="443"/>
        <v>2625333.333</v>
      </c>
      <c r="K729" s="74">
        <f t="shared" si="443"/>
        <v>3281666.667</v>
      </c>
      <c r="L729" s="74">
        <f t="shared" si="443"/>
        <v>3938000</v>
      </c>
      <c r="M729" s="74">
        <f t="shared" si="443"/>
        <v>4594333.333</v>
      </c>
      <c r="N729" s="74">
        <f t="shared" si="443"/>
        <v>5250666.667</v>
      </c>
      <c r="O729" s="74">
        <f t="shared" si="443"/>
        <v>5907000</v>
      </c>
      <c r="P729" s="74">
        <f t="shared" si="443"/>
        <v>6563333.333</v>
      </c>
      <c r="Q729" s="74">
        <f t="shared" si="443"/>
        <v>6563333.333</v>
      </c>
      <c r="R729" s="74">
        <f t="shared" si="443"/>
        <v>6563333.333</v>
      </c>
      <c r="S729" s="74">
        <f t="shared" si="443"/>
        <v>6563333.333</v>
      </c>
      <c r="T729" s="74">
        <f t="shared" si="443"/>
        <v>6563333.333</v>
      </c>
      <c r="U729" s="74">
        <f t="shared" si="443"/>
        <v>6563333.333</v>
      </c>
      <c r="V729" s="74">
        <f t="shared" si="443"/>
        <v>6563333.333</v>
      </c>
      <c r="W729" s="74">
        <f t="shared" si="443"/>
        <v>6563333.333</v>
      </c>
      <c r="X729" s="74">
        <f t="shared" si="443"/>
        <v>6563333.333</v>
      </c>
      <c r="Y729" s="74">
        <f t="shared" si="443"/>
        <v>6563333.333</v>
      </c>
      <c r="Z729" s="74">
        <f t="shared" si="443"/>
        <v>6563333.333</v>
      </c>
    </row>
    <row r="730" hidden="1" outlineLevel="1">
      <c r="B730" s="93">
        <f t="shared" ref="B730:B748" si="445">B729+1</f>
        <v>2</v>
      </c>
      <c r="C730" s="40"/>
      <c r="D730" s="16" t="s">
        <v>177</v>
      </c>
      <c r="E730" s="74">
        <f t="shared" si="108"/>
        <v>6563333.333</v>
      </c>
      <c r="F730" s="74"/>
      <c r="G730" s="74">
        <f t="shared" ref="G730:Z730" si="444">F730+G307</f>
        <v>0</v>
      </c>
      <c r="H730" s="74">
        <f t="shared" si="444"/>
        <v>656333.3333</v>
      </c>
      <c r="I730" s="74">
        <f t="shared" si="444"/>
        <v>1312666.667</v>
      </c>
      <c r="J730" s="74">
        <f t="shared" si="444"/>
        <v>1969000</v>
      </c>
      <c r="K730" s="74">
        <f t="shared" si="444"/>
        <v>2625333.333</v>
      </c>
      <c r="L730" s="74">
        <f t="shared" si="444"/>
        <v>3281666.667</v>
      </c>
      <c r="M730" s="74">
        <f t="shared" si="444"/>
        <v>3938000</v>
      </c>
      <c r="N730" s="74">
        <f t="shared" si="444"/>
        <v>4594333.333</v>
      </c>
      <c r="O730" s="74">
        <f t="shared" si="444"/>
        <v>5250666.667</v>
      </c>
      <c r="P730" s="74">
        <f t="shared" si="444"/>
        <v>5907000</v>
      </c>
      <c r="Q730" s="74">
        <f t="shared" si="444"/>
        <v>6563333.333</v>
      </c>
      <c r="R730" s="74">
        <f t="shared" si="444"/>
        <v>6563333.333</v>
      </c>
      <c r="S730" s="74">
        <f t="shared" si="444"/>
        <v>6563333.333</v>
      </c>
      <c r="T730" s="74">
        <f t="shared" si="444"/>
        <v>6563333.333</v>
      </c>
      <c r="U730" s="74">
        <f t="shared" si="444"/>
        <v>6563333.333</v>
      </c>
      <c r="V730" s="74">
        <f t="shared" si="444"/>
        <v>6563333.333</v>
      </c>
      <c r="W730" s="74">
        <f t="shared" si="444"/>
        <v>6563333.333</v>
      </c>
      <c r="X730" s="74">
        <f t="shared" si="444"/>
        <v>6563333.333</v>
      </c>
      <c r="Y730" s="74">
        <f t="shared" si="444"/>
        <v>6563333.333</v>
      </c>
      <c r="Z730" s="74">
        <f t="shared" si="444"/>
        <v>6563333.333</v>
      </c>
    </row>
    <row r="731" hidden="1" outlineLevel="1">
      <c r="B731" s="93">
        <f t="shared" si="445"/>
        <v>3</v>
      </c>
      <c r="C731" s="40"/>
      <c r="D731" s="16" t="s">
        <v>177</v>
      </c>
      <c r="E731" s="74">
        <f t="shared" si="108"/>
        <v>6563333.333</v>
      </c>
      <c r="F731" s="74"/>
      <c r="G731" s="74">
        <f t="shared" ref="G731:Z731" si="446">F731+G308</f>
        <v>0</v>
      </c>
      <c r="H731" s="74">
        <f t="shared" si="446"/>
        <v>0</v>
      </c>
      <c r="I731" s="74">
        <f t="shared" si="446"/>
        <v>656333.3333</v>
      </c>
      <c r="J731" s="74">
        <f t="shared" si="446"/>
        <v>1312666.667</v>
      </c>
      <c r="K731" s="74">
        <f t="shared" si="446"/>
        <v>1969000</v>
      </c>
      <c r="L731" s="74">
        <f t="shared" si="446"/>
        <v>2625333.333</v>
      </c>
      <c r="M731" s="74">
        <f t="shared" si="446"/>
        <v>3281666.667</v>
      </c>
      <c r="N731" s="74">
        <f t="shared" si="446"/>
        <v>3938000</v>
      </c>
      <c r="O731" s="74">
        <f t="shared" si="446"/>
        <v>4594333.333</v>
      </c>
      <c r="P731" s="74">
        <f t="shared" si="446"/>
        <v>5250666.667</v>
      </c>
      <c r="Q731" s="74">
        <f t="shared" si="446"/>
        <v>5907000</v>
      </c>
      <c r="R731" s="74">
        <f t="shared" si="446"/>
        <v>6563333.333</v>
      </c>
      <c r="S731" s="74">
        <f t="shared" si="446"/>
        <v>6563333.333</v>
      </c>
      <c r="T731" s="74">
        <f t="shared" si="446"/>
        <v>6563333.333</v>
      </c>
      <c r="U731" s="74">
        <f t="shared" si="446"/>
        <v>6563333.333</v>
      </c>
      <c r="V731" s="74">
        <f t="shared" si="446"/>
        <v>6563333.333</v>
      </c>
      <c r="W731" s="74">
        <f t="shared" si="446"/>
        <v>6563333.333</v>
      </c>
      <c r="X731" s="74">
        <f t="shared" si="446"/>
        <v>6563333.333</v>
      </c>
      <c r="Y731" s="74">
        <f t="shared" si="446"/>
        <v>6563333.333</v>
      </c>
      <c r="Z731" s="74">
        <f t="shared" si="446"/>
        <v>6563333.333</v>
      </c>
    </row>
    <row r="732" hidden="1" outlineLevel="1">
      <c r="B732" s="93">
        <f t="shared" si="445"/>
        <v>4</v>
      </c>
      <c r="C732" s="40"/>
      <c r="D732" s="16" t="s">
        <v>177</v>
      </c>
      <c r="E732" s="74">
        <f t="shared" si="108"/>
        <v>0</v>
      </c>
      <c r="F732" s="74"/>
      <c r="G732" s="74">
        <f t="shared" ref="G732:Z732" si="447">F732+G309</f>
        <v>0</v>
      </c>
      <c r="H732" s="74">
        <f t="shared" si="447"/>
        <v>0</v>
      </c>
      <c r="I732" s="74">
        <f t="shared" si="447"/>
        <v>0</v>
      </c>
      <c r="J732" s="74">
        <f t="shared" si="447"/>
        <v>0</v>
      </c>
      <c r="K732" s="74">
        <f t="shared" si="447"/>
        <v>0</v>
      </c>
      <c r="L732" s="74">
        <f t="shared" si="447"/>
        <v>0</v>
      </c>
      <c r="M732" s="74">
        <f t="shared" si="447"/>
        <v>0</v>
      </c>
      <c r="N732" s="74">
        <f t="shared" si="447"/>
        <v>0</v>
      </c>
      <c r="O732" s="74">
        <f t="shared" si="447"/>
        <v>0</v>
      </c>
      <c r="P732" s="74">
        <f t="shared" si="447"/>
        <v>0</v>
      </c>
      <c r="Q732" s="74">
        <f t="shared" si="447"/>
        <v>0</v>
      </c>
      <c r="R732" s="74">
        <f t="shared" si="447"/>
        <v>0</v>
      </c>
      <c r="S732" s="74">
        <f t="shared" si="447"/>
        <v>0</v>
      </c>
      <c r="T732" s="74">
        <f t="shared" si="447"/>
        <v>0</v>
      </c>
      <c r="U732" s="74">
        <f t="shared" si="447"/>
        <v>0</v>
      </c>
      <c r="V732" s="74">
        <f t="shared" si="447"/>
        <v>0</v>
      </c>
      <c r="W732" s="74">
        <f t="shared" si="447"/>
        <v>0</v>
      </c>
      <c r="X732" s="74">
        <f t="shared" si="447"/>
        <v>0</v>
      </c>
      <c r="Y732" s="74">
        <f t="shared" si="447"/>
        <v>0</v>
      </c>
      <c r="Z732" s="74">
        <f t="shared" si="447"/>
        <v>0</v>
      </c>
    </row>
    <row r="733" hidden="1" outlineLevel="1">
      <c r="B733" s="93">
        <f t="shared" si="445"/>
        <v>5</v>
      </c>
      <c r="C733" s="40"/>
      <c r="D733" s="16" t="s">
        <v>177</v>
      </c>
      <c r="E733" s="74">
        <f t="shared" si="108"/>
        <v>0</v>
      </c>
      <c r="F733" s="74"/>
      <c r="G733" s="74">
        <f t="shared" ref="G733:Z733" si="448">F733+G310</f>
        <v>0</v>
      </c>
      <c r="H733" s="74">
        <f t="shared" si="448"/>
        <v>0</v>
      </c>
      <c r="I733" s="74">
        <f t="shared" si="448"/>
        <v>0</v>
      </c>
      <c r="J733" s="74">
        <f t="shared" si="448"/>
        <v>0</v>
      </c>
      <c r="K733" s="74">
        <f t="shared" si="448"/>
        <v>0</v>
      </c>
      <c r="L733" s="74">
        <f t="shared" si="448"/>
        <v>0</v>
      </c>
      <c r="M733" s="74">
        <f t="shared" si="448"/>
        <v>0</v>
      </c>
      <c r="N733" s="74">
        <f t="shared" si="448"/>
        <v>0</v>
      </c>
      <c r="O733" s="74">
        <f t="shared" si="448"/>
        <v>0</v>
      </c>
      <c r="P733" s="74">
        <f t="shared" si="448"/>
        <v>0</v>
      </c>
      <c r="Q733" s="74">
        <f t="shared" si="448"/>
        <v>0</v>
      </c>
      <c r="R733" s="74">
        <f t="shared" si="448"/>
        <v>0</v>
      </c>
      <c r="S733" s="74">
        <f t="shared" si="448"/>
        <v>0</v>
      </c>
      <c r="T733" s="74">
        <f t="shared" si="448"/>
        <v>0</v>
      </c>
      <c r="U733" s="74">
        <f t="shared" si="448"/>
        <v>0</v>
      </c>
      <c r="V733" s="74">
        <f t="shared" si="448"/>
        <v>0</v>
      </c>
      <c r="W733" s="74">
        <f t="shared" si="448"/>
        <v>0</v>
      </c>
      <c r="X733" s="74">
        <f t="shared" si="448"/>
        <v>0</v>
      </c>
      <c r="Y733" s="74">
        <f t="shared" si="448"/>
        <v>0</v>
      </c>
      <c r="Z733" s="74">
        <f t="shared" si="448"/>
        <v>0</v>
      </c>
    </row>
    <row r="734" hidden="1" outlineLevel="1">
      <c r="B734" s="93">
        <f t="shared" si="445"/>
        <v>6</v>
      </c>
      <c r="C734" s="40"/>
      <c r="D734" s="16" t="s">
        <v>177</v>
      </c>
      <c r="E734" s="74">
        <f t="shared" si="108"/>
        <v>0</v>
      </c>
      <c r="F734" s="74"/>
      <c r="G734" s="74">
        <f t="shared" ref="G734:Z734" si="449">F734+G311</f>
        <v>0</v>
      </c>
      <c r="H734" s="74">
        <f t="shared" si="449"/>
        <v>0</v>
      </c>
      <c r="I734" s="74">
        <f t="shared" si="449"/>
        <v>0</v>
      </c>
      <c r="J734" s="74">
        <f t="shared" si="449"/>
        <v>0</v>
      </c>
      <c r="K734" s="74">
        <f t="shared" si="449"/>
        <v>0</v>
      </c>
      <c r="L734" s="74">
        <f t="shared" si="449"/>
        <v>0</v>
      </c>
      <c r="M734" s="74">
        <f t="shared" si="449"/>
        <v>0</v>
      </c>
      <c r="N734" s="74">
        <f t="shared" si="449"/>
        <v>0</v>
      </c>
      <c r="O734" s="74">
        <f t="shared" si="449"/>
        <v>0</v>
      </c>
      <c r="P734" s="74">
        <f t="shared" si="449"/>
        <v>0</v>
      </c>
      <c r="Q734" s="74">
        <f t="shared" si="449"/>
        <v>0</v>
      </c>
      <c r="R734" s="74">
        <f t="shared" si="449"/>
        <v>0</v>
      </c>
      <c r="S734" s="74">
        <f t="shared" si="449"/>
        <v>0</v>
      </c>
      <c r="T734" s="74">
        <f t="shared" si="449"/>
        <v>0</v>
      </c>
      <c r="U734" s="74">
        <f t="shared" si="449"/>
        <v>0</v>
      </c>
      <c r="V734" s="74">
        <f t="shared" si="449"/>
        <v>0</v>
      </c>
      <c r="W734" s="74">
        <f t="shared" si="449"/>
        <v>0</v>
      </c>
      <c r="X734" s="74">
        <f t="shared" si="449"/>
        <v>0</v>
      </c>
      <c r="Y734" s="74">
        <f t="shared" si="449"/>
        <v>0</v>
      </c>
      <c r="Z734" s="74">
        <f t="shared" si="449"/>
        <v>0</v>
      </c>
    </row>
    <row r="735" hidden="1" outlineLevel="1">
      <c r="B735" s="93">
        <f t="shared" si="445"/>
        <v>7</v>
      </c>
      <c r="C735" s="40"/>
      <c r="D735" s="16" t="s">
        <v>177</v>
      </c>
      <c r="E735" s="74">
        <f t="shared" si="108"/>
        <v>0</v>
      </c>
      <c r="F735" s="74"/>
      <c r="G735" s="74">
        <f t="shared" ref="G735:Z735" si="450">F735+G312</f>
        <v>0</v>
      </c>
      <c r="H735" s="74">
        <f t="shared" si="450"/>
        <v>0</v>
      </c>
      <c r="I735" s="74">
        <f t="shared" si="450"/>
        <v>0</v>
      </c>
      <c r="J735" s="74">
        <f t="shared" si="450"/>
        <v>0</v>
      </c>
      <c r="K735" s="74">
        <f t="shared" si="450"/>
        <v>0</v>
      </c>
      <c r="L735" s="74">
        <f t="shared" si="450"/>
        <v>0</v>
      </c>
      <c r="M735" s="74">
        <f t="shared" si="450"/>
        <v>0</v>
      </c>
      <c r="N735" s="74">
        <f t="shared" si="450"/>
        <v>0</v>
      </c>
      <c r="O735" s="74">
        <f t="shared" si="450"/>
        <v>0</v>
      </c>
      <c r="P735" s="74">
        <f t="shared" si="450"/>
        <v>0</v>
      </c>
      <c r="Q735" s="74">
        <f t="shared" si="450"/>
        <v>0</v>
      </c>
      <c r="R735" s="74">
        <f t="shared" si="450"/>
        <v>0</v>
      </c>
      <c r="S735" s="74">
        <f t="shared" si="450"/>
        <v>0</v>
      </c>
      <c r="T735" s="74">
        <f t="shared" si="450"/>
        <v>0</v>
      </c>
      <c r="U735" s="74">
        <f t="shared" si="450"/>
        <v>0</v>
      </c>
      <c r="V735" s="74">
        <f t="shared" si="450"/>
        <v>0</v>
      </c>
      <c r="W735" s="74">
        <f t="shared" si="450"/>
        <v>0</v>
      </c>
      <c r="X735" s="74">
        <f t="shared" si="450"/>
        <v>0</v>
      </c>
      <c r="Y735" s="74">
        <f t="shared" si="450"/>
        <v>0</v>
      </c>
      <c r="Z735" s="74">
        <f t="shared" si="450"/>
        <v>0</v>
      </c>
    </row>
    <row r="736" hidden="1" outlineLevel="1">
      <c r="B736" s="93">
        <f t="shared" si="445"/>
        <v>8</v>
      </c>
      <c r="C736" s="40"/>
      <c r="D736" s="16" t="s">
        <v>177</v>
      </c>
      <c r="E736" s="74">
        <f t="shared" si="108"/>
        <v>0</v>
      </c>
      <c r="F736" s="74"/>
      <c r="G736" s="74">
        <f t="shared" ref="G736:Z736" si="451">F736+G313</f>
        <v>0</v>
      </c>
      <c r="H736" s="74">
        <f t="shared" si="451"/>
        <v>0</v>
      </c>
      <c r="I736" s="74">
        <f t="shared" si="451"/>
        <v>0</v>
      </c>
      <c r="J736" s="74">
        <f t="shared" si="451"/>
        <v>0</v>
      </c>
      <c r="K736" s="74">
        <f t="shared" si="451"/>
        <v>0</v>
      </c>
      <c r="L736" s="74">
        <f t="shared" si="451"/>
        <v>0</v>
      </c>
      <c r="M736" s="74">
        <f t="shared" si="451"/>
        <v>0</v>
      </c>
      <c r="N736" s="74">
        <f t="shared" si="451"/>
        <v>0</v>
      </c>
      <c r="O736" s="74">
        <f t="shared" si="451"/>
        <v>0</v>
      </c>
      <c r="P736" s="74">
        <f t="shared" si="451"/>
        <v>0</v>
      </c>
      <c r="Q736" s="74">
        <f t="shared" si="451"/>
        <v>0</v>
      </c>
      <c r="R736" s="74">
        <f t="shared" si="451"/>
        <v>0</v>
      </c>
      <c r="S736" s="74">
        <f t="shared" si="451"/>
        <v>0</v>
      </c>
      <c r="T736" s="74">
        <f t="shared" si="451"/>
        <v>0</v>
      </c>
      <c r="U736" s="74">
        <f t="shared" si="451"/>
        <v>0</v>
      </c>
      <c r="V736" s="74">
        <f t="shared" si="451"/>
        <v>0</v>
      </c>
      <c r="W736" s="74">
        <f t="shared" si="451"/>
        <v>0</v>
      </c>
      <c r="X736" s="74">
        <f t="shared" si="451"/>
        <v>0</v>
      </c>
      <c r="Y736" s="74">
        <f t="shared" si="451"/>
        <v>0</v>
      </c>
      <c r="Z736" s="74">
        <f t="shared" si="451"/>
        <v>0</v>
      </c>
    </row>
    <row r="737" hidden="1" outlineLevel="1">
      <c r="B737" s="93">
        <f t="shared" si="445"/>
        <v>9</v>
      </c>
      <c r="C737" s="40"/>
      <c r="D737" s="16" t="s">
        <v>177</v>
      </c>
      <c r="E737" s="74">
        <f t="shared" si="108"/>
        <v>0</v>
      </c>
      <c r="F737" s="74"/>
      <c r="G737" s="74">
        <f t="shared" ref="G737:Z737" si="452">F737+G314</f>
        <v>0</v>
      </c>
      <c r="H737" s="74">
        <f t="shared" si="452"/>
        <v>0</v>
      </c>
      <c r="I737" s="74">
        <f t="shared" si="452"/>
        <v>0</v>
      </c>
      <c r="J737" s="74">
        <f t="shared" si="452"/>
        <v>0</v>
      </c>
      <c r="K737" s="74">
        <f t="shared" si="452"/>
        <v>0</v>
      </c>
      <c r="L737" s="74">
        <f t="shared" si="452"/>
        <v>0</v>
      </c>
      <c r="M737" s="74">
        <f t="shared" si="452"/>
        <v>0</v>
      </c>
      <c r="N737" s="74">
        <f t="shared" si="452"/>
        <v>0</v>
      </c>
      <c r="O737" s="74">
        <f t="shared" si="452"/>
        <v>0</v>
      </c>
      <c r="P737" s="74">
        <f t="shared" si="452"/>
        <v>0</v>
      </c>
      <c r="Q737" s="74">
        <f t="shared" si="452"/>
        <v>0</v>
      </c>
      <c r="R737" s="74">
        <f t="shared" si="452"/>
        <v>0</v>
      </c>
      <c r="S737" s="74">
        <f t="shared" si="452"/>
        <v>0</v>
      </c>
      <c r="T737" s="74">
        <f t="shared" si="452"/>
        <v>0</v>
      </c>
      <c r="U737" s="74">
        <f t="shared" si="452"/>
        <v>0</v>
      </c>
      <c r="V737" s="74">
        <f t="shared" si="452"/>
        <v>0</v>
      </c>
      <c r="W737" s="74">
        <f t="shared" si="452"/>
        <v>0</v>
      </c>
      <c r="X737" s="74">
        <f t="shared" si="452"/>
        <v>0</v>
      </c>
      <c r="Y737" s="74">
        <f t="shared" si="452"/>
        <v>0</v>
      </c>
      <c r="Z737" s="74">
        <f t="shared" si="452"/>
        <v>0</v>
      </c>
    </row>
    <row r="738" hidden="1" outlineLevel="1">
      <c r="B738" s="93">
        <f t="shared" si="445"/>
        <v>10</v>
      </c>
      <c r="C738" s="40"/>
      <c r="D738" s="16" t="s">
        <v>177</v>
      </c>
      <c r="E738" s="74">
        <f t="shared" si="108"/>
        <v>0</v>
      </c>
      <c r="F738" s="74"/>
      <c r="G738" s="74">
        <f t="shared" ref="G738:Z738" si="453">F738+G315</f>
        <v>0</v>
      </c>
      <c r="H738" s="74">
        <f t="shared" si="453"/>
        <v>0</v>
      </c>
      <c r="I738" s="74">
        <f t="shared" si="453"/>
        <v>0</v>
      </c>
      <c r="J738" s="74">
        <f t="shared" si="453"/>
        <v>0</v>
      </c>
      <c r="K738" s="74">
        <f t="shared" si="453"/>
        <v>0</v>
      </c>
      <c r="L738" s="74">
        <f t="shared" si="453"/>
        <v>0</v>
      </c>
      <c r="M738" s="74">
        <f t="shared" si="453"/>
        <v>0</v>
      </c>
      <c r="N738" s="74">
        <f t="shared" si="453"/>
        <v>0</v>
      </c>
      <c r="O738" s="74">
        <f t="shared" si="453"/>
        <v>0</v>
      </c>
      <c r="P738" s="74">
        <f t="shared" si="453"/>
        <v>0</v>
      </c>
      <c r="Q738" s="74">
        <f t="shared" si="453"/>
        <v>0</v>
      </c>
      <c r="R738" s="74">
        <f t="shared" si="453"/>
        <v>0</v>
      </c>
      <c r="S738" s="74">
        <f t="shared" si="453"/>
        <v>0</v>
      </c>
      <c r="T738" s="74">
        <f t="shared" si="453"/>
        <v>0</v>
      </c>
      <c r="U738" s="74">
        <f t="shared" si="453"/>
        <v>0</v>
      </c>
      <c r="V738" s="74">
        <f t="shared" si="453"/>
        <v>0</v>
      </c>
      <c r="W738" s="74">
        <f t="shared" si="453"/>
        <v>0</v>
      </c>
      <c r="X738" s="74">
        <f t="shared" si="453"/>
        <v>0</v>
      </c>
      <c r="Y738" s="74">
        <f t="shared" si="453"/>
        <v>0</v>
      </c>
      <c r="Z738" s="74">
        <f t="shared" si="453"/>
        <v>0</v>
      </c>
    </row>
    <row r="739" hidden="1" outlineLevel="1">
      <c r="B739" s="93">
        <f t="shared" si="445"/>
        <v>11</v>
      </c>
      <c r="C739" s="40"/>
      <c r="D739" s="16" t="s">
        <v>177</v>
      </c>
      <c r="E739" s="74">
        <f t="shared" si="108"/>
        <v>0</v>
      </c>
      <c r="F739" s="74"/>
      <c r="G739" s="74">
        <f t="shared" ref="G739:Z739" si="454">F739+G316</f>
        <v>0</v>
      </c>
      <c r="H739" s="74">
        <f t="shared" si="454"/>
        <v>0</v>
      </c>
      <c r="I739" s="74">
        <f t="shared" si="454"/>
        <v>0</v>
      </c>
      <c r="J739" s="74">
        <f t="shared" si="454"/>
        <v>0</v>
      </c>
      <c r="K739" s="74">
        <f t="shared" si="454"/>
        <v>0</v>
      </c>
      <c r="L739" s="74">
        <f t="shared" si="454"/>
        <v>0</v>
      </c>
      <c r="M739" s="74">
        <f t="shared" si="454"/>
        <v>0</v>
      </c>
      <c r="N739" s="74">
        <f t="shared" si="454"/>
        <v>0</v>
      </c>
      <c r="O739" s="74">
        <f t="shared" si="454"/>
        <v>0</v>
      </c>
      <c r="P739" s="74">
        <f t="shared" si="454"/>
        <v>0</v>
      </c>
      <c r="Q739" s="74">
        <f t="shared" si="454"/>
        <v>0</v>
      </c>
      <c r="R739" s="74">
        <f t="shared" si="454"/>
        <v>0</v>
      </c>
      <c r="S739" s="74">
        <f t="shared" si="454"/>
        <v>0</v>
      </c>
      <c r="T739" s="74">
        <f t="shared" si="454"/>
        <v>0</v>
      </c>
      <c r="U739" s="74">
        <f t="shared" si="454"/>
        <v>0</v>
      </c>
      <c r="V739" s="74">
        <f t="shared" si="454"/>
        <v>0</v>
      </c>
      <c r="W739" s="74">
        <f t="shared" si="454"/>
        <v>0</v>
      </c>
      <c r="X739" s="74">
        <f t="shared" si="454"/>
        <v>0</v>
      </c>
      <c r="Y739" s="74">
        <f t="shared" si="454"/>
        <v>0</v>
      </c>
      <c r="Z739" s="74">
        <f t="shared" si="454"/>
        <v>0</v>
      </c>
    </row>
    <row r="740" hidden="1" outlineLevel="1">
      <c r="B740" s="93">
        <f t="shared" si="445"/>
        <v>12</v>
      </c>
      <c r="C740" s="40"/>
      <c r="D740" s="16" t="s">
        <v>177</v>
      </c>
      <c r="E740" s="74">
        <f t="shared" si="108"/>
        <v>0</v>
      </c>
      <c r="F740" s="74"/>
      <c r="G740" s="74">
        <f t="shared" ref="G740:Z740" si="455">F740+G317</f>
        <v>0</v>
      </c>
      <c r="H740" s="74">
        <f t="shared" si="455"/>
        <v>0</v>
      </c>
      <c r="I740" s="74">
        <f t="shared" si="455"/>
        <v>0</v>
      </c>
      <c r="J740" s="74">
        <f t="shared" si="455"/>
        <v>0</v>
      </c>
      <c r="K740" s="74">
        <f t="shared" si="455"/>
        <v>0</v>
      </c>
      <c r="L740" s="74">
        <f t="shared" si="455"/>
        <v>0</v>
      </c>
      <c r="M740" s="74">
        <f t="shared" si="455"/>
        <v>0</v>
      </c>
      <c r="N740" s="74">
        <f t="shared" si="455"/>
        <v>0</v>
      </c>
      <c r="O740" s="74">
        <f t="shared" si="455"/>
        <v>0</v>
      </c>
      <c r="P740" s="74">
        <f t="shared" si="455"/>
        <v>0</v>
      </c>
      <c r="Q740" s="74">
        <f t="shared" si="455"/>
        <v>0</v>
      </c>
      <c r="R740" s="74">
        <f t="shared" si="455"/>
        <v>0</v>
      </c>
      <c r="S740" s="74">
        <f t="shared" si="455"/>
        <v>0</v>
      </c>
      <c r="T740" s="74">
        <f t="shared" si="455"/>
        <v>0</v>
      </c>
      <c r="U740" s="74">
        <f t="shared" si="455"/>
        <v>0</v>
      </c>
      <c r="V740" s="74">
        <f t="shared" si="455"/>
        <v>0</v>
      </c>
      <c r="W740" s="74">
        <f t="shared" si="455"/>
        <v>0</v>
      </c>
      <c r="X740" s="74">
        <f t="shared" si="455"/>
        <v>0</v>
      </c>
      <c r="Y740" s="74">
        <f t="shared" si="455"/>
        <v>0</v>
      </c>
      <c r="Z740" s="74">
        <f t="shared" si="455"/>
        <v>0</v>
      </c>
    </row>
    <row r="741" hidden="1" outlineLevel="1">
      <c r="B741" s="93">
        <f t="shared" si="445"/>
        <v>13</v>
      </c>
      <c r="C741" s="40"/>
      <c r="D741" s="16" t="s">
        <v>177</v>
      </c>
      <c r="E741" s="74">
        <f t="shared" si="108"/>
        <v>0</v>
      </c>
      <c r="F741" s="74"/>
      <c r="G741" s="74">
        <f t="shared" ref="G741:Z741" si="456">F741+G318</f>
        <v>0</v>
      </c>
      <c r="H741" s="74">
        <f t="shared" si="456"/>
        <v>0</v>
      </c>
      <c r="I741" s="74">
        <f t="shared" si="456"/>
        <v>0</v>
      </c>
      <c r="J741" s="74">
        <f t="shared" si="456"/>
        <v>0</v>
      </c>
      <c r="K741" s="74">
        <f t="shared" si="456"/>
        <v>0</v>
      </c>
      <c r="L741" s="74">
        <f t="shared" si="456"/>
        <v>0</v>
      </c>
      <c r="M741" s="74">
        <f t="shared" si="456"/>
        <v>0</v>
      </c>
      <c r="N741" s="74">
        <f t="shared" si="456"/>
        <v>0</v>
      </c>
      <c r="O741" s="74">
        <f t="shared" si="456"/>
        <v>0</v>
      </c>
      <c r="P741" s="74">
        <f t="shared" si="456"/>
        <v>0</v>
      </c>
      <c r="Q741" s="74">
        <f t="shared" si="456"/>
        <v>0</v>
      </c>
      <c r="R741" s="74">
        <f t="shared" si="456"/>
        <v>0</v>
      </c>
      <c r="S741" s="74">
        <f t="shared" si="456"/>
        <v>0</v>
      </c>
      <c r="T741" s="74">
        <f t="shared" si="456"/>
        <v>0</v>
      </c>
      <c r="U741" s="74">
        <f t="shared" si="456"/>
        <v>0</v>
      </c>
      <c r="V741" s="74">
        <f t="shared" si="456"/>
        <v>0</v>
      </c>
      <c r="W741" s="74">
        <f t="shared" si="456"/>
        <v>0</v>
      </c>
      <c r="X741" s="74">
        <f t="shared" si="456"/>
        <v>0</v>
      </c>
      <c r="Y741" s="74">
        <f t="shared" si="456"/>
        <v>0</v>
      </c>
      <c r="Z741" s="74">
        <f t="shared" si="456"/>
        <v>0</v>
      </c>
    </row>
    <row r="742" hidden="1" outlineLevel="1">
      <c r="B742" s="93">
        <f t="shared" si="445"/>
        <v>14</v>
      </c>
      <c r="C742" s="40"/>
      <c r="D742" s="16" t="s">
        <v>177</v>
      </c>
      <c r="E742" s="74">
        <f t="shared" si="108"/>
        <v>0</v>
      </c>
      <c r="F742" s="74"/>
      <c r="G742" s="74">
        <f t="shared" ref="G742:Z742" si="457">F742+G319</f>
        <v>0</v>
      </c>
      <c r="H742" s="74">
        <f t="shared" si="457"/>
        <v>0</v>
      </c>
      <c r="I742" s="74">
        <f t="shared" si="457"/>
        <v>0</v>
      </c>
      <c r="J742" s="74">
        <f t="shared" si="457"/>
        <v>0</v>
      </c>
      <c r="K742" s="74">
        <f t="shared" si="457"/>
        <v>0</v>
      </c>
      <c r="L742" s="74">
        <f t="shared" si="457"/>
        <v>0</v>
      </c>
      <c r="M742" s="74">
        <f t="shared" si="457"/>
        <v>0</v>
      </c>
      <c r="N742" s="74">
        <f t="shared" si="457"/>
        <v>0</v>
      </c>
      <c r="O742" s="74">
        <f t="shared" si="457"/>
        <v>0</v>
      </c>
      <c r="P742" s="74">
        <f t="shared" si="457"/>
        <v>0</v>
      </c>
      <c r="Q742" s="74">
        <f t="shared" si="457"/>
        <v>0</v>
      </c>
      <c r="R742" s="74">
        <f t="shared" si="457"/>
        <v>0</v>
      </c>
      <c r="S742" s="74">
        <f t="shared" si="457"/>
        <v>0</v>
      </c>
      <c r="T742" s="74">
        <f t="shared" si="457"/>
        <v>0</v>
      </c>
      <c r="U742" s="74">
        <f t="shared" si="457"/>
        <v>0</v>
      </c>
      <c r="V742" s="74">
        <f t="shared" si="457"/>
        <v>0</v>
      </c>
      <c r="W742" s="74">
        <f t="shared" si="457"/>
        <v>0</v>
      </c>
      <c r="X742" s="74">
        <f t="shared" si="457"/>
        <v>0</v>
      </c>
      <c r="Y742" s="74">
        <f t="shared" si="457"/>
        <v>0</v>
      </c>
      <c r="Z742" s="74">
        <f t="shared" si="457"/>
        <v>0</v>
      </c>
    </row>
    <row r="743" hidden="1" outlineLevel="1">
      <c r="B743" s="93">
        <f t="shared" si="445"/>
        <v>15</v>
      </c>
      <c r="C743" s="40"/>
      <c r="D743" s="16" t="s">
        <v>177</v>
      </c>
      <c r="E743" s="74">
        <f t="shared" si="108"/>
        <v>0</v>
      </c>
      <c r="F743" s="74"/>
      <c r="G743" s="74">
        <f t="shared" ref="G743:Z743" si="458">F743+G320</f>
        <v>0</v>
      </c>
      <c r="H743" s="74">
        <f t="shared" si="458"/>
        <v>0</v>
      </c>
      <c r="I743" s="74">
        <f t="shared" si="458"/>
        <v>0</v>
      </c>
      <c r="J743" s="74">
        <f t="shared" si="458"/>
        <v>0</v>
      </c>
      <c r="K743" s="74">
        <f t="shared" si="458"/>
        <v>0</v>
      </c>
      <c r="L743" s="74">
        <f t="shared" si="458"/>
        <v>0</v>
      </c>
      <c r="M743" s="74">
        <f t="shared" si="458"/>
        <v>0</v>
      </c>
      <c r="N743" s="74">
        <f t="shared" si="458"/>
        <v>0</v>
      </c>
      <c r="O743" s="74">
        <f t="shared" si="458"/>
        <v>0</v>
      </c>
      <c r="P743" s="74">
        <f t="shared" si="458"/>
        <v>0</v>
      </c>
      <c r="Q743" s="74">
        <f t="shared" si="458"/>
        <v>0</v>
      </c>
      <c r="R743" s="74">
        <f t="shared" si="458"/>
        <v>0</v>
      </c>
      <c r="S743" s="74">
        <f t="shared" si="458"/>
        <v>0</v>
      </c>
      <c r="T743" s="74">
        <f t="shared" si="458"/>
        <v>0</v>
      </c>
      <c r="U743" s="74">
        <f t="shared" si="458"/>
        <v>0</v>
      </c>
      <c r="V743" s="74">
        <f t="shared" si="458"/>
        <v>0</v>
      </c>
      <c r="W743" s="74">
        <f t="shared" si="458"/>
        <v>0</v>
      </c>
      <c r="X743" s="74">
        <f t="shared" si="458"/>
        <v>0</v>
      </c>
      <c r="Y743" s="74">
        <f t="shared" si="458"/>
        <v>0</v>
      </c>
      <c r="Z743" s="74">
        <f t="shared" si="458"/>
        <v>0</v>
      </c>
    </row>
    <row r="744" hidden="1" outlineLevel="1">
      <c r="B744" s="93">
        <f t="shared" si="445"/>
        <v>16</v>
      </c>
      <c r="C744" s="40"/>
      <c r="D744" s="16" t="s">
        <v>177</v>
      </c>
      <c r="E744" s="74">
        <f t="shared" si="108"/>
        <v>0</v>
      </c>
      <c r="F744" s="74"/>
      <c r="G744" s="74">
        <f t="shared" ref="G744:Z744" si="459">F744+G321</f>
        <v>0</v>
      </c>
      <c r="H744" s="74">
        <f t="shared" si="459"/>
        <v>0</v>
      </c>
      <c r="I744" s="74">
        <f t="shared" si="459"/>
        <v>0</v>
      </c>
      <c r="J744" s="74">
        <f t="shared" si="459"/>
        <v>0</v>
      </c>
      <c r="K744" s="74">
        <f t="shared" si="459"/>
        <v>0</v>
      </c>
      <c r="L744" s="74">
        <f t="shared" si="459"/>
        <v>0</v>
      </c>
      <c r="M744" s="74">
        <f t="shared" si="459"/>
        <v>0</v>
      </c>
      <c r="N744" s="74">
        <f t="shared" si="459"/>
        <v>0</v>
      </c>
      <c r="O744" s="74">
        <f t="shared" si="459"/>
        <v>0</v>
      </c>
      <c r="P744" s="74">
        <f t="shared" si="459"/>
        <v>0</v>
      </c>
      <c r="Q744" s="74">
        <f t="shared" si="459"/>
        <v>0</v>
      </c>
      <c r="R744" s="74">
        <f t="shared" si="459"/>
        <v>0</v>
      </c>
      <c r="S744" s="74">
        <f t="shared" si="459"/>
        <v>0</v>
      </c>
      <c r="T744" s="74">
        <f t="shared" si="459"/>
        <v>0</v>
      </c>
      <c r="U744" s="74">
        <f t="shared" si="459"/>
        <v>0</v>
      </c>
      <c r="V744" s="74">
        <f t="shared" si="459"/>
        <v>0</v>
      </c>
      <c r="W744" s="74">
        <f t="shared" si="459"/>
        <v>0</v>
      </c>
      <c r="X744" s="74">
        <f t="shared" si="459"/>
        <v>0</v>
      </c>
      <c r="Y744" s="74">
        <f t="shared" si="459"/>
        <v>0</v>
      </c>
      <c r="Z744" s="74">
        <f t="shared" si="459"/>
        <v>0</v>
      </c>
    </row>
    <row r="745" hidden="1" outlineLevel="1">
      <c r="B745" s="93">
        <f t="shared" si="445"/>
        <v>17</v>
      </c>
      <c r="C745" s="40"/>
      <c r="D745" s="16" t="s">
        <v>177</v>
      </c>
      <c r="E745" s="74">
        <f t="shared" si="108"/>
        <v>0</v>
      </c>
      <c r="F745" s="74"/>
      <c r="G745" s="74">
        <f t="shared" ref="G745:Z745" si="460">F745+G322</f>
        <v>0</v>
      </c>
      <c r="H745" s="74">
        <f t="shared" si="460"/>
        <v>0</v>
      </c>
      <c r="I745" s="74">
        <f t="shared" si="460"/>
        <v>0</v>
      </c>
      <c r="J745" s="74">
        <f t="shared" si="460"/>
        <v>0</v>
      </c>
      <c r="K745" s="74">
        <f t="shared" si="460"/>
        <v>0</v>
      </c>
      <c r="L745" s="74">
        <f t="shared" si="460"/>
        <v>0</v>
      </c>
      <c r="M745" s="74">
        <f t="shared" si="460"/>
        <v>0</v>
      </c>
      <c r="N745" s="74">
        <f t="shared" si="460"/>
        <v>0</v>
      </c>
      <c r="O745" s="74">
        <f t="shared" si="460"/>
        <v>0</v>
      </c>
      <c r="P745" s="74">
        <f t="shared" si="460"/>
        <v>0</v>
      </c>
      <c r="Q745" s="74">
        <f t="shared" si="460"/>
        <v>0</v>
      </c>
      <c r="R745" s="74">
        <f t="shared" si="460"/>
        <v>0</v>
      </c>
      <c r="S745" s="74">
        <f t="shared" si="460"/>
        <v>0</v>
      </c>
      <c r="T745" s="74">
        <f t="shared" si="460"/>
        <v>0</v>
      </c>
      <c r="U745" s="74">
        <f t="shared" si="460"/>
        <v>0</v>
      </c>
      <c r="V745" s="74">
        <f t="shared" si="460"/>
        <v>0</v>
      </c>
      <c r="W745" s="74">
        <f t="shared" si="460"/>
        <v>0</v>
      </c>
      <c r="X745" s="74">
        <f t="shared" si="460"/>
        <v>0</v>
      </c>
      <c r="Y745" s="74">
        <f t="shared" si="460"/>
        <v>0</v>
      </c>
      <c r="Z745" s="74">
        <f t="shared" si="460"/>
        <v>0</v>
      </c>
    </row>
    <row r="746" hidden="1" outlineLevel="1">
      <c r="B746" s="93">
        <f t="shared" si="445"/>
        <v>18</v>
      </c>
      <c r="C746" s="40"/>
      <c r="D746" s="16" t="s">
        <v>177</v>
      </c>
      <c r="E746" s="74">
        <f t="shared" si="108"/>
        <v>0</v>
      </c>
      <c r="F746" s="74"/>
      <c r="G746" s="74">
        <f t="shared" ref="G746:Z746" si="461">F746+G323</f>
        <v>0</v>
      </c>
      <c r="H746" s="74">
        <f t="shared" si="461"/>
        <v>0</v>
      </c>
      <c r="I746" s="74">
        <f t="shared" si="461"/>
        <v>0</v>
      </c>
      <c r="J746" s="74">
        <f t="shared" si="461"/>
        <v>0</v>
      </c>
      <c r="K746" s="74">
        <f t="shared" si="461"/>
        <v>0</v>
      </c>
      <c r="L746" s="74">
        <f t="shared" si="461"/>
        <v>0</v>
      </c>
      <c r="M746" s="74">
        <f t="shared" si="461"/>
        <v>0</v>
      </c>
      <c r="N746" s="74">
        <f t="shared" si="461"/>
        <v>0</v>
      </c>
      <c r="O746" s="74">
        <f t="shared" si="461"/>
        <v>0</v>
      </c>
      <c r="P746" s="74">
        <f t="shared" si="461"/>
        <v>0</v>
      </c>
      <c r="Q746" s="74">
        <f t="shared" si="461"/>
        <v>0</v>
      </c>
      <c r="R746" s="74">
        <f t="shared" si="461"/>
        <v>0</v>
      </c>
      <c r="S746" s="74">
        <f t="shared" si="461"/>
        <v>0</v>
      </c>
      <c r="T746" s="74">
        <f t="shared" si="461"/>
        <v>0</v>
      </c>
      <c r="U746" s="74">
        <f t="shared" si="461"/>
        <v>0</v>
      </c>
      <c r="V746" s="74">
        <f t="shared" si="461"/>
        <v>0</v>
      </c>
      <c r="W746" s="74">
        <f t="shared" si="461"/>
        <v>0</v>
      </c>
      <c r="X746" s="74">
        <f t="shared" si="461"/>
        <v>0</v>
      </c>
      <c r="Y746" s="74">
        <f t="shared" si="461"/>
        <v>0</v>
      </c>
      <c r="Z746" s="74">
        <f t="shared" si="461"/>
        <v>0</v>
      </c>
    </row>
    <row r="747" hidden="1" outlineLevel="1">
      <c r="B747" s="93">
        <f t="shared" si="445"/>
        <v>19</v>
      </c>
      <c r="C747" s="40"/>
      <c r="D747" s="16" t="s">
        <v>177</v>
      </c>
      <c r="E747" s="74">
        <f t="shared" si="108"/>
        <v>0</v>
      </c>
      <c r="F747" s="74"/>
      <c r="G747" s="74">
        <f t="shared" ref="G747:Z747" si="462">F747+G324</f>
        <v>0</v>
      </c>
      <c r="H747" s="74">
        <f t="shared" si="462"/>
        <v>0</v>
      </c>
      <c r="I747" s="74">
        <f t="shared" si="462"/>
        <v>0</v>
      </c>
      <c r="J747" s="74">
        <f t="shared" si="462"/>
        <v>0</v>
      </c>
      <c r="K747" s="74">
        <f t="shared" si="462"/>
        <v>0</v>
      </c>
      <c r="L747" s="74">
        <f t="shared" si="462"/>
        <v>0</v>
      </c>
      <c r="M747" s="74">
        <f t="shared" si="462"/>
        <v>0</v>
      </c>
      <c r="N747" s="74">
        <f t="shared" si="462"/>
        <v>0</v>
      </c>
      <c r="O747" s="74">
        <f t="shared" si="462"/>
        <v>0</v>
      </c>
      <c r="P747" s="74">
        <f t="shared" si="462"/>
        <v>0</v>
      </c>
      <c r="Q747" s="74">
        <f t="shared" si="462"/>
        <v>0</v>
      </c>
      <c r="R747" s="74">
        <f t="shared" si="462"/>
        <v>0</v>
      </c>
      <c r="S747" s="74">
        <f t="shared" si="462"/>
        <v>0</v>
      </c>
      <c r="T747" s="74">
        <f t="shared" si="462"/>
        <v>0</v>
      </c>
      <c r="U747" s="74">
        <f t="shared" si="462"/>
        <v>0</v>
      </c>
      <c r="V747" s="74">
        <f t="shared" si="462"/>
        <v>0</v>
      </c>
      <c r="W747" s="74">
        <f t="shared" si="462"/>
        <v>0</v>
      </c>
      <c r="X747" s="74">
        <f t="shared" si="462"/>
        <v>0</v>
      </c>
      <c r="Y747" s="74">
        <f t="shared" si="462"/>
        <v>0</v>
      </c>
      <c r="Z747" s="74">
        <f t="shared" si="462"/>
        <v>0</v>
      </c>
    </row>
    <row r="748" hidden="1" outlineLevel="1">
      <c r="B748" s="93">
        <f t="shared" si="445"/>
        <v>20</v>
      </c>
      <c r="C748" s="40"/>
      <c r="D748" s="16" t="s">
        <v>177</v>
      </c>
      <c r="E748" s="74">
        <f t="shared" si="108"/>
        <v>0</v>
      </c>
      <c r="F748" s="74"/>
      <c r="G748" s="74">
        <f t="shared" ref="G748:Z748" si="463">F748+G325</f>
        <v>0</v>
      </c>
      <c r="H748" s="74">
        <f t="shared" si="463"/>
        <v>0</v>
      </c>
      <c r="I748" s="74">
        <f t="shared" si="463"/>
        <v>0</v>
      </c>
      <c r="J748" s="74">
        <f t="shared" si="463"/>
        <v>0</v>
      </c>
      <c r="K748" s="74">
        <f t="shared" si="463"/>
        <v>0</v>
      </c>
      <c r="L748" s="74">
        <f t="shared" si="463"/>
        <v>0</v>
      </c>
      <c r="M748" s="74">
        <f t="shared" si="463"/>
        <v>0</v>
      </c>
      <c r="N748" s="74">
        <f t="shared" si="463"/>
        <v>0</v>
      </c>
      <c r="O748" s="74">
        <f t="shared" si="463"/>
        <v>0</v>
      </c>
      <c r="P748" s="74">
        <f t="shared" si="463"/>
        <v>0</v>
      </c>
      <c r="Q748" s="74">
        <f t="shared" si="463"/>
        <v>0</v>
      </c>
      <c r="R748" s="74">
        <f t="shared" si="463"/>
        <v>0</v>
      </c>
      <c r="S748" s="74">
        <f t="shared" si="463"/>
        <v>0</v>
      </c>
      <c r="T748" s="74">
        <f t="shared" si="463"/>
        <v>0</v>
      </c>
      <c r="U748" s="74">
        <f t="shared" si="463"/>
        <v>0</v>
      </c>
      <c r="V748" s="74">
        <f t="shared" si="463"/>
        <v>0</v>
      </c>
      <c r="W748" s="74">
        <f t="shared" si="463"/>
        <v>0</v>
      </c>
      <c r="X748" s="74">
        <f t="shared" si="463"/>
        <v>0</v>
      </c>
      <c r="Y748" s="74">
        <f t="shared" si="463"/>
        <v>0</v>
      </c>
      <c r="Z748" s="74">
        <f t="shared" si="463"/>
        <v>0</v>
      </c>
    </row>
    <row r="749" collapsed="1">
      <c r="B749" s="81" t="s">
        <v>237</v>
      </c>
      <c r="C749" s="16"/>
      <c r="D749" s="16" t="s">
        <v>177</v>
      </c>
      <c r="E749" s="74">
        <f t="shared" si="108"/>
        <v>19690000</v>
      </c>
      <c r="F749" s="78"/>
      <c r="G749" s="77">
        <f t="shared" ref="G749:Z749" si="464">sum(G750:G769)</f>
        <v>0</v>
      </c>
      <c r="H749" s="77">
        <f t="shared" si="464"/>
        <v>0</v>
      </c>
      <c r="I749" s="77">
        <f t="shared" si="464"/>
        <v>0</v>
      </c>
      <c r="J749" s="77">
        <f t="shared" si="464"/>
        <v>1969000</v>
      </c>
      <c r="K749" s="77">
        <f t="shared" si="464"/>
        <v>6266342.5</v>
      </c>
      <c r="L749" s="77">
        <f t="shared" si="464"/>
        <v>12829675.83</v>
      </c>
      <c r="M749" s="77">
        <f t="shared" si="464"/>
        <v>17424009.17</v>
      </c>
      <c r="N749" s="77">
        <f t="shared" si="464"/>
        <v>19690000</v>
      </c>
      <c r="O749" s="77">
        <f t="shared" si="464"/>
        <v>19690000</v>
      </c>
      <c r="P749" s="77">
        <f t="shared" si="464"/>
        <v>19690000</v>
      </c>
      <c r="Q749" s="77">
        <f t="shared" si="464"/>
        <v>19690000</v>
      </c>
      <c r="R749" s="77">
        <f t="shared" si="464"/>
        <v>19690000</v>
      </c>
      <c r="S749" s="77">
        <f t="shared" si="464"/>
        <v>19690000</v>
      </c>
      <c r="T749" s="77">
        <f t="shared" si="464"/>
        <v>19690000</v>
      </c>
      <c r="U749" s="77">
        <f t="shared" si="464"/>
        <v>19690000</v>
      </c>
      <c r="V749" s="77">
        <f t="shared" si="464"/>
        <v>19690000</v>
      </c>
      <c r="W749" s="77">
        <f t="shared" si="464"/>
        <v>19690000</v>
      </c>
      <c r="X749" s="77">
        <f t="shared" si="464"/>
        <v>19690000</v>
      </c>
      <c r="Y749" s="77">
        <f t="shared" si="464"/>
        <v>19690000</v>
      </c>
      <c r="Z749" s="77">
        <f t="shared" si="464"/>
        <v>19690000</v>
      </c>
    </row>
    <row r="750" hidden="1" outlineLevel="1">
      <c r="B750" s="93">
        <f>G$4</f>
        <v>1</v>
      </c>
      <c r="C750" s="40"/>
      <c r="D750" s="16" t="s">
        <v>177</v>
      </c>
      <c r="E750" s="74">
        <f t="shared" si="108"/>
        <v>6563333.333</v>
      </c>
      <c r="F750" s="74"/>
      <c r="G750" s="74">
        <f t="shared" ref="G750:Z750" si="465">F750+G327</f>
        <v>0</v>
      </c>
      <c r="H750" s="74">
        <f t="shared" si="465"/>
        <v>0</v>
      </c>
      <c r="I750" s="74">
        <f t="shared" si="465"/>
        <v>0</v>
      </c>
      <c r="J750" s="74">
        <f t="shared" si="465"/>
        <v>1969000</v>
      </c>
      <c r="K750" s="74">
        <f t="shared" si="465"/>
        <v>4297342.5</v>
      </c>
      <c r="L750" s="74">
        <f t="shared" si="465"/>
        <v>6563333.333</v>
      </c>
      <c r="M750" s="74">
        <f t="shared" si="465"/>
        <v>6563333.333</v>
      </c>
      <c r="N750" s="74">
        <f t="shared" si="465"/>
        <v>6563333.333</v>
      </c>
      <c r="O750" s="74">
        <f t="shared" si="465"/>
        <v>6563333.333</v>
      </c>
      <c r="P750" s="74">
        <f t="shared" si="465"/>
        <v>6563333.333</v>
      </c>
      <c r="Q750" s="74">
        <f t="shared" si="465"/>
        <v>6563333.333</v>
      </c>
      <c r="R750" s="74">
        <f t="shared" si="465"/>
        <v>6563333.333</v>
      </c>
      <c r="S750" s="74">
        <f t="shared" si="465"/>
        <v>6563333.333</v>
      </c>
      <c r="T750" s="74">
        <f t="shared" si="465"/>
        <v>6563333.333</v>
      </c>
      <c r="U750" s="74">
        <f t="shared" si="465"/>
        <v>6563333.333</v>
      </c>
      <c r="V750" s="74">
        <f t="shared" si="465"/>
        <v>6563333.333</v>
      </c>
      <c r="W750" s="74">
        <f t="shared" si="465"/>
        <v>6563333.333</v>
      </c>
      <c r="X750" s="74">
        <f t="shared" si="465"/>
        <v>6563333.333</v>
      </c>
      <c r="Y750" s="74">
        <f t="shared" si="465"/>
        <v>6563333.333</v>
      </c>
      <c r="Z750" s="74">
        <f t="shared" si="465"/>
        <v>6563333.333</v>
      </c>
    </row>
    <row r="751" hidden="1" outlineLevel="1">
      <c r="B751" s="93">
        <f t="shared" ref="B751:B769" si="467">B750+1</f>
        <v>2</v>
      </c>
      <c r="C751" s="40"/>
      <c r="D751" s="16" t="s">
        <v>177</v>
      </c>
      <c r="E751" s="74">
        <f t="shared" si="108"/>
        <v>6563333.333</v>
      </c>
      <c r="F751" s="74"/>
      <c r="G751" s="74">
        <f t="shared" ref="G751:Z751" si="466">F751+G328</f>
        <v>0</v>
      </c>
      <c r="H751" s="74">
        <f t="shared" si="466"/>
        <v>0</v>
      </c>
      <c r="I751" s="74">
        <f t="shared" si="466"/>
        <v>0</v>
      </c>
      <c r="J751" s="74">
        <f t="shared" si="466"/>
        <v>0</v>
      </c>
      <c r="K751" s="74">
        <f t="shared" si="466"/>
        <v>1969000</v>
      </c>
      <c r="L751" s="74">
        <f t="shared" si="466"/>
        <v>4297342.5</v>
      </c>
      <c r="M751" s="74">
        <f t="shared" si="466"/>
        <v>6563333.333</v>
      </c>
      <c r="N751" s="74">
        <f t="shared" si="466"/>
        <v>6563333.333</v>
      </c>
      <c r="O751" s="74">
        <f t="shared" si="466"/>
        <v>6563333.333</v>
      </c>
      <c r="P751" s="74">
        <f t="shared" si="466"/>
        <v>6563333.333</v>
      </c>
      <c r="Q751" s="74">
        <f t="shared" si="466"/>
        <v>6563333.333</v>
      </c>
      <c r="R751" s="74">
        <f t="shared" si="466"/>
        <v>6563333.333</v>
      </c>
      <c r="S751" s="74">
        <f t="shared" si="466"/>
        <v>6563333.333</v>
      </c>
      <c r="T751" s="74">
        <f t="shared" si="466"/>
        <v>6563333.333</v>
      </c>
      <c r="U751" s="74">
        <f t="shared" si="466"/>
        <v>6563333.333</v>
      </c>
      <c r="V751" s="74">
        <f t="shared" si="466"/>
        <v>6563333.333</v>
      </c>
      <c r="W751" s="74">
        <f t="shared" si="466"/>
        <v>6563333.333</v>
      </c>
      <c r="X751" s="74">
        <f t="shared" si="466"/>
        <v>6563333.333</v>
      </c>
      <c r="Y751" s="74">
        <f t="shared" si="466"/>
        <v>6563333.333</v>
      </c>
      <c r="Z751" s="74">
        <f t="shared" si="466"/>
        <v>6563333.333</v>
      </c>
    </row>
    <row r="752" hidden="1" outlineLevel="1">
      <c r="B752" s="93">
        <f t="shared" si="467"/>
        <v>3</v>
      </c>
      <c r="C752" s="40"/>
      <c r="D752" s="16" t="s">
        <v>177</v>
      </c>
      <c r="E752" s="74">
        <f t="shared" si="108"/>
        <v>6563333.333</v>
      </c>
      <c r="F752" s="74"/>
      <c r="G752" s="74">
        <f t="shared" ref="G752:Z752" si="468">F752+G329</f>
        <v>0</v>
      </c>
      <c r="H752" s="74">
        <f t="shared" si="468"/>
        <v>0</v>
      </c>
      <c r="I752" s="74">
        <f t="shared" si="468"/>
        <v>0</v>
      </c>
      <c r="J752" s="74">
        <f t="shared" si="468"/>
        <v>0</v>
      </c>
      <c r="K752" s="74">
        <f t="shared" si="468"/>
        <v>0</v>
      </c>
      <c r="L752" s="74">
        <f t="shared" si="468"/>
        <v>1969000</v>
      </c>
      <c r="M752" s="74">
        <f t="shared" si="468"/>
        <v>4297342.5</v>
      </c>
      <c r="N752" s="74">
        <f t="shared" si="468"/>
        <v>6563333.333</v>
      </c>
      <c r="O752" s="74">
        <f t="shared" si="468"/>
        <v>6563333.333</v>
      </c>
      <c r="P752" s="74">
        <f t="shared" si="468"/>
        <v>6563333.333</v>
      </c>
      <c r="Q752" s="74">
        <f t="shared" si="468"/>
        <v>6563333.333</v>
      </c>
      <c r="R752" s="74">
        <f t="shared" si="468"/>
        <v>6563333.333</v>
      </c>
      <c r="S752" s="74">
        <f t="shared" si="468"/>
        <v>6563333.333</v>
      </c>
      <c r="T752" s="74">
        <f t="shared" si="468"/>
        <v>6563333.333</v>
      </c>
      <c r="U752" s="74">
        <f t="shared" si="468"/>
        <v>6563333.333</v>
      </c>
      <c r="V752" s="74">
        <f t="shared" si="468"/>
        <v>6563333.333</v>
      </c>
      <c r="W752" s="74">
        <f t="shared" si="468"/>
        <v>6563333.333</v>
      </c>
      <c r="X752" s="74">
        <f t="shared" si="468"/>
        <v>6563333.333</v>
      </c>
      <c r="Y752" s="74">
        <f t="shared" si="468"/>
        <v>6563333.333</v>
      </c>
      <c r="Z752" s="74">
        <f t="shared" si="468"/>
        <v>6563333.333</v>
      </c>
    </row>
    <row r="753" hidden="1" outlineLevel="1">
      <c r="B753" s="93">
        <f t="shared" si="467"/>
        <v>4</v>
      </c>
      <c r="C753" s="40"/>
      <c r="D753" s="16" t="s">
        <v>177</v>
      </c>
      <c r="E753" s="74">
        <f t="shared" si="108"/>
        <v>0</v>
      </c>
      <c r="F753" s="74"/>
      <c r="G753" s="74">
        <f t="shared" ref="G753:Z753" si="469">F753+G330</f>
        <v>0</v>
      </c>
      <c r="H753" s="74">
        <f t="shared" si="469"/>
        <v>0</v>
      </c>
      <c r="I753" s="74">
        <f t="shared" si="469"/>
        <v>0</v>
      </c>
      <c r="J753" s="74">
        <f t="shared" si="469"/>
        <v>0</v>
      </c>
      <c r="K753" s="74">
        <f t="shared" si="469"/>
        <v>0</v>
      </c>
      <c r="L753" s="74">
        <f t="shared" si="469"/>
        <v>0</v>
      </c>
      <c r="M753" s="74">
        <f t="shared" si="469"/>
        <v>0</v>
      </c>
      <c r="N753" s="74">
        <f t="shared" si="469"/>
        <v>0</v>
      </c>
      <c r="O753" s="74">
        <f t="shared" si="469"/>
        <v>0</v>
      </c>
      <c r="P753" s="74">
        <f t="shared" si="469"/>
        <v>0</v>
      </c>
      <c r="Q753" s="74">
        <f t="shared" si="469"/>
        <v>0</v>
      </c>
      <c r="R753" s="74">
        <f t="shared" si="469"/>
        <v>0</v>
      </c>
      <c r="S753" s="74">
        <f t="shared" si="469"/>
        <v>0</v>
      </c>
      <c r="T753" s="74">
        <f t="shared" si="469"/>
        <v>0</v>
      </c>
      <c r="U753" s="74">
        <f t="shared" si="469"/>
        <v>0</v>
      </c>
      <c r="V753" s="74">
        <f t="shared" si="469"/>
        <v>0</v>
      </c>
      <c r="W753" s="74">
        <f t="shared" si="469"/>
        <v>0</v>
      </c>
      <c r="X753" s="74">
        <f t="shared" si="469"/>
        <v>0</v>
      </c>
      <c r="Y753" s="74">
        <f t="shared" si="469"/>
        <v>0</v>
      </c>
      <c r="Z753" s="74">
        <f t="shared" si="469"/>
        <v>0</v>
      </c>
    </row>
    <row r="754" hidden="1" outlineLevel="1">
      <c r="B754" s="93">
        <f t="shared" si="467"/>
        <v>5</v>
      </c>
      <c r="C754" s="40"/>
      <c r="D754" s="16" t="s">
        <v>177</v>
      </c>
      <c r="E754" s="74">
        <f t="shared" si="108"/>
        <v>0</v>
      </c>
      <c r="F754" s="74"/>
      <c r="G754" s="74">
        <f t="shared" ref="G754:Z754" si="470">F754+G331</f>
        <v>0</v>
      </c>
      <c r="H754" s="74">
        <f t="shared" si="470"/>
        <v>0</v>
      </c>
      <c r="I754" s="74">
        <f t="shared" si="470"/>
        <v>0</v>
      </c>
      <c r="J754" s="74">
        <f t="shared" si="470"/>
        <v>0</v>
      </c>
      <c r="K754" s="74">
        <f t="shared" si="470"/>
        <v>0</v>
      </c>
      <c r="L754" s="74">
        <f t="shared" si="470"/>
        <v>0</v>
      </c>
      <c r="M754" s="74">
        <f t="shared" si="470"/>
        <v>0</v>
      </c>
      <c r="N754" s="74">
        <f t="shared" si="470"/>
        <v>0</v>
      </c>
      <c r="O754" s="74">
        <f t="shared" si="470"/>
        <v>0</v>
      </c>
      <c r="P754" s="74">
        <f t="shared" si="470"/>
        <v>0</v>
      </c>
      <c r="Q754" s="74">
        <f t="shared" si="470"/>
        <v>0</v>
      </c>
      <c r="R754" s="74">
        <f t="shared" si="470"/>
        <v>0</v>
      </c>
      <c r="S754" s="74">
        <f t="shared" si="470"/>
        <v>0</v>
      </c>
      <c r="T754" s="74">
        <f t="shared" si="470"/>
        <v>0</v>
      </c>
      <c r="U754" s="74">
        <f t="shared" si="470"/>
        <v>0</v>
      </c>
      <c r="V754" s="74">
        <f t="shared" si="470"/>
        <v>0</v>
      </c>
      <c r="W754" s="74">
        <f t="shared" si="470"/>
        <v>0</v>
      </c>
      <c r="X754" s="74">
        <f t="shared" si="470"/>
        <v>0</v>
      </c>
      <c r="Y754" s="74">
        <f t="shared" si="470"/>
        <v>0</v>
      </c>
      <c r="Z754" s="74">
        <f t="shared" si="470"/>
        <v>0</v>
      </c>
    </row>
    <row r="755" hidden="1" outlineLevel="1">
      <c r="B755" s="93">
        <f t="shared" si="467"/>
        <v>6</v>
      </c>
      <c r="C755" s="40"/>
      <c r="D755" s="16" t="s">
        <v>177</v>
      </c>
      <c r="E755" s="74">
        <f t="shared" si="108"/>
        <v>0</v>
      </c>
      <c r="F755" s="74"/>
      <c r="G755" s="74">
        <f t="shared" ref="G755:Z755" si="471">F755+G332</f>
        <v>0</v>
      </c>
      <c r="H755" s="74">
        <f t="shared" si="471"/>
        <v>0</v>
      </c>
      <c r="I755" s="74">
        <f t="shared" si="471"/>
        <v>0</v>
      </c>
      <c r="J755" s="74">
        <f t="shared" si="471"/>
        <v>0</v>
      </c>
      <c r="K755" s="74">
        <f t="shared" si="471"/>
        <v>0</v>
      </c>
      <c r="L755" s="74">
        <f t="shared" si="471"/>
        <v>0</v>
      </c>
      <c r="M755" s="74">
        <f t="shared" si="471"/>
        <v>0</v>
      </c>
      <c r="N755" s="74">
        <f t="shared" si="471"/>
        <v>0</v>
      </c>
      <c r="O755" s="74">
        <f t="shared" si="471"/>
        <v>0</v>
      </c>
      <c r="P755" s="74">
        <f t="shared" si="471"/>
        <v>0</v>
      </c>
      <c r="Q755" s="74">
        <f t="shared" si="471"/>
        <v>0</v>
      </c>
      <c r="R755" s="74">
        <f t="shared" si="471"/>
        <v>0</v>
      </c>
      <c r="S755" s="74">
        <f t="shared" si="471"/>
        <v>0</v>
      </c>
      <c r="T755" s="74">
        <f t="shared" si="471"/>
        <v>0</v>
      </c>
      <c r="U755" s="74">
        <f t="shared" si="471"/>
        <v>0</v>
      </c>
      <c r="V755" s="74">
        <f t="shared" si="471"/>
        <v>0</v>
      </c>
      <c r="W755" s="74">
        <f t="shared" si="471"/>
        <v>0</v>
      </c>
      <c r="X755" s="74">
        <f t="shared" si="471"/>
        <v>0</v>
      </c>
      <c r="Y755" s="74">
        <f t="shared" si="471"/>
        <v>0</v>
      </c>
      <c r="Z755" s="74">
        <f t="shared" si="471"/>
        <v>0</v>
      </c>
    </row>
    <row r="756" hidden="1" outlineLevel="1">
      <c r="B756" s="93">
        <f t="shared" si="467"/>
        <v>7</v>
      </c>
      <c r="C756" s="40"/>
      <c r="D756" s="16" t="s">
        <v>177</v>
      </c>
      <c r="E756" s="74">
        <f t="shared" si="108"/>
        <v>0</v>
      </c>
      <c r="F756" s="74"/>
      <c r="G756" s="74">
        <f t="shared" ref="G756:Z756" si="472">F756+G333</f>
        <v>0</v>
      </c>
      <c r="H756" s="74">
        <f t="shared" si="472"/>
        <v>0</v>
      </c>
      <c r="I756" s="74">
        <f t="shared" si="472"/>
        <v>0</v>
      </c>
      <c r="J756" s="74">
        <f t="shared" si="472"/>
        <v>0</v>
      </c>
      <c r="K756" s="74">
        <f t="shared" si="472"/>
        <v>0</v>
      </c>
      <c r="L756" s="74">
        <f t="shared" si="472"/>
        <v>0</v>
      </c>
      <c r="M756" s="74">
        <f t="shared" si="472"/>
        <v>0</v>
      </c>
      <c r="N756" s="74">
        <f t="shared" si="472"/>
        <v>0</v>
      </c>
      <c r="O756" s="74">
        <f t="shared" si="472"/>
        <v>0</v>
      </c>
      <c r="P756" s="74">
        <f t="shared" si="472"/>
        <v>0</v>
      </c>
      <c r="Q756" s="74">
        <f t="shared" si="472"/>
        <v>0</v>
      </c>
      <c r="R756" s="74">
        <f t="shared" si="472"/>
        <v>0</v>
      </c>
      <c r="S756" s="74">
        <f t="shared" si="472"/>
        <v>0</v>
      </c>
      <c r="T756" s="74">
        <f t="shared" si="472"/>
        <v>0</v>
      </c>
      <c r="U756" s="74">
        <f t="shared" si="472"/>
        <v>0</v>
      </c>
      <c r="V756" s="74">
        <f t="shared" si="472"/>
        <v>0</v>
      </c>
      <c r="W756" s="74">
        <f t="shared" si="472"/>
        <v>0</v>
      </c>
      <c r="X756" s="74">
        <f t="shared" si="472"/>
        <v>0</v>
      </c>
      <c r="Y756" s="74">
        <f t="shared" si="472"/>
        <v>0</v>
      </c>
      <c r="Z756" s="74">
        <f t="shared" si="472"/>
        <v>0</v>
      </c>
    </row>
    <row r="757" hidden="1" outlineLevel="1">
      <c r="B757" s="93">
        <f t="shared" si="467"/>
        <v>8</v>
      </c>
      <c r="C757" s="40"/>
      <c r="D757" s="16" t="s">
        <v>177</v>
      </c>
      <c r="E757" s="74">
        <f t="shared" si="108"/>
        <v>0</v>
      </c>
      <c r="F757" s="74"/>
      <c r="G757" s="74">
        <f t="shared" ref="G757:Z757" si="473">F757+G334</f>
        <v>0</v>
      </c>
      <c r="H757" s="74">
        <f t="shared" si="473"/>
        <v>0</v>
      </c>
      <c r="I757" s="74">
        <f t="shared" si="473"/>
        <v>0</v>
      </c>
      <c r="J757" s="74">
        <f t="shared" si="473"/>
        <v>0</v>
      </c>
      <c r="K757" s="74">
        <f t="shared" si="473"/>
        <v>0</v>
      </c>
      <c r="L757" s="74">
        <f t="shared" si="473"/>
        <v>0</v>
      </c>
      <c r="M757" s="74">
        <f t="shared" si="473"/>
        <v>0</v>
      </c>
      <c r="N757" s="74">
        <f t="shared" si="473"/>
        <v>0</v>
      </c>
      <c r="O757" s="74">
        <f t="shared" si="473"/>
        <v>0</v>
      </c>
      <c r="P757" s="74">
        <f t="shared" si="473"/>
        <v>0</v>
      </c>
      <c r="Q757" s="74">
        <f t="shared" si="473"/>
        <v>0</v>
      </c>
      <c r="R757" s="74">
        <f t="shared" si="473"/>
        <v>0</v>
      </c>
      <c r="S757" s="74">
        <f t="shared" si="473"/>
        <v>0</v>
      </c>
      <c r="T757" s="74">
        <f t="shared" si="473"/>
        <v>0</v>
      </c>
      <c r="U757" s="74">
        <f t="shared" si="473"/>
        <v>0</v>
      </c>
      <c r="V757" s="74">
        <f t="shared" si="473"/>
        <v>0</v>
      </c>
      <c r="W757" s="74">
        <f t="shared" si="473"/>
        <v>0</v>
      </c>
      <c r="X757" s="74">
        <f t="shared" si="473"/>
        <v>0</v>
      </c>
      <c r="Y757" s="74">
        <f t="shared" si="473"/>
        <v>0</v>
      </c>
      <c r="Z757" s="74">
        <f t="shared" si="473"/>
        <v>0</v>
      </c>
    </row>
    <row r="758" hidden="1" outlineLevel="1">
      <c r="B758" s="93">
        <f t="shared" si="467"/>
        <v>9</v>
      </c>
      <c r="C758" s="40"/>
      <c r="D758" s="16" t="s">
        <v>177</v>
      </c>
      <c r="E758" s="74">
        <f t="shared" si="108"/>
        <v>0</v>
      </c>
      <c r="F758" s="74"/>
      <c r="G758" s="74">
        <f t="shared" ref="G758:Z758" si="474">F758+G335</f>
        <v>0</v>
      </c>
      <c r="H758" s="74">
        <f t="shared" si="474"/>
        <v>0</v>
      </c>
      <c r="I758" s="74">
        <f t="shared" si="474"/>
        <v>0</v>
      </c>
      <c r="J758" s="74">
        <f t="shared" si="474"/>
        <v>0</v>
      </c>
      <c r="K758" s="74">
        <f t="shared" si="474"/>
        <v>0</v>
      </c>
      <c r="L758" s="74">
        <f t="shared" si="474"/>
        <v>0</v>
      </c>
      <c r="M758" s="74">
        <f t="shared" si="474"/>
        <v>0</v>
      </c>
      <c r="N758" s="74">
        <f t="shared" si="474"/>
        <v>0</v>
      </c>
      <c r="O758" s="74">
        <f t="shared" si="474"/>
        <v>0</v>
      </c>
      <c r="P758" s="74">
        <f t="shared" si="474"/>
        <v>0</v>
      </c>
      <c r="Q758" s="74">
        <f t="shared" si="474"/>
        <v>0</v>
      </c>
      <c r="R758" s="74">
        <f t="shared" si="474"/>
        <v>0</v>
      </c>
      <c r="S758" s="74">
        <f t="shared" si="474"/>
        <v>0</v>
      </c>
      <c r="T758" s="74">
        <f t="shared" si="474"/>
        <v>0</v>
      </c>
      <c r="U758" s="74">
        <f t="shared" si="474"/>
        <v>0</v>
      </c>
      <c r="V758" s="74">
        <f t="shared" si="474"/>
        <v>0</v>
      </c>
      <c r="W758" s="74">
        <f t="shared" si="474"/>
        <v>0</v>
      </c>
      <c r="X758" s="74">
        <f t="shared" si="474"/>
        <v>0</v>
      </c>
      <c r="Y758" s="74">
        <f t="shared" si="474"/>
        <v>0</v>
      </c>
      <c r="Z758" s="74">
        <f t="shared" si="474"/>
        <v>0</v>
      </c>
    </row>
    <row r="759" hidden="1" outlineLevel="1">
      <c r="B759" s="93">
        <f t="shared" si="467"/>
        <v>10</v>
      </c>
      <c r="C759" s="40"/>
      <c r="D759" s="16" t="s">
        <v>177</v>
      </c>
      <c r="E759" s="74">
        <f t="shared" si="108"/>
        <v>0</v>
      </c>
      <c r="F759" s="74"/>
      <c r="G759" s="74">
        <f t="shared" ref="G759:Z759" si="475">F759+G336</f>
        <v>0</v>
      </c>
      <c r="H759" s="74">
        <f t="shared" si="475"/>
        <v>0</v>
      </c>
      <c r="I759" s="74">
        <f t="shared" si="475"/>
        <v>0</v>
      </c>
      <c r="J759" s="74">
        <f t="shared" si="475"/>
        <v>0</v>
      </c>
      <c r="K759" s="74">
        <f t="shared" si="475"/>
        <v>0</v>
      </c>
      <c r="L759" s="74">
        <f t="shared" si="475"/>
        <v>0</v>
      </c>
      <c r="M759" s="74">
        <f t="shared" si="475"/>
        <v>0</v>
      </c>
      <c r="N759" s="74">
        <f t="shared" si="475"/>
        <v>0</v>
      </c>
      <c r="O759" s="74">
        <f t="shared" si="475"/>
        <v>0</v>
      </c>
      <c r="P759" s="74">
        <f t="shared" si="475"/>
        <v>0</v>
      </c>
      <c r="Q759" s="74">
        <f t="shared" si="475"/>
        <v>0</v>
      </c>
      <c r="R759" s="74">
        <f t="shared" si="475"/>
        <v>0</v>
      </c>
      <c r="S759" s="74">
        <f t="shared" si="475"/>
        <v>0</v>
      </c>
      <c r="T759" s="74">
        <f t="shared" si="475"/>
        <v>0</v>
      </c>
      <c r="U759" s="74">
        <f t="shared" si="475"/>
        <v>0</v>
      </c>
      <c r="V759" s="74">
        <f t="shared" si="475"/>
        <v>0</v>
      </c>
      <c r="W759" s="74">
        <f t="shared" si="475"/>
        <v>0</v>
      </c>
      <c r="X759" s="74">
        <f t="shared" si="475"/>
        <v>0</v>
      </c>
      <c r="Y759" s="74">
        <f t="shared" si="475"/>
        <v>0</v>
      </c>
      <c r="Z759" s="74">
        <f t="shared" si="475"/>
        <v>0</v>
      </c>
    </row>
    <row r="760" hidden="1" outlineLevel="1">
      <c r="B760" s="93">
        <f t="shared" si="467"/>
        <v>11</v>
      </c>
      <c r="C760" s="40"/>
      <c r="D760" s="16" t="s">
        <v>177</v>
      </c>
      <c r="E760" s="74">
        <f t="shared" si="108"/>
        <v>0</v>
      </c>
      <c r="F760" s="74"/>
      <c r="G760" s="74">
        <f t="shared" ref="G760:Z760" si="476">F760+G337</f>
        <v>0</v>
      </c>
      <c r="H760" s="74">
        <f t="shared" si="476"/>
        <v>0</v>
      </c>
      <c r="I760" s="74">
        <f t="shared" si="476"/>
        <v>0</v>
      </c>
      <c r="J760" s="74">
        <f t="shared" si="476"/>
        <v>0</v>
      </c>
      <c r="K760" s="74">
        <f t="shared" si="476"/>
        <v>0</v>
      </c>
      <c r="L760" s="74">
        <f t="shared" si="476"/>
        <v>0</v>
      </c>
      <c r="M760" s="74">
        <f t="shared" si="476"/>
        <v>0</v>
      </c>
      <c r="N760" s="74">
        <f t="shared" si="476"/>
        <v>0</v>
      </c>
      <c r="O760" s="74">
        <f t="shared" si="476"/>
        <v>0</v>
      </c>
      <c r="P760" s="74">
        <f t="shared" si="476"/>
        <v>0</v>
      </c>
      <c r="Q760" s="74">
        <f t="shared" si="476"/>
        <v>0</v>
      </c>
      <c r="R760" s="74">
        <f t="shared" si="476"/>
        <v>0</v>
      </c>
      <c r="S760" s="74">
        <f t="shared" si="476"/>
        <v>0</v>
      </c>
      <c r="T760" s="74">
        <f t="shared" si="476"/>
        <v>0</v>
      </c>
      <c r="U760" s="74">
        <f t="shared" si="476"/>
        <v>0</v>
      </c>
      <c r="V760" s="74">
        <f t="shared" si="476"/>
        <v>0</v>
      </c>
      <c r="W760" s="74">
        <f t="shared" si="476"/>
        <v>0</v>
      </c>
      <c r="X760" s="74">
        <f t="shared" si="476"/>
        <v>0</v>
      </c>
      <c r="Y760" s="74">
        <f t="shared" si="476"/>
        <v>0</v>
      </c>
      <c r="Z760" s="74">
        <f t="shared" si="476"/>
        <v>0</v>
      </c>
    </row>
    <row r="761" hidden="1" outlineLevel="1">
      <c r="B761" s="93">
        <f t="shared" si="467"/>
        <v>12</v>
      </c>
      <c r="C761" s="40"/>
      <c r="D761" s="16" t="s">
        <v>177</v>
      </c>
      <c r="E761" s="74">
        <f t="shared" si="108"/>
        <v>0</v>
      </c>
      <c r="F761" s="74"/>
      <c r="G761" s="74">
        <f t="shared" ref="G761:Z761" si="477">F761+G338</f>
        <v>0</v>
      </c>
      <c r="H761" s="74">
        <f t="shared" si="477"/>
        <v>0</v>
      </c>
      <c r="I761" s="74">
        <f t="shared" si="477"/>
        <v>0</v>
      </c>
      <c r="J761" s="74">
        <f t="shared" si="477"/>
        <v>0</v>
      </c>
      <c r="K761" s="74">
        <f t="shared" si="477"/>
        <v>0</v>
      </c>
      <c r="L761" s="74">
        <f t="shared" si="477"/>
        <v>0</v>
      </c>
      <c r="M761" s="74">
        <f t="shared" si="477"/>
        <v>0</v>
      </c>
      <c r="N761" s="74">
        <f t="shared" si="477"/>
        <v>0</v>
      </c>
      <c r="O761" s="74">
        <f t="shared" si="477"/>
        <v>0</v>
      </c>
      <c r="P761" s="74">
        <f t="shared" si="477"/>
        <v>0</v>
      </c>
      <c r="Q761" s="74">
        <f t="shared" si="477"/>
        <v>0</v>
      </c>
      <c r="R761" s="74">
        <f t="shared" si="477"/>
        <v>0</v>
      </c>
      <c r="S761" s="74">
        <f t="shared" si="477"/>
        <v>0</v>
      </c>
      <c r="T761" s="74">
        <f t="shared" si="477"/>
        <v>0</v>
      </c>
      <c r="U761" s="74">
        <f t="shared" si="477"/>
        <v>0</v>
      </c>
      <c r="V761" s="74">
        <f t="shared" si="477"/>
        <v>0</v>
      </c>
      <c r="W761" s="74">
        <f t="shared" si="477"/>
        <v>0</v>
      </c>
      <c r="X761" s="74">
        <f t="shared" si="477"/>
        <v>0</v>
      </c>
      <c r="Y761" s="74">
        <f t="shared" si="477"/>
        <v>0</v>
      </c>
      <c r="Z761" s="74">
        <f t="shared" si="477"/>
        <v>0</v>
      </c>
    </row>
    <row r="762" hidden="1" outlineLevel="1">
      <c r="B762" s="93">
        <f t="shared" si="467"/>
        <v>13</v>
      </c>
      <c r="C762" s="40"/>
      <c r="D762" s="16" t="s">
        <v>177</v>
      </c>
      <c r="E762" s="74">
        <f t="shared" si="108"/>
        <v>0</v>
      </c>
      <c r="F762" s="74"/>
      <c r="G762" s="74">
        <f t="shared" ref="G762:Z762" si="478">F762+G339</f>
        <v>0</v>
      </c>
      <c r="H762" s="74">
        <f t="shared" si="478"/>
        <v>0</v>
      </c>
      <c r="I762" s="74">
        <f t="shared" si="478"/>
        <v>0</v>
      </c>
      <c r="J762" s="74">
        <f t="shared" si="478"/>
        <v>0</v>
      </c>
      <c r="K762" s="74">
        <f t="shared" si="478"/>
        <v>0</v>
      </c>
      <c r="L762" s="74">
        <f t="shared" si="478"/>
        <v>0</v>
      </c>
      <c r="M762" s="74">
        <f t="shared" si="478"/>
        <v>0</v>
      </c>
      <c r="N762" s="74">
        <f t="shared" si="478"/>
        <v>0</v>
      </c>
      <c r="O762" s="74">
        <f t="shared" si="478"/>
        <v>0</v>
      </c>
      <c r="P762" s="74">
        <f t="shared" si="478"/>
        <v>0</v>
      </c>
      <c r="Q762" s="74">
        <f t="shared" si="478"/>
        <v>0</v>
      </c>
      <c r="R762" s="74">
        <f t="shared" si="478"/>
        <v>0</v>
      </c>
      <c r="S762" s="74">
        <f t="shared" si="478"/>
        <v>0</v>
      </c>
      <c r="T762" s="74">
        <f t="shared" si="478"/>
        <v>0</v>
      </c>
      <c r="U762" s="74">
        <f t="shared" si="478"/>
        <v>0</v>
      </c>
      <c r="V762" s="74">
        <f t="shared" si="478"/>
        <v>0</v>
      </c>
      <c r="W762" s="74">
        <f t="shared" si="478"/>
        <v>0</v>
      </c>
      <c r="X762" s="74">
        <f t="shared" si="478"/>
        <v>0</v>
      </c>
      <c r="Y762" s="74">
        <f t="shared" si="478"/>
        <v>0</v>
      </c>
      <c r="Z762" s="74">
        <f t="shared" si="478"/>
        <v>0</v>
      </c>
    </row>
    <row r="763" hidden="1" outlineLevel="1">
      <c r="B763" s="93">
        <f t="shared" si="467"/>
        <v>14</v>
      </c>
      <c r="C763" s="40"/>
      <c r="D763" s="16" t="s">
        <v>177</v>
      </c>
      <c r="E763" s="74">
        <f t="shared" si="108"/>
        <v>0</v>
      </c>
      <c r="F763" s="74"/>
      <c r="G763" s="74">
        <f t="shared" ref="G763:Z763" si="479">F763+G340</f>
        <v>0</v>
      </c>
      <c r="H763" s="74">
        <f t="shared" si="479"/>
        <v>0</v>
      </c>
      <c r="I763" s="74">
        <f t="shared" si="479"/>
        <v>0</v>
      </c>
      <c r="J763" s="74">
        <f t="shared" si="479"/>
        <v>0</v>
      </c>
      <c r="K763" s="74">
        <f t="shared" si="479"/>
        <v>0</v>
      </c>
      <c r="L763" s="74">
        <f t="shared" si="479"/>
        <v>0</v>
      </c>
      <c r="M763" s="74">
        <f t="shared" si="479"/>
        <v>0</v>
      </c>
      <c r="N763" s="74">
        <f t="shared" si="479"/>
        <v>0</v>
      </c>
      <c r="O763" s="74">
        <f t="shared" si="479"/>
        <v>0</v>
      </c>
      <c r="P763" s="74">
        <f t="shared" si="479"/>
        <v>0</v>
      </c>
      <c r="Q763" s="74">
        <f t="shared" si="479"/>
        <v>0</v>
      </c>
      <c r="R763" s="74">
        <f t="shared" si="479"/>
        <v>0</v>
      </c>
      <c r="S763" s="74">
        <f t="shared" si="479"/>
        <v>0</v>
      </c>
      <c r="T763" s="74">
        <f t="shared" si="479"/>
        <v>0</v>
      </c>
      <c r="U763" s="74">
        <f t="shared" si="479"/>
        <v>0</v>
      </c>
      <c r="V763" s="74">
        <f t="shared" si="479"/>
        <v>0</v>
      </c>
      <c r="W763" s="74">
        <f t="shared" si="479"/>
        <v>0</v>
      </c>
      <c r="X763" s="74">
        <f t="shared" si="479"/>
        <v>0</v>
      </c>
      <c r="Y763" s="74">
        <f t="shared" si="479"/>
        <v>0</v>
      </c>
      <c r="Z763" s="74">
        <f t="shared" si="479"/>
        <v>0</v>
      </c>
    </row>
    <row r="764" hidden="1" outlineLevel="1">
      <c r="B764" s="93">
        <f t="shared" si="467"/>
        <v>15</v>
      </c>
      <c r="C764" s="40"/>
      <c r="D764" s="16" t="s">
        <v>177</v>
      </c>
      <c r="E764" s="74">
        <f t="shared" si="108"/>
        <v>0</v>
      </c>
      <c r="F764" s="74"/>
      <c r="G764" s="74">
        <f t="shared" ref="G764:Z764" si="480">F764+G341</f>
        <v>0</v>
      </c>
      <c r="H764" s="74">
        <f t="shared" si="480"/>
        <v>0</v>
      </c>
      <c r="I764" s="74">
        <f t="shared" si="480"/>
        <v>0</v>
      </c>
      <c r="J764" s="74">
        <f t="shared" si="480"/>
        <v>0</v>
      </c>
      <c r="K764" s="74">
        <f t="shared" si="480"/>
        <v>0</v>
      </c>
      <c r="L764" s="74">
        <f t="shared" si="480"/>
        <v>0</v>
      </c>
      <c r="M764" s="74">
        <f t="shared" si="480"/>
        <v>0</v>
      </c>
      <c r="N764" s="74">
        <f t="shared" si="480"/>
        <v>0</v>
      </c>
      <c r="O764" s="74">
        <f t="shared" si="480"/>
        <v>0</v>
      </c>
      <c r="P764" s="74">
        <f t="shared" si="480"/>
        <v>0</v>
      </c>
      <c r="Q764" s="74">
        <f t="shared" si="480"/>
        <v>0</v>
      </c>
      <c r="R764" s="74">
        <f t="shared" si="480"/>
        <v>0</v>
      </c>
      <c r="S764" s="74">
        <f t="shared" si="480"/>
        <v>0</v>
      </c>
      <c r="T764" s="74">
        <f t="shared" si="480"/>
        <v>0</v>
      </c>
      <c r="U764" s="74">
        <f t="shared" si="480"/>
        <v>0</v>
      </c>
      <c r="V764" s="74">
        <f t="shared" si="480"/>
        <v>0</v>
      </c>
      <c r="W764" s="74">
        <f t="shared" si="480"/>
        <v>0</v>
      </c>
      <c r="X764" s="74">
        <f t="shared" si="480"/>
        <v>0</v>
      </c>
      <c r="Y764" s="74">
        <f t="shared" si="480"/>
        <v>0</v>
      </c>
      <c r="Z764" s="74">
        <f t="shared" si="480"/>
        <v>0</v>
      </c>
    </row>
    <row r="765" hidden="1" outlineLevel="1">
      <c r="B765" s="93">
        <f t="shared" si="467"/>
        <v>16</v>
      </c>
      <c r="C765" s="40"/>
      <c r="D765" s="16" t="s">
        <v>177</v>
      </c>
      <c r="E765" s="74">
        <f t="shared" si="108"/>
        <v>0</v>
      </c>
      <c r="F765" s="74"/>
      <c r="G765" s="74">
        <f t="shared" ref="G765:Z765" si="481">F765+G342</f>
        <v>0</v>
      </c>
      <c r="H765" s="74">
        <f t="shared" si="481"/>
        <v>0</v>
      </c>
      <c r="I765" s="74">
        <f t="shared" si="481"/>
        <v>0</v>
      </c>
      <c r="J765" s="74">
        <f t="shared" si="481"/>
        <v>0</v>
      </c>
      <c r="K765" s="74">
        <f t="shared" si="481"/>
        <v>0</v>
      </c>
      <c r="L765" s="74">
        <f t="shared" si="481"/>
        <v>0</v>
      </c>
      <c r="M765" s="74">
        <f t="shared" si="481"/>
        <v>0</v>
      </c>
      <c r="N765" s="74">
        <f t="shared" si="481"/>
        <v>0</v>
      </c>
      <c r="O765" s="74">
        <f t="shared" si="481"/>
        <v>0</v>
      </c>
      <c r="P765" s="74">
        <f t="shared" si="481"/>
        <v>0</v>
      </c>
      <c r="Q765" s="74">
        <f t="shared" si="481"/>
        <v>0</v>
      </c>
      <c r="R765" s="74">
        <f t="shared" si="481"/>
        <v>0</v>
      </c>
      <c r="S765" s="74">
        <f t="shared" si="481"/>
        <v>0</v>
      </c>
      <c r="T765" s="74">
        <f t="shared" si="481"/>
        <v>0</v>
      </c>
      <c r="U765" s="74">
        <f t="shared" si="481"/>
        <v>0</v>
      </c>
      <c r="V765" s="74">
        <f t="shared" si="481"/>
        <v>0</v>
      </c>
      <c r="W765" s="74">
        <f t="shared" si="481"/>
        <v>0</v>
      </c>
      <c r="X765" s="74">
        <f t="shared" si="481"/>
        <v>0</v>
      </c>
      <c r="Y765" s="74">
        <f t="shared" si="481"/>
        <v>0</v>
      </c>
      <c r="Z765" s="74">
        <f t="shared" si="481"/>
        <v>0</v>
      </c>
    </row>
    <row r="766" hidden="1" outlineLevel="1">
      <c r="B766" s="93">
        <f t="shared" si="467"/>
        <v>17</v>
      </c>
      <c r="C766" s="40"/>
      <c r="D766" s="16" t="s">
        <v>177</v>
      </c>
      <c r="E766" s="74">
        <f t="shared" si="108"/>
        <v>0</v>
      </c>
      <c r="F766" s="74"/>
      <c r="G766" s="74">
        <f t="shared" ref="G766:Z766" si="482">F766+G343</f>
        <v>0</v>
      </c>
      <c r="H766" s="74">
        <f t="shared" si="482"/>
        <v>0</v>
      </c>
      <c r="I766" s="74">
        <f t="shared" si="482"/>
        <v>0</v>
      </c>
      <c r="J766" s="74">
        <f t="shared" si="482"/>
        <v>0</v>
      </c>
      <c r="K766" s="74">
        <f t="shared" si="482"/>
        <v>0</v>
      </c>
      <c r="L766" s="74">
        <f t="shared" si="482"/>
        <v>0</v>
      </c>
      <c r="M766" s="74">
        <f t="shared" si="482"/>
        <v>0</v>
      </c>
      <c r="N766" s="74">
        <f t="shared" si="482"/>
        <v>0</v>
      </c>
      <c r="O766" s="74">
        <f t="shared" si="482"/>
        <v>0</v>
      </c>
      <c r="P766" s="74">
        <f t="shared" si="482"/>
        <v>0</v>
      </c>
      <c r="Q766" s="74">
        <f t="shared" si="482"/>
        <v>0</v>
      </c>
      <c r="R766" s="74">
        <f t="shared" si="482"/>
        <v>0</v>
      </c>
      <c r="S766" s="74">
        <f t="shared" si="482"/>
        <v>0</v>
      </c>
      <c r="T766" s="74">
        <f t="shared" si="482"/>
        <v>0</v>
      </c>
      <c r="U766" s="74">
        <f t="shared" si="482"/>
        <v>0</v>
      </c>
      <c r="V766" s="74">
        <f t="shared" si="482"/>
        <v>0</v>
      </c>
      <c r="W766" s="74">
        <f t="shared" si="482"/>
        <v>0</v>
      </c>
      <c r="X766" s="74">
        <f t="shared" si="482"/>
        <v>0</v>
      </c>
      <c r="Y766" s="74">
        <f t="shared" si="482"/>
        <v>0</v>
      </c>
      <c r="Z766" s="74">
        <f t="shared" si="482"/>
        <v>0</v>
      </c>
    </row>
    <row r="767" hidden="1" outlineLevel="1">
      <c r="B767" s="93">
        <f t="shared" si="467"/>
        <v>18</v>
      </c>
      <c r="C767" s="40"/>
      <c r="D767" s="16" t="s">
        <v>177</v>
      </c>
      <c r="E767" s="74">
        <f t="shared" si="108"/>
        <v>0</v>
      </c>
      <c r="F767" s="74"/>
      <c r="G767" s="74">
        <f t="shared" ref="G767:Z767" si="483">F767+G344</f>
        <v>0</v>
      </c>
      <c r="H767" s="74">
        <f t="shared" si="483"/>
        <v>0</v>
      </c>
      <c r="I767" s="74">
        <f t="shared" si="483"/>
        <v>0</v>
      </c>
      <c r="J767" s="74">
        <f t="shared" si="483"/>
        <v>0</v>
      </c>
      <c r="K767" s="74">
        <f t="shared" si="483"/>
        <v>0</v>
      </c>
      <c r="L767" s="74">
        <f t="shared" si="483"/>
        <v>0</v>
      </c>
      <c r="M767" s="74">
        <f t="shared" si="483"/>
        <v>0</v>
      </c>
      <c r="N767" s="74">
        <f t="shared" si="483"/>
        <v>0</v>
      </c>
      <c r="O767" s="74">
        <f t="shared" si="483"/>
        <v>0</v>
      </c>
      <c r="P767" s="74">
        <f t="shared" si="483"/>
        <v>0</v>
      </c>
      <c r="Q767" s="74">
        <f t="shared" si="483"/>
        <v>0</v>
      </c>
      <c r="R767" s="74">
        <f t="shared" si="483"/>
        <v>0</v>
      </c>
      <c r="S767" s="74">
        <f t="shared" si="483"/>
        <v>0</v>
      </c>
      <c r="T767" s="74">
        <f t="shared" si="483"/>
        <v>0</v>
      </c>
      <c r="U767" s="74">
        <f t="shared" si="483"/>
        <v>0</v>
      </c>
      <c r="V767" s="74">
        <f t="shared" si="483"/>
        <v>0</v>
      </c>
      <c r="W767" s="74">
        <f t="shared" si="483"/>
        <v>0</v>
      </c>
      <c r="X767" s="74">
        <f t="shared" si="483"/>
        <v>0</v>
      </c>
      <c r="Y767" s="74">
        <f t="shared" si="483"/>
        <v>0</v>
      </c>
      <c r="Z767" s="74">
        <f t="shared" si="483"/>
        <v>0</v>
      </c>
    </row>
    <row r="768" hidden="1" outlineLevel="1">
      <c r="B768" s="93">
        <f t="shared" si="467"/>
        <v>19</v>
      </c>
      <c r="C768" s="40"/>
      <c r="D768" s="16" t="s">
        <v>177</v>
      </c>
      <c r="E768" s="74">
        <f t="shared" si="108"/>
        <v>0</v>
      </c>
      <c r="F768" s="74"/>
      <c r="G768" s="74">
        <f t="shared" ref="G768:Z768" si="484">F768+G345</f>
        <v>0</v>
      </c>
      <c r="H768" s="74">
        <f t="shared" si="484"/>
        <v>0</v>
      </c>
      <c r="I768" s="74">
        <f t="shared" si="484"/>
        <v>0</v>
      </c>
      <c r="J768" s="74">
        <f t="shared" si="484"/>
        <v>0</v>
      </c>
      <c r="K768" s="74">
        <f t="shared" si="484"/>
        <v>0</v>
      </c>
      <c r="L768" s="74">
        <f t="shared" si="484"/>
        <v>0</v>
      </c>
      <c r="M768" s="74">
        <f t="shared" si="484"/>
        <v>0</v>
      </c>
      <c r="N768" s="74">
        <f t="shared" si="484"/>
        <v>0</v>
      </c>
      <c r="O768" s="74">
        <f t="shared" si="484"/>
        <v>0</v>
      </c>
      <c r="P768" s="74">
        <f t="shared" si="484"/>
        <v>0</v>
      </c>
      <c r="Q768" s="74">
        <f t="shared" si="484"/>
        <v>0</v>
      </c>
      <c r="R768" s="74">
        <f t="shared" si="484"/>
        <v>0</v>
      </c>
      <c r="S768" s="74">
        <f t="shared" si="484"/>
        <v>0</v>
      </c>
      <c r="T768" s="74">
        <f t="shared" si="484"/>
        <v>0</v>
      </c>
      <c r="U768" s="74">
        <f t="shared" si="484"/>
        <v>0</v>
      </c>
      <c r="V768" s="74">
        <f t="shared" si="484"/>
        <v>0</v>
      </c>
      <c r="W768" s="74">
        <f t="shared" si="484"/>
        <v>0</v>
      </c>
      <c r="X768" s="74">
        <f t="shared" si="484"/>
        <v>0</v>
      </c>
      <c r="Y768" s="74">
        <f t="shared" si="484"/>
        <v>0</v>
      </c>
      <c r="Z768" s="74">
        <f t="shared" si="484"/>
        <v>0</v>
      </c>
    </row>
    <row r="769" hidden="1" outlineLevel="1">
      <c r="B769" s="93">
        <f t="shared" si="467"/>
        <v>20</v>
      </c>
      <c r="C769" s="40"/>
      <c r="D769" s="16" t="s">
        <v>177</v>
      </c>
      <c r="E769" s="74">
        <f t="shared" si="108"/>
        <v>0</v>
      </c>
      <c r="F769" s="74"/>
      <c r="G769" s="74">
        <f t="shared" ref="G769:Z769" si="485">F769+G346</f>
        <v>0</v>
      </c>
      <c r="H769" s="74">
        <f t="shared" si="485"/>
        <v>0</v>
      </c>
      <c r="I769" s="74">
        <f t="shared" si="485"/>
        <v>0</v>
      </c>
      <c r="J769" s="74">
        <f t="shared" si="485"/>
        <v>0</v>
      </c>
      <c r="K769" s="74">
        <f t="shared" si="485"/>
        <v>0</v>
      </c>
      <c r="L769" s="74">
        <f t="shared" si="485"/>
        <v>0</v>
      </c>
      <c r="M769" s="74">
        <f t="shared" si="485"/>
        <v>0</v>
      </c>
      <c r="N769" s="74">
        <f t="shared" si="485"/>
        <v>0</v>
      </c>
      <c r="O769" s="74">
        <f t="shared" si="485"/>
        <v>0</v>
      </c>
      <c r="P769" s="74">
        <f t="shared" si="485"/>
        <v>0</v>
      </c>
      <c r="Q769" s="74">
        <f t="shared" si="485"/>
        <v>0</v>
      </c>
      <c r="R769" s="74">
        <f t="shared" si="485"/>
        <v>0</v>
      </c>
      <c r="S769" s="74">
        <f t="shared" si="485"/>
        <v>0</v>
      </c>
      <c r="T769" s="74">
        <f t="shared" si="485"/>
        <v>0</v>
      </c>
      <c r="U769" s="74">
        <f t="shared" si="485"/>
        <v>0</v>
      </c>
      <c r="V769" s="74">
        <f t="shared" si="485"/>
        <v>0</v>
      </c>
      <c r="W769" s="74">
        <f t="shared" si="485"/>
        <v>0</v>
      </c>
      <c r="X769" s="74">
        <f t="shared" si="485"/>
        <v>0</v>
      </c>
      <c r="Y769" s="74">
        <f t="shared" si="485"/>
        <v>0</v>
      </c>
      <c r="Z769" s="74">
        <f t="shared" si="485"/>
        <v>0</v>
      </c>
    </row>
    <row r="770" collapsed="1">
      <c r="B770" s="80" t="s">
        <v>209</v>
      </c>
      <c r="D770" s="16" t="s">
        <v>161</v>
      </c>
      <c r="E770" s="74">
        <f t="shared" si="108"/>
        <v>279401100</v>
      </c>
      <c r="F770" s="74"/>
      <c r="G770" s="77">
        <f t="shared" ref="G770:Z770" si="486">sum(G771:G790)</f>
        <v>-4656685</v>
      </c>
      <c r="H770" s="77">
        <f t="shared" si="486"/>
        <v>-12417826.67</v>
      </c>
      <c r="I770" s="77">
        <f t="shared" si="486"/>
        <v>-20178968.33</v>
      </c>
      <c r="J770" s="77">
        <f t="shared" si="486"/>
        <v>-20955082.5</v>
      </c>
      <c r="K770" s="77">
        <f t="shared" si="486"/>
        <v>-13970055</v>
      </c>
      <c r="L770" s="77">
        <f t="shared" si="486"/>
        <v>0.000000001862645149</v>
      </c>
      <c r="M770" s="77">
        <f t="shared" si="486"/>
        <v>11641712.5</v>
      </c>
      <c r="N770" s="77">
        <f t="shared" si="486"/>
        <v>16298397.5</v>
      </c>
      <c r="O770" s="77">
        <f t="shared" si="486"/>
        <v>38805708.33</v>
      </c>
      <c r="P770" s="77">
        <f t="shared" si="486"/>
        <v>57432448.33</v>
      </c>
      <c r="Q770" s="77">
        <f t="shared" si="486"/>
        <v>78387530.83</v>
      </c>
      <c r="R770" s="77">
        <f t="shared" si="486"/>
        <v>74506960</v>
      </c>
      <c r="S770" s="77">
        <f t="shared" si="486"/>
        <v>49671306.67</v>
      </c>
      <c r="T770" s="77">
        <f t="shared" si="486"/>
        <v>24835653.33</v>
      </c>
      <c r="U770" s="77">
        <f t="shared" si="486"/>
        <v>0</v>
      </c>
      <c r="V770" s="77">
        <f t="shared" si="486"/>
        <v>0</v>
      </c>
      <c r="W770" s="77">
        <f t="shared" si="486"/>
        <v>0</v>
      </c>
      <c r="X770" s="77">
        <f t="shared" si="486"/>
        <v>0</v>
      </c>
      <c r="Y770" s="77">
        <f t="shared" si="486"/>
        <v>0</v>
      </c>
      <c r="Z770" s="77">
        <f t="shared" si="486"/>
        <v>0</v>
      </c>
    </row>
    <row r="771" hidden="1" outlineLevel="1">
      <c r="B771" s="93">
        <f>G$4</f>
        <v>1</v>
      </c>
      <c r="C771" s="40"/>
      <c r="D771" s="16" t="s">
        <v>161</v>
      </c>
      <c r="E771" s="74">
        <f t="shared" si="108"/>
        <v>93133700</v>
      </c>
      <c r="F771" s="74"/>
      <c r="G771" s="74">
        <f t="shared" ref="G771:Z771" si="487">-1*G243+G348</f>
        <v>-4656685</v>
      </c>
      <c r="H771" s="74">
        <f t="shared" si="487"/>
        <v>-7761141.667</v>
      </c>
      <c r="I771" s="74">
        <f t="shared" si="487"/>
        <v>-7761141.667</v>
      </c>
      <c r="J771" s="74">
        <f t="shared" si="487"/>
        <v>-5432799.167</v>
      </c>
      <c r="K771" s="74">
        <f t="shared" si="487"/>
        <v>-776114.1667</v>
      </c>
      <c r="L771" s="74">
        <f t="shared" si="487"/>
        <v>6208913.333</v>
      </c>
      <c r="M771" s="74">
        <f t="shared" si="487"/>
        <v>6208913.333</v>
      </c>
      <c r="N771" s="74">
        <f t="shared" si="487"/>
        <v>3880570.833</v>
      </c>
      <c r="O771" s="74">
        <f t="shared" si="487"/>
        <v>28716224.17</v>
      </c>
      <c r="P771" s="74">
        <f t="shared" si="487"/>
        <v>24835653.33</v>
      </c>
      <c r="Q771" s="74">
        <f t="shared" si="487"/>
        <v>24835653.33</v>
      </c>
      <c r="R771" s="74">
        <f t="shared" si="487"/>
        <v>24835653.33</v>
      </c>
      <c r="S771" s="74">
        <f t="shared" si="487"/>
        <v>0</v>
      </c>
      <c r="T771" s="74">
        <f t="shared" si="487"/>
        <v>0</v>
      </c>
      <c r="U771" s="74">
        <f t="shared" si="487"/>
        <v>0</v>
      </c>
      <c r="V771" s="74">
        <f t="shared" si="487"/>
        <v>0</v>
      </c>
      <c r="W771" s="74">
        <f t="shared" si="487"/>
        <v>0</v>
      </c>
      <c r="X771" s="74">
        <f t="shared" si="487"/>
        <v>0</v>
      </c>
      <c r="Y771" s="74">
        <f t="shared" si="487"/>
        <v>0</v>
      </c>
      <c r="Z771" s="74">
        <f t="shared" si="487"/>
        <v>0</v>
      </c>
    </row>
    <row r="772" hidden="1" outlineLevel="1">
      <c r="B772" s="93">
        <f t="shared" ref="B772:B790" si="489">B771+1</f>
        <v>2</v>
      </c>
      <c r="C772" s="40"/>
      <c r="D772" s="16" t="s">
        <v>161</v>
      </c>
      <c r="E772" s="74">
        <f t="shared" si="108"/>
        <v>93133700</v>
      </c>
      <c r="F772" s="74"/>
      <c r="G772" s="74">
        <f t="shared" ref="G772:Z772" si="488">-1*G244+G349</f>
        <v>0</v>
      </c>
      <c r="H772" s="74">
        <f t="shared" si="488"/>
        <v>-4656685</v>
      </c>
      <c r="I772" s="74">
        <f t="shared" si="488"/>
        <v>-7761141.667</v>
      </c>
      <c r="J772" s="74">
        <f t="shared" si="488"/>
        <v>-7761141.667</v>
      </c>
      <c r="K772" s="74">
        <f t="shared" si="488"/>
        <v>-5432799.167</v>
      </c>
      <c r="L772" s="74">
        <f t="shared" si="488"/>
        <v>-776114.1667</v>
      </c>
      <c r="M772" s="74">
        <f t="shared" si="488"/>
        <v>6208913.333</v>
      </c>
      <c r="N772" s="74">
        <f t="shared" si="488"/>
        <v>6208913.333</v>
      </c>
      <c r="O772" s="74">
        <f t="shared" si="488"/>
        <v>3880570.833</v>
      </c>
      <c r="P772" s="74">
        <f t="shared" si="488"/>
        <v>28716224.17</v>
      </c>
      <c r="Q772" s="74">
        <f t="shared" si="488"/>
        <v>24835653.33</v>
      </c>
      <c r="R772" s="74">
        <f t="shared" si="488"/>
        <v>24835653.33</v>
      </c>
      <c r="S772" s="74">
        <f t="shared" si="488"/>
        <v>24835653.33</v>
      </c>
      <c r="T772" s="74">
        <f t="shared" si="488"/>
        <v>0</v>
      </c>
      <c r="U772" s="74">
        <f t="shared" si="488"/>
        <v>0</v>
      </c>
      <c r="V772" s="74">
        <f t="shared" si="488"/>
        <v>0</v>
      </c>
      <c r="W772" s="74">
        <f t="shared" si="488"/>
        <v>0</v>
      </c>
      <c r="X772" s="74">
        <f t="shared" si="488"/>
        <v>0</v>
      </c>
      <c r="Y772" s="74">
        <f t="shared" si="488"/>
        <v>0</v>
      </c>
      <c r="Z772" s="74">
        <f t="shared" si="488"/>
        <v>0</v>
      </c>
    </row>
    <row r="773" hidden="1" outlineLevel="1">
      <c r="B773" s="93">
        <f t="shared" si="489"/>
        <v>3</v>
      </c>
      <c r="C773" s="40"/>
      <c r="D773" s="16" t="s">
        <v>161</v>
      </c>
      <c r="E773" s="74">
        <f t="shared" si="108"/>
        <v>93133700</v>
      </c>
      <c r="F773" s="74"/>
      <c r="G773" s="74">
        <f t="shared" ref="G773:Z773" si="490">-1*G245+G350</f>
        <v>0</v>
      </c>
      <c r="H773" s="74">
        <f t="shared" si="490"/>
        <v>0</v>
      </c>
      <c r="I773" s="74">
        <f t="shared" si="490"/>
        <v>-4656685</v>
      </c>
      <c r="J773" s="74">
        <f t="shared" si="490"/>
        <v>-7761141.667</v>
      </c>
      <c r="K773" s="74">
        <f t="shared" si="490"/>
        <v>-7761141.667</v>
      </c>
      <c r="L773" s="74">
        <f t="shared" si="490"/>
        <v>-5432799.167</v>
      </c>
      <c r="M773" s="74">
        <f t="shared" si="490"/>
        <v>-776114.1667</v>
      </c>
      <c r="N773" s="74">
        <f t="shared" si="490"/>
        <v>6208913.333</v>
      </c>
      <c r="O773" s="74">
        <f t="shared" si="490"/>
        <v>6208913.333</v>
      </c>
      <c r="P773" s="74">
        <f t="shared" si="490"/>
        <v>3880570.833</v>
      </c>
      <c r="Q773" s="74">
        <f t="shared" si="490"/>
        <v>28716224.17</v>
      </c>
      <c r="R773" s="74">
        <f t="shared" si="490"/>
        <v>24835653.33</v>
      </c>
      <c r="S773" s="74">
        <f t="shared" si="490"/>
        <v>24835653.33</v>
      </c>
      <c r="T773" s="74">
        <f t="shared" si="490"/>
        <v>24835653.33</v>
      </c>
      <c r="U773" s="74">
        <f t="shared" si="490"/>
        <v>0</v>
      </c>
      <c r="V773" s="74">
        <f t="shared" si="490"/>
        <v>0</v>
      </c>
      <c r="W773" s="74">
        <f t="shared" si="490"/>
        <v>0</v>
      </c>
      <c r="X773" s="74">
        <f t="shared" si="490"/>
        <v>0</v>
      </c>
      <c r="Y773" s="74">
        <f t="shared" si="490"/>
        <v>0</v>
      </c>
      <c r="Z773" s="74">
        <f t="shared" si="490"/>
        <v>0</v>
      </c>
    </row>
    <row r="774" hidden="1" outlineLevel="1">
      <c r="B774" s="93">
        <f t="shared" si="489"/>
        <v>4</v>
      </c>
      <c r="C774" s="40"/>
      <c r="D774" s="16" t="s">
        <v>161</v>
      </c>
      <c r="E774" s="74">
        <f t="shared" si="108"/>
        <v>0</v>
      </c>
      <c r="F774" s="74"/>
      <c r="G774" s="74">
        <f t="shared" ref="G774:Z774" si="491">-1*G246+G351</f>
        <v>0</v>
      </c>
      <c r="H774" s="74">
        <f t="shared" si="491"/>
        <v>0</v>
      </c>
      <c r="I774" s="74">
        <f t="shared" si="491"/>
        <v>0</v>
      </c>
      <c r="J774" s="74">
        <f t="shared" si="491"/>
        <v>0</v>
      </c>
      <c r="K774" s="74">
        <f t="shared" si="491"/>
        <v>0</v>
      </c>
      <c r="L774" s="74">
        <f t="shared" si="491"/>
        <v>0</v>
      </c>
      <c r="M774" s="74">
        <f t="shared" si="491"/>
        <v>0</v>
      </c>
      <c r="N774" s="74">
        <f t="shared" si="491"/>
        <v>0</v>
      </c>
      <c r="O774" s="74">
        <f t="shared" si="491"/>
        <v>0</v>
      </c>
      <c r="P774" s="74">
        <f t="shared" si="491"/>
        <v>0</v>
      </c>
      <c r="Q774" s="74">
        <f t="shared" si="491"/>
        <v>0</v>
      </c>
      <c r="R774" s="74">
        <f t="shared" si="491"/>
        <v>0</v>
      </c>
      <c r="S774" s="74">
        <f t="shared" si="491"/>
        <v>0</v>
      </c>
      <c r="T774" s="74">
        <f t="shared" si="491"/>
        <v>0</v>
      </c>
      <c r="U774" s="74">
        <f t="shared" si="491"/>
        <v>0</v>
      </c>
      <c r="V774" s="74">
        <f t="shared" si="491"/>
        <v>0</v>
      </c>
      <c r="W774" s="74">
        <f t="shared" si="491"/>
        <v>0</v>
      </c>
      <c r="X774" s="74">
        <f t="shared" si="491"/>
        <v>0</v>
      </c>
      <c r="Y774" s="74">
        <f t="shared" si="491"/>
        <v>0</v>
      </c>
      <c r="Z774" s="74">
        <f t="shared" si="491"/>
        <v>0</v>
      </c>
    </row>
    <row r="775" hidden="1" outlineLevel="1">
      <c r="B775" s="93">
        <f t="shared" si="489"/>
        <v>5</v>
      </c>
      <c r="C775" s="40"/>
      <c r="D775" s="16" t="s">
        <v>161</v>
      </c>
      <c r="E775" s="74">
        <f t="shared" si="108"/>
        <v>0</v>
      </c>
      <c r="F775" s="74"/>
      <c r="G775" s="74">
        <f t="shared" ref="G775:Z775" si="492">-1*G247+G352</f>
        <v>0</v>
      </c>
      <c r="H775" s="74">
        <f t="shared" si="492"/>
        <v>0</v>
      </c>
      <c r="I775" s="74">
        <f t="shared" si="492"/>
        <v>0</v>
      </c>
      <c r="J775" s="74">
        <f t="shared" si="492"/>
        <v>0</v>
      </c>
      <c r="K775" s="74">
        <f t="shared" si="492"/>
        <v>0</v>
      </c>
      <c r="L775" s="74">
        <f t="shared" si="492"/>
        <v>0</v>
      </c>
      <c r="M775" s="74">
        <f t="shared" si="492"/>
        <v>0</v>
      </c>
      <c r="N775" s="74">
        <f t="shared" si="492"/>
        <v>0</v>
      </c>
      <c r="O775" s="74">
        <f t="shared" si="492"/>
        <v>0</v>
      </c>
      <c r="P775" s="74">
        <f t="shared" si="492"/>
        <v>0</v>
      </c>
      <c r="Q775" s="74">
        <f t="shared" si="492"/>
        <v>0</v>
      </c>
      <c r="R775" s="74">
        <f t="shared" si="492"/>
        <v>0</v>
      </c>
      <c r="S775" s="74">
        <f t="shared" si="492"/>
        <v>0</v>
      </c>
      <c r="T775" s="74">
        <f t="shared" si="492"/>
        <v>0</v>
      </c>
      <c r="U775" s="74">
        <f t="shared" si="492"/>
        <v>0</v>
      </c>
      <c r="V775" s="74">
        <f t="shared" si="492"/>
        <v>0</v>
      </c>
      <c r="W775" s="74">
        <f t="shared" si="492"/>
        <v>0</v>
      </c>
      <c r="X775" s="74">
        <f t="shared" si="492"/>
        <v>0</v>
      </c>
      <c r="Y775" s="74">
        <f t="shared" si="492"/>
        <v>0</v>
      </c>
      <c r="Z775" s="74">
        <f t="shared" si="492"/>
        <v>0</v>
      </c>
    </row>
    <row r="776" hidden="1" outlineLevel="1">
      <c r="B776" s="93">
        <f t="shared" si="489"/>
        <v>6</v>
      </c>
      <c r="C776" s="40"/>
      <c r="D776" s="16" t="s">
        <v>161</v>
      </c>
      <c r="E776" s="74">
        <f t="shared" si="108"/>
        <v>0</v>
      </c>
      <c r="F776" s="74"/>
      <c r="G776" s="74">
        <f t="shared" ref="G776:Z776" si="493">-1*G248+G353</f>
        <v>0</v>
      </c>
      <c r="H776" s="74">
        <f t="shared" si="493"/>
        <v>0</v>
      </c>
      <c r="I776" s="74">
        <f t="shared" si="493"/>
        <v>0</v>
      </c>
      <c r="J776" s="74">
        <f t="shared" si="493"/>
        <v>0</v>
      </c>
      <c r="K776" s="74">
        <f t="shared" si="493"/>
        <v>0</v>
      </c>
      <c r="L776" s="74">
        <f t="shared" si="493"/>
        <v>0</v>
      </c>
      <c r="M776" s="74">
        <f t="shared" si="493"/>
        <v>0</v>
      </c>
      <c r="N776" s="74">
        <f t="shared" si="493"/>
        <v>0</v>
      </c>
      <c r="O776" s="74">
        <f t="shared" si="493"/>
        <v>0</v>
      </c>
      <c r="P776" s="74">
        <f t="shared" si="493"/>
        <v>0</v>
      </c>
      <c r="Q776" s="74">
        <f t="shared" si="493"/>
        <v>0</v>
      </c>
      <c r="R776" s="74">
        <f t="shared" si="493"/>
        <v>0</v>
      </c>
      <c r="S776" s="74">
        <f t="shared" si="493"/>
        <v>0</v>
      </c>
      <c r="T776" s="74">
        <f t="shared" si="493"/>
        <v>0</v>
      </c>
      <c r="U776" s="74">
        <f t="shared" si="493"/>
        <v>0</v>
      </c>
      <c r="V776" s="74">
        <f t="shared" si="493"/>
        <v>0</v>
      </c>
      <c r="W776" s="74">
        <f t="shared" si="493"/>
        <v>0</v>
      </c>
      <c r="X776" s="74">
        <f t="shared" si="493"/>
        <v>0</v>
      </c>
      <c r="Y776" s="74">
        <f t="shared" si="493"/>
        <v>0</v>
      </c>
      <c r="Z776" s="74">
        <f t="shared" si="493"/>
        <v>0</v>
      </c>
    </row>
    <row r="777" hidden="1" outlineLevel="1">
      <c r="B777" s="93">
        <f t="shared" si="489"/>
        <v>7</v>
      </c>
      <c r="C777" s="40"/>
      <c r="D777" s="16" t="s">
        <v>161</v>
      </c>
      <c r="E777" s="74">
        <f t="shared" si="108"/>
        <v>0</v>
      </c>
      <c r="F777" s="74"/>
      <c r="G777" s="74">
        <f t="shared" ref="G777:Z777" si="494">-1*G249+G354</f>
        <v>0</v>
      </c>
      <c r="H777" s="74">
        <f t="shared" si="494"/>
        <v>0</v>
      </c>
      <c r="I777" s="74">
        <f t="shared" si="494"/>
        <v>0</v>
      </c>
      <c r="J777" s="74">
        <f t="shared" si="494"/>
        <v>0</v>
      </c>
      <c r="K777" s="74">
        <f t="shared" si="494"/>
        <v>0</v>
      </c>
      <c r="L777" s="74">
        <f t="shared" si="494"/>
        <v>0</v>
      </c>
      <c r="M777" s="74">
        <f t="shared" si="494"/>
        <v>0</v>
      </c>
      <c r="N777" s="74">
        <f t="shared" si="494"/>
        <v>0</v>
      </c>
      <c r="O777" s="74">
        <f t="shared" si="494"/>
        <v>0</v>
      </c>
      <c r="P777" s="74">
        <f t="shared" si="494"/>
        <v>0</v>
      </c>
      <c r="Q777" s="74">
        <f t="shared" si="494"/>
        <v>0</v>
      </c>
      <c r="R777" s="74">
        <f t="shared" si="494"/>
        <v>0</v>
      </c>
      <c r="S777" s="74">
        <f t="shared" si="494"/>
        <v>0</v>
      </c>
      <c r="T777" s="74">
        <f t="shared" si="494"/>
        <v>0</v>
      </c>
      <c r="U777" s="74">
        <f t="shared" si="494"/>
        <v>0</v>
      </c>
      <c r="V777" s="74">
        <f t="shared" si="494"/>
        <v>0</v>
      </c>
      <c r="W777" s="74">
        <f t="shared" si="494"/>
        <v>0</v>
      </c>
      <c r="X777" s="74">
        <f t="shared" si="494"/>
        <v>0</v>
      </c>
      <c r="Y777" s="74">
        <f t="shared" si="494"/>
        <v>0</v>
      </c>
      <c r="Z777" s="74">
        <f t="shared" si="494"/>
        <v>0</v>
      </c>
    </row>
    <row r="778" hidden="1" outlineLevel="1">
      <c r="B778" s="93">
        <f t="shared" si="489"/>
        <v>8</v>
      </c>
      <c r="C778" s="40"/>
      <c r="D778" s="16" t="s">
        <v>161</v>
      </c>
      <c r="E778" s="74">
        <f t="shared" si="108"/>
        <v>0</v>
      </c>
      <c r="F778" s="74"/>
      <c r="G778" s="74">
        <f t="shared" ref="G778:Z778" si="495">-1*G250+G355</f>
        <v>0</v>
      </c>
      <c r="H778" s="74">
        <f t="shared" si="495"/>
        <v>0</v>
      </c>
      <c r="I778" s="74">
        <f t="shared" si="495"/>
        <v>0</v>
      </c>
      <c r="J778" s="74">
        <f t="shared" si="495"/>
        <v>0</v>
      </c>
      <c r="K778" s="74">
        <f t="shared" si="495"/>
        <v>0</v>
      </c>
      <c r="L778" s="74">
        <f t="shared" si="495"/>
        <v>0</v>
      </c>
      <c r="M778" s="74">
        <f t="shared" si="495"/>
        <v>0</v>
      </c>
      <c r="N778" s="74">
        <f t="shared" si="495"/>
        <v>0</v>
      </c>
      <c r="O778" s="74">
        <f t="shared" si="495"/>
        <v>0</v>
      </c>
      <c r="P778" s="74">
        <f t="shared" si="495"/>
        <v>0</v>
      </c>
      <c r="Q778" s="74">
        <f t="shared" si="495"/>
        <v>0</v>
      </c>
      <c r="R778" s="74">
        <f t="shared" si="495"/>
        <v>0</v>
      </c>
      <c r="S778" s="74">
        <f t="shared" si="495"/>
        <v>0</v>
      </c>
      <c r="T778" s="74">
        <f t="shared" si="495"/>
        <v>0</v>
      </c>
      <c r="U778" s="74">
        <f t="shared" si="495"/>
        <v>0</v>
      </c>
      <c r="V778" s="74">
        <f t="shared" si="495"/>
        <v>0</v>
      </c>
      <c r="W778" s="74">
        <f t="shared" si="495"/>
        <v>0</v>
      </c>
      <c r="X778" s="74">
        <f t="shared" si="495"/>
        <v>0</v>
      </c>
      <c r="Y778" s="74">
        <f t="shared" si="495"/>
        <v>0</v>
      </c>
      <c r="Z778" s="74">
        <f t="shared" si="495"/>
        <v>0</v>
      </c>
    </row>
    <row r="779" hidden="1" outlineLevel="1">
      <c r="B779" s="93">
        <f t="shared" si="489"/>
        <v>9</v>
      </c>
      <c r="C779" s="40"/>
      <c r="D779" s="16" t="s">
        <v>161</v>
      </c>
      <c r="E779" s="74">
        <f t="shared" si="108"/>
        <v>0</v>
      </c>
      <c r="F779" s="74"/>
      <c r="G779" s="74">
        <f t="shared" ref="G779:Z779" si="496">-1*G251+G356</f>
        <v>0</v>
      </c>
      <c r="H779" s="74">
        <f t="shared" si="496"/>
        <v>0</v>
      </c>
      <c r="I779" s="74">
        <f t="shared" si="496"/>
        <v>0</v>
      </c>
      <c r="J779" s="74">
        <f t="shared" si="496"/>
        <v>0</v>
      </c>
      <c r="K779" s="74">
        <f t="shared" si="496"/>
        <v>0</v>
      </c>
      <c r="L779" s="74">
        <f t="shared" si="496"/>
        <v>0</v>
      </c>
      <c r="M779" s="74">
        <f t="shared" si="496"/>
        <v>0</v>
      </c>
      <c r="N779" s="74">
        <f t="shared" si="496"/>
        <v>0</v>
      </c>
      <c r="O779" s="74">
        <f t="shared" si="496"/>
        <v>0</v>
      </c>
      <c r="P779" s="74">
        <f t="shared" si="496"/>
        <v>0</v>
      </c>
      <c r="Q779" s="74">
        <f t="shared" si="496"/>
        <v>0</v>
      </c>
      <c r="R779" s="74">
        <f t="shared" si="496"/>
        <v>0</v>
      </c>
      <c r="S779" s="74">
        <f t="shared" si="496"/>
        <v>0</v>
      </c>
      <c r="T779" s="74">
        <f t="shared" si="496"/>
        <v>0</v>
      </c>
      <c r="U779" s="74">
        <f t="shared" si="496"/>
        <v>0</v>
      </c>
      <c r="V779" s="74">
        <f t="shared" si="496"/>
        <v>0</v>
      </c>
      <c r="W779" s="74">
        <f t="shared" si="496"/>
        <v>0</v>
      </c>
      <c r="X779" s="74">
        <f t="shared" si="496"/>
        <v>0</v>
      </c>
      <c r="Y779" s="74">
        <f t="shared" si="496"/>
        <v>0</v>
      </c>
      <c r="Z779" s="74">
        <f t="shared" si="496"/>
        <v>0</v>
      </c>
    </row>
    <row r="780" hidden="1" outlineLevel="1">
      <c r="B780" s="93">
        <f t="shared" si="489"/>
        <v>10</v>
      </c>
      <c r="C780" s="40"/>
      <c r="D780" s="16" t="s">
        <v>161</v>
      </c>
      <c r="E780" s="74">
        <f t="shared" si="108"/>
        <v>0</v>
      </c>
      <c r="F780" s="74"/>
      <c r="G780" s="74">
        <f t="shared" ref="G780:Z780" si="497">-1*G252+G357</f>
        <v>0</v>
      </c>
      <c r="H780" s="74">
        <f t="shared" si="497"/>
        <v>0</v>
      </c>
      <c r="I780" s="74">
        <f t="shared" si="497"/>
        <v>0</v>
      </c>
      <c r="J780" s="74">
        <f t="shared" si="497"/>
        <v>0</v>
      </c>
      <c r="K780" s="74">
        <f t="shared" si="497"/>
        <v>0</v>
      </c>
      <c r="L780" s="74">
        <f t="shared" si="497"/>
        <v>0</v>
      </c>
      <c r="M780" s="74">
        <f t="shared" si="497"/>
        <v>0</v>
      </c>
      <c r="N780" s="74">
        <f t="shared" si="497"/>
        <v>0</v>
      </c>
      <c r="O780" s="74">
        <f t="shared" si="497"/>
        <v>0</v>
      </c>
      <c r="P780" s="74">
        <f t="shared" si="497"/>
        <v>0</v>
      </c>
      <c r="Q780" s="74">
        <f t="shared" si="497"/>
        <v>0</v>
      </c>
      <c r="R780" s="74">
        <f t="shared" si="497"/>
        <v>0</v>
      </c>
      <c r="S780" s="74">
        <f t="shared" si="497"/>
        <v>0</v>
      </c>
      <c r="T780" s="74">
        <f t="shared" si="497"/>
        <v>0</v>
      </c>
      <c r="U780" s="74">
        <f t="shared" si="497"/>
        <v>0</v>
      </c>
      <c r="V780" s="74">
        <f t="shared" si="497"/>
        <v>0</v>
      </c>
      <c r="W780" s="74">
        <f t="shared" si="497"/>
        <v>0</v>
      </c>
      <c r="X780" s="74">
        <f t="shared" si="497"/>
        <v>0</v>
      </c>
      <c r="Y780" s="74">
        <f t="shared" si="497"/>
        <v>0</v>
      </c>
      <c r="Z780" s="74">
        <f t="shared" si="497"/>
        <v>0</v>
      </c>
    </row>
    <row r="781" hidden="1" outlineLevel="1">
      <c r="B781" s="93">
        <f t="shared" si="489"/>
        <v>11</v>
      </c>
      <c r="C781" s="40"/>
      <c r="D781" s="16" t="s">
        <v>161</v>
      </c>
      <c r="E781" s="74">
        <f t="shared" si="108"/>
        <v>0</v>
      </c>
      <c r="F781" s="74"/>
      <c r="G781" s="74">
        <f t="shared" ref="G781:Z781" si="498">-1*G253+G358</f>
        <v>0</v>
      </c>
      <c r="H781" s="74">
        <f t="shared" si="498"/>
        <v>0</v>
      </c>
      <c r="I781" s="74">
        <f t="shared" si="498"/>
        <v>0</v>
      </c>
      <c r="J781" s="74">
        <f t="shared" si="498"/>
        <v>0</v>
      </c>
      <c r="K781" s="74">
        <f t="shared" si="498"/>
        <v>0</v>
      </c>
      <c r="L781" s="74">
        <f t="shared" si="498"/>
        <v>0</v>
      </c>
      <c r="M781" s="74">
        <f t="shared" si="498"/>
        <v>0</v>
      </c>
      <c r="N781" s="74">
        <f t="shared" si="498"/>
        <v>0</v>
      </c>
      <c r="O781" s="74">
        <f t="shared" si="498"/>
        <v>0</v>
      </c>
      <c r="P781" s="74">
        <f t="shared" si="498"/>
        <v>0</v>
      </c>
      <c r="Q781" s="74">
        <f t="shared" si="498"/>
        <v>0</v>
      </c>
      <c r="R781" s="74">
        <f t="shared" si="498"/>
        <v>0</v>
      </c>
      <c r="S781" s="74">
        <f t="shared" si="498"/>
        <v>0</v>
      </c>
      <c r="T781" s="74">
        <f t="shared" si="498"/>
        <v>0</v>
      </c>
      <c r="U781" s="74">
        <f t="shared" si="498"/>
        <v>0</v>
      </c>
      <c r="V781" s="74">
        <f t="shared" si="498"/>
        <v>0</v>
      </c>
      <c r="W781" s="74">
        <f t="shared" si="498"/>
        <v>0</v>
      </c>
      <c r="X781" s="74">
        <f t="shared" si="498"/>
        <v>0</v>
      </c>
      <c r="Y781" s="74">
        <f t="shared" si="498"/>
        <v>0</v>
      </c>
      <c r="Z781" s="74">
        <f t="shared" si="498"/>
        <v>0</v>
      </c>
    </row>
    <row r="782" hidden="1" outlineLevel="1">
      <c r="B782" s="93">
        <f t="shared" si="489"/>
        <v>12</v>
      </c>
      <c r="C782" s="40"/>
      <c r="D782" s="16" t="s">
        <v>161</v>
      </c>
      <c r="E782" s="74">
        <f t="shared" si="108"/>
        <v>0</v>
      </c>
      <c r="F782" s="74"/>
      <c r="G782" s="74">
        <f t="shared" ref="G782:Z782" si="499">-1*G254+G359</f>
        <v>0</v>
      </c>
      <c r="H782" s="74">
        <f t="shared" si="499"/>
        <v>0</v>
      </c>
      <c r="I782" s="74">
        <f t="shared" si="499"/>
        <v>0</v>
      </c>
      <c r="J782" s="74">
        <f t="shared" si="499"/>
        <v>0</v>
      </c>
      <c r="K782" s="74">
        <f t="shared" si="499"/>
        <v>0</v>
      </c>
      <c r="L782" s="74">
        <f t="shared" si="499"/>
        <v>0</v>
      </c>
      <c r="M782" s="74">
        <f t="shared" si="499"/>
        <v>0</v>
      </c>
      <c r="N782" s="74">
        <f t="shared" si="499"/>
        <v>0</v>
      </c>
      <c r="O782" s="74">
        <f t="shared" si="499"/>
        <v>0</v>
      </c>
      <c r="P782" s="74">
        <f t="shared" si="499"/>
        <v>0</v>
      </c>
      <c r="Q782" s="74">
        <f t="shared" si="499"/>
        <v>0</v>
      </c>
      <c r="R782" s="74">
        <f t="shared" si="499"/>
        <v>0</v>
      </c>
      <c r="S782" s="74">
        <f t="shared" si="499"/>
        <v>0</v>
      </c>
      <c r="T782" s="74">
        <f t="shared" si="499"/>
        <v>0</v>
      </c>
      <c r="U782" s="74">
        <f t="shared" si="499"/>
        <v>0</v>
      </c>
      <c r="V782" s="74">
        <f t="shared" si="499"/>
        <v>0</v>
      </c>
      <c r="W782" s="74">
        <f t="shared" si="499"/>
        <v>0</v>
      </c>
      <c r="X782" s="74">
        <f t="shared" si="499"/>
        <v>0</v>
      </c>
      <c r="Y782" s="74">
        <f t="shared" si="499"/>
        <v>0</v>
      </c>
      <c r="Z782" s="74">
        <f t="shared" si="499"/>
        <v>0</v>
      </c>
    </row>
    <row r="783" hidden="1" outlineLevel="1">
      <c r="B783" s="93">
        <f t="shared" si="489"/>
        <v>13</v>
      </c>
      <c r="C783" s="40"/>
      <c r="D783" s="16" t="s">
        <v>161</v>
      </c>
      <c r="E783" s="74">
        <f t="shared" si="108"/>
        <v>0</v>
      </c>
      <c r="F783" s="74"/>
      <c r="G783" s="74">
        <f t="shared" ref="G783:Z783" si="500">-1*G255+G360</f>
        <v>0</v>
      </c>
      <c r="H783" s="74">
        <f t="shared" si="500"/>
        <v>0</v>
      </c>
      <c r="I783" s="74">
        <f t="shared" si="500"/>
        <v>0</v>
      </c>
      <c r="J783" s="74">
        <f t="shared" si="500"/>
        <v>0</v>
      </c>
      <c r="K783" s="74">
        <f t="shared" si="500"/>
        <v>0</v>
      </c>
      <c r="L783" s="74">
        <f t="shared" si="500"/>
        <v>0</v>
      </c>
      <c r="M783" s="74">
        <f t="shared" si="500"/>
        <v>0</v>
      </c>
      <c r="N783" s="74">
        <f t="shared" si="500"/>
        <v>0</v>
      </c>
      <c r="O783" s="74">
        <f t="shared" si="500"/>
        <v>0</v>
      </c>
      <c r="P783" s="74">
        <f t="shared" si="500"/>
        <v>0</v>
      </c>
      <c r="Q783" s="74">
        <f t="shared" si="500"/>
        <v>0</v>
      </c>
      <c r="R783" s="74">
        <f t="shared" si="500"/>
        <v>0</v>
      </c>
      <c r="S783" s="74">
        <f t="shared" si="500"/>
        <v>0</v>
      </c>
      <c r="T783" s="74">
        <f t="shared" si="500"/>
        <v>0</v>
      </c>
      <c r="U783" s="74">
        <f t="shared" si="500"/>
        <v>0</v>
      </c>
      <c r="V783" s="74">
        <f t="shared" si="500"/>
        <v>0</v>
      </c>
      <c r="W783" s="74">
        <f t="shared" si="500"/>
        <v>0</v>
      </c>
      <c r="X783" s="74">
        <f t="shared" si="500"/>
        <v>0</v>
      </c>
      <c r="Y783" s="74">
        <f t="shared" si="500"/>
        <v>0</v>
      </c>
      <c r="Z783" s="74">
        <f t="shared" si="500"/>
        <v>0</v>
      </c>
    </row>
    <row r="784" hidden="1" outlineLevel="1">
      <c r="B784" s="93">
        <f t="shared" si="489"/>
        <v>14</v>
      </c>
      <c r="C784" s="40"/>
      <c r="D784" s="16" t="s">
        <v>161</v>
      </c>
      <c r="E784" s="74">
        <f t="shared" si="108"/>
        <v>0</v>
      </c>
      <c r="F784" s="74"/>
      <c r="G784" s="74">
        <f t="shared" ref="G784:Z784" si="501">-1*G256+G361</f>
        <v>0</v>
      </c>
      <c r="H784" s="74">
        <f t="shared" si="501"/>
        <v>0</v>
      </c>
      <c r="I784" s="74">
        <f t="shared" si="501"/>
        <v>0</v>
      </c>
      <c r="J784" s="74">
        <f t="shared" si="501"/>
        <v>0</v>
      </c>
      <c r="K784" s="74">
        <f t="shared" si="501"/>
        <v>0</v>
      </c>
      <c r="L784" s="74">
        <f t="shared" si="501"/>
        <v>0</v>
      </c>
      <c r="M784" s="74">
        <f t="shared" si="501"/>
        <v>0</v>
      </c>
      <c r="N784" s="74">
        <f t="shared" si="501"/>
        <v>0</v>
      </c>
      <c r="O784" s="74">
        <f t="shared" si="501"/>
        <v>0</v>
      </c>
      <c r="P784" s="74">
        <f t="shared" si="501"/>
        <v>0</v>
      </c>
      <c r="Q784" s="74">
        <f t="shared" si="501"/>
        <v>0</v>
      </c>
      <c r="R784" s="74">
        <f t="shared" si="501"/>
        <v>0</v>
      </c>
      <c r="S784" s="74">
        <f t="shared" si="501"/>
        <v>0</v>
      </c>
      <c r="T784" s="74">
        <f t="shared" si="501"/>
        <v>0</v>
      </c>
      <c r="U784" s="74">
        <f t="shared" si="501"/>
        <v>0</v>
      </c>
      <c r="V784" s="74">
        <f t="shared" si="501"/>
        <v>0</v>
      </c>
      <c r="W784" s="74">
        <f t="shared" si="501"/>
        <v>0</v>
      </c>
      <c r="X784" s="74">
        <f t="shared" si="501"/>
        <v>0</v>
      </c>
      <c r="Y784" s="74">
        <f t="shared" si="501"/>
        <v>0</v>
      </c>
      <c r="Z784" s="74">
        <f t="shared" si="501"/>
        <v>0</v>
      </c>
    </row>
    <row r="785" hidden="1" outlineLevel="1">
      <c r="B785" s="93">
        <f t="shared" si="489"/>
        <v>15</v>
      </c>
      <c r="C785" s="40"/>
      <c r="D785" s="16" t="s">
        <v>161</v>
      </c>
      <c r="E785" s="74">
        <f t="shared" si="108"/>
        <v>0</v>
      </c>
      <c r="F785" s="74"/>
      <c r="G785" s="74">
        <f t="shared" ref="G785:Z785" si="502">-1*G257+G362</f>
        <v>0</v>
      </c>
      <c r="H785" s="74">
        <f t="shared" si="502"/>
        <v>0</v>
      </c>
      <c r="I785" s="74">
        <f t="shared" si="502"/>
        <v>0</v>
      </c>
      <c r="J785" s="74">
        <f t="shared" si="502"/>
        <v>0</v>
      </c>
      <c r="K785" s="74">
        <f t="shared" si="502"/>
        <v>0</v>
      </c>
      <c r="L785" s="74">
        <f t="shared" si="502"/>
        <v>0</v>
      </c>
      <c r="M785" s="74">
        <f t="shared" si="502"/>
        <v>0</v>
      </c>
      <c r="N785" s="74">
        <f t="shared" si="502"/>
        <v>0</v>
      </c>
      <c r="O785" s="74">
        <f t="shared" si="502"/>
        <v>0</v>
      </c>
      <c r="P785" s="74">
        <f t="shared" si="502"/>
        <v>0</v>
      </c>
      <c r="Q785" s="74">
        <f t="shared" si="502"/>
        <v>0</v>
      </c>
      <c r="R785" s="74">
        <f t="shared" si="502"/>
        <v>0</v>
      </c>
      <c r="S785" s="74">
        <f t="shared" si="502"/>
        <v>0</v>
      </c>
      <c r="T785" s="74">
        <f t="shared" si="502"/>
        <v>0</v>
      </c>
      <c r="U785" s="74">
        <f t="shared" si="502"/>
        <v>0</v>
      </c>
      <c r="V785" s="74">
        <f t="shared" si="502"/>
        <v>0</v>
      </c>
      <c r="W785" s="74">
        <f t="shared" si="502"/>
        <v>0</v>
      </c>
      <c r="X785" s="74">
        <f t="shared" si="502"/>
        <v>0</v>
      </c>
      <c r="Y785" s="74">
        <f t="shared" si="502"/>
        <v>0</v>
      </c>
      <c r="Z785" s="74">
        <f t="shared" si="502"/>
        <v>0</v>
      </c>
    </row>
    <row r="786" hidden="1" outlineLevel="1">
      <c r="B786" s="93">
        <f t="shared" si="489"/>
        <v>16</v>
      </c>
      <c r="C786" s="40"/>
      <c r="D786" s="16" t="s">
        <v>161</v>
      </c>
      <c r="E786" s="74">
        <f t="shared" si="108"/>
        <v>0</v>
      </c>
      <c r="F786" s="74"/>
      <c r="G786" s="74">
        <f t="shared" ref="G786:Z786" si="503">-1*G258+G363</f>
        <v>0</v>
      </c>
      <c r="H786" s="74">
        <f t="shared" si="503"/>
        <v>0</v>
      </c>
      <c r="I786" s="74">
        <f t="shared" si="503"/>
        <v>0</v>
      </c>
      <c r="J786" s="74">
        <f t="shared" si="503"/>
        <v>0</v>
      </c>
      <c r="K786" s="74">
        <f t="shared" si="503"/>
        <v>0</v>
      </c>
      <c r="L786" s="74">
        <f t="shared" si="503"/>
        <v>0</v>
      </c>
      <c r="M786" s="74">
        <f t="shared" si="503"/>
        <v>0</v>
      </c>
      <c r="N786" s="74">
        <f t="shared" si="503"/>
        <v>0</v>
      </c>
      <c r="O786" s="74">
        <f t="shared" si="503"/>
        <v>0</v>
      </c>
      <c r="P786" s="74">
        <f t="shared" si="503"/>
        <v>0</v>
      </c>
      <c r="Q786" s="74">
        <f t="shared" si="503"/>
        <v>0</v>
      </c>
      <c r="R786" s="74">
        <f t="shared" si="503"/>
        <v>0</v>
      </c>
      <c r="S786" s="74">
        <f t="shared" si="503"/>
        <v>0</v>
      </c>
      <c r="T786" s="74">
        <f t="shared" si="503"/>
        <v>0</v>
      </c>
      <c r="U786" s="74">
        <f t="shared" si="503"/>
        <v>0</v>
      </c>
      <c r="V786" s="74">
        <f t="shared" si="503"/>
        <v>0</v>
      </c>
      <c r="W786" s="74">
        <f t="shared" si="503"/>
        <v>0</v>
      </c>
      <c r="X786" s="74">
        <f t="shared" si="503"/>
        <v>0</v>
      </c>
      <c r="Y786" s="74">
        <f t="shared" si="503"/>
        <v>0</v>
      </c>
      <c r="Z786" s="74">
        <f t="shared" si="503"/>
        <v>0</v>
      </c>
    </row>
    <row r="787" hidden="1" outlineLevel="1">
      <c r="B787" s="93">
        <f t="shared" si="489"/>
        <v>17</v>
      </c>
      <c r="C787" s="40"/>
      <c r="D787" s="16" t="s">
        <v>161</v>
      </c>
      <c r="E787" s="74">
        <f t="shared" si="108"/>
        <v>0</v>
      </c>
      <c r="F787" s="74"/>
      <c r="G787" s="74">
        <f t="shared" ref="G787:Z787" si="504">-1*G259+G364</f>
        <v>0</v>
      </c>
      <c r="H787" s="74">
        <f t="shared" si="504"/>
        <v>0</v>
      </c>
      <c r="I787" s="74">
        <f t="shared" si="504"/>
        <v>0</v>
      </c>
      <c r="J787" s="74">
        <f t="shared" si="504"/>
        <v>0</v>
      </c>
      <c r="K787" s="74">
        <f t="shared" si="504"/>
        <v>0</v>
      </c>
      <c r="L787" s="74">
        <f t="shared" si="504"/>
        <v>0</v>
      </c>
      <c r="M787" s="74">
        <f t="shared" si="504"/>
        <v>0</v>
      </c>
      <c r="N787" s="74">
        <f t="shared" si="504"/>
        <v>0</v>
      </c>
      <c r="O787" s="74">
        <f t="shared" si="504"/>
        <v>0</v>
      </c>
      <c r="P787" s="74">
        <f t="shared" si="504"/>
        <v>0</v>
      </c>
      <c r="Q787" s="74">
        <f t="shared" si="504"/>
        <v>0</v>
      </c>
      <c r="R787" s="74">
        <f t="shared" si="504"/>
        <v>0</v>
      </c>
      <c r="S787" s="74">
        <f t="shared" si="504"/>
        <v>0</v>
      </c>
      <c r="T787" s="74">
        <f t="shared" si="504"/>
        <v>0</v>
      </c>
      <c r="U787" s="74">
        <f t="shared" si="504"/>
        <v>0</v>
      </c>
      <c r="V787" s="74">
        <f t="shared" si="504"/>
        <v>0</v>
      </c>
      <c r="W787" s="74">
        <f t="shared" si="504"/>
        <v>0</v>
      </c>
      <c r="X787" s="74">
        <f t="shared" si="504"/>
        <v>0</v>
      </c>
      <c r="Y787" s="74">
        <f t="shared" si="504"/>
        <v>0</v>
      </c>
      <c r="Z787" s="74">
        <f t="shared" si="504"/>
        <v>0</v>
      </c>
    </row>
    <row r="788" hidden="1" outlineLevel="1">
      <c r="B788" s="93">
        <f t="shared" si="489"/>
        <v>18</v>
      </c>
      <c r="C788" s="40"/>
      <c r="D788" s="16" t="s">
        <v>161</v>
      </c>
      <c r="E788" s="74">
        <f t="shared" si="108"/>
        <v>0</v>
      </c>
      <c r="F788" s="74"/>
      <c r="G788" s="74">
        <f t="shared" ref="G788:Z788" si="505">-1*G260+G365</f>
        <v>0</v>
      </c>
      <c r="H788" s="74">
        <f t="shared" si="505"/>
        <v>0</v>
      </c>
      <c r="I788" s="74">
        <f t="shared" si="505"/>
        <v>0</v>
      </c>
      <c r="J788" s="74">
        <f t="shared" si="505"/>
        <v>0</v>
      </c>
      <c r="K788" s="74">
        <f t="shared" si="505"/>
        <v>0</v>
      </c>
      <c r="L788" s="74">
        <f t="shared" si="505"/>
        <v>0</v>
      </c>
      <c r="M788" s="74">
        <f t="shared" si="505"/>
        <v>0</v>
      </c>
      <c r="N788" s="74">
        <f t="shared" si="505"/>
        <v>0</v>
      </c>
      <c r="O788" s="74">
        <f t="shared" si="505"/>
        <v>0</v>
      </c>
      <c r="P788" s="74">
        <f t="shared" si="505"/>
        <v>0</v>
      </c>
      <c r="Q788" s="74">
        <f t="shared" si="505"/>
        <v>0</v>
      </c>
      <c r="R788" s="74">
        <f t="shared" si="505"/>
        <v>0</v>
      </c>
      <c r="S788" s="74">
        <f t="shared" si="505"/>
        <v>0</v>
      </c>
      <c r="T788" s="74">
        <f t="shared" si="505"/>
        <v>0</v>
      </c>
      <c r="U788" s="74">
        <f t="shared" si="505"/>
        <v>0</v>
      </c>
      <c r="V788" s="74">
        <f t="shared" si="505"/>
        <v>0</v>
      </c>
      <c r="W788" s="74">
        <f t="shared" si="505"/>
        <v>0</v>
      </c>
      <c r="X788" s="74">
        <f t="shared" si="505"/>
        <v>0</v>
      </c>
      <c r="Y788" s="74">
        <f t="shared" si="505"/>
        <v>0</v>
      </c>
      <c r="Z788" s="74">
        <f t="shared" si="505"/>
        <v>0</v>
      </c>
    </row>
    <row r="789" hidden="1" outlineLevel="1">
      <c r="B789" s="93">
        <f t="shared" si="489"/>
        <v>19</v>
      </c>
      <c r="C789" s="40"/>
      <c r="D789" s="16" t="s">
        <v>161</v>
      </c>
      <c r="E789" s="74">
        <f t="shared" si="108"/>
        <v>0</v>
      </c>
      <c r="F789" s="74"/>
      <c r="G789" s="74">
        <f t="shared" ref="G789:Z789" si="506">-1*G261+G366</f>
        <v>0</v>
      </c>
      <c r="H789" s="74">
        <f t="shared" si="506"/>
        <v>0</v>
      </c>
      <c r="I789" s="74">
        <f t="shared" si="506"/>
        <v>0</v>
      </c>
      <c r="J789" s="74">
        <f t="shared" si="506"/>
        <v>0</v>
      </c>
      <c r="K789" s="74">
        <f t="shared" si="506"/>
        <v>0</v>
      </c>
      <c r="L789" s="74">
        <f t="shared" si="506"/>
        <v>0</v>
      </c>
      <c r="M789" s="74">
        <f t="shared" si="506"/>
        <v>0</v>
      </c>
      <c r="N789" s="74">
        <f t="shared" si="506"/>
        <v>0</v>
      </c>
      <c r="O789" s="74">
        <f t="shared" si="506"/>
        <v>0</v>
      </c>
      <c r="P789" s="74">
        <f t="shared" si="506"/>
        <v>0</v>
      </c>
      <c r="Q789" s="74">
        <f t="shared" si="506"/>
        <v>0</v>
      </c>
      <c r="R789" s="74">
        <f t="shared" si="506"/>
        <v>0</v>
      </c>
      <c r="S789" s="74">
        <f t="shared" si="506"/>
        <v>0</v>
      </c>
      <c r="T789" s="74">
        <f t="shared" si="506"/>
        <v>0</v>
      </c>
      <c r="U789" s="74">
        <f t="shared" si="506"/>
        <v>0</v>
      </c>
      <c r="V789" s="74">
        <f t="shared" si="506"/>
        <v>0</v>
      </c>
      <c r="W789" s="74">
        <f t="shared" si="506"/>
        <v>0</v>
      </c>
      <c r="X789" s="74">
        <f t="shared" si="506"/>
        <v>0</v>
      </c>
      <c r="Y789" s="74">
        <f t="shared" si="506"/>
        <v>0</v>
      </c>
      <c r="Z789" s="74">
        <f t="shared" si="506"/>
        <v>0</v>
      </c>
    </row>
    <row r="790" hidden="1" outlineLevel="1">
      <c r="B790" s="93">
        <f t="shared" si="489"/>
        <v>20</v>
      </c>
      <c r="C790" s="40"/>
      <c r="D790" s="16" t="s">
        <v>161</v>
      </c>
      <c r="E790" s="74">
        <f t="shared" si="108"/>
        <v>0</v>
      </c>
      <c r="F790" s="74"/>
      <c r="G790" s="74">
        <f t="shared" ref="G790:Z790" si="507">-1*G262+G367</f>
        <v>0</v>
      </c>
      <c r="H790" s="74">
        <f t="shared" si="507"/>
        <v>0</v>
      </c>
      <c r="I790" s="74">
        <f t="shared" si="507"/>
        <v>0</v>
      </c>
      <c r="J790" s="74">
        <f t="shared" si="507"/>
        <v>0</v>
      </c>
      <c r="K790" s="74">
        <f t="shared" si="507"/>
        <v>0</v>
      </c>
      <c r="L790" s="74">
        <f t="shared" si="507"/>
        <v>0</v>
      </c>
      <c r="M790" s="74">
        <f t="shared" si="507"/>
        <v>0</v>
      </c>
      <c r="N790" s="74">
        <f t="shared" si="507"/>
        <v>0</v>
      </c>
      <c r="O790" s="74">
        <f t="shared" si="507"/>
        <v>0</v>
      </c>
      <c r="P790" s="74">
        <f t="shared" si="507"/>
        <v>0</v>
      </c>
      <c r="Q790" s="74">
        <f t="shared" si="507"/>
        <v>0</v>
      </c>
      <c r="R790" s="74">
        <f t="shared" si="507"/>
        <v>0</v>
      </c>
      <c r="S790" s="74">
        <f t="shared" si="507"/>
        <v>0</v>
      </c>
      <c r="T790" s="74">
        <f t="shared" si="507"/>
        <v>0</v>
      </c>
      <c r="U790" s="74">
        <f t="shared" si="507"/>
        <v>0</v>
      </c>
      <c r="V790" s="74">
        <f t="shared" si="507"/>
        <v>0</v>
      </c>
      <c r="W790" s="74">
        <f t="shared" si="507"/>
        <v>0</v>
      </c>
      <c r="X790" s="74">
        <f t="shared" si="507"/>
        <v>0</v>
      </c>
      <c r="Y790" s="74">
        <f t="shared" si="507"/>
        <v>0</v>
      </c>
      <c r="Z790" s="74">
        <f t="shared" si="507"/>
        <v>0</v>
      </c>
    </row>
    <row r="791" collapsed="1">
      <c r="B791" s="16" t="s">
        <v>238</v>
      </c>
      <c r="C791" s="96">
        <f t="shared" ref="C791:C811" si="509">iferror(E539/E497,0)</f>
        <v>3.0672</v>
      </c>
      <c r="D791" s="16" t="s">
        <v>177</v>
      </c>
      <c r="E791" s="97">
        <f t="shared" si="108"/>
        <v>0.2349770344</v>
      </c>
      <c r="F791" s="74"/>
      <c r="G791" s="90" t="str">
        <f t="shared" ref="G791:Z791" si="508">IFERROR(XIRR(INDIRECT(""&amp;ADDRESS(ROW($D770),COLUMN($G770)+MATCH(INDEX($G770:$Z770,MATCH(TRUE,INDEX($G770:$Z770&lt;&gt;0,),0)),$G770:$Z770,0)-1,4)&amp;":"&amp;ADDRESS(ROW($G770),COLUMN($G770)+MATCH(F$5,$G$5:$Z$5,1),4)),INDIRECT(""&amp;ADDRESS(ROW(F$5),COLUMN($G770)+MATCH(INDEX($G770:$Z770,MATCH(TRUE,INDEX($G770:$Z770&lt;&gt;0,),0)),$G770:$Z770,0)-1,4) &amp; ":" &amp; ADDRESS(ROW($G$5),COLUMN($G770)+MATCH(F$5,$G$5:$Z$5,1),4))),"na")</f>
        <v>na</v>
      </c>
      <c r="H791" s="90" t="str">
        <f t="shared" si="508"/>
        <v>na</v>
      </c>
      <c r="I791" s="90" t="str">
        <f t="shared" si="508"/>
        <v>na</v>
      </c>
      <c r="J791" s="90" t="str">
        <f t="shared" si="508"/>
        <v>na</v>
      </c>
      <c r="K791" s="90" t="str">
        <f t="shared" si="508"/>
        <v>na</v>
      </c>
      <c r="L791" s="90" t="str">
        <f t="shared" si="508"/>
        <v>na</v>
      </c>
      <c r="M791" s="90">
        <f t="shared" si="508"/>
        <v>-0.4265915425</v>
      </c>
      <c r="N791" s="90">
        <f t="shared" si="508"/>
        <v>-0.2073014944</v>
      </c>
      <c r="O791" s="90">
        <f t="shared" si="508"/>
        <v>-0.01544258852</v>
      </c>
      <c r="P791" s="90">
        <f t="shared" si="508"/>
        <v>0.09825335138</v>
      </c>
      <c r="Q791" s="90">
        <f t="shared" si="508"/>
        <v>0.172564237</v>
      </c>
      <c r="R791" s="90">
        <f t="shared" si="508"/>
        <v>0.2118097902</v>
      </c>
      <c r="S791" s="90">
        <f t="shared" si="508"/>
        <v>0.2288010203</v>
      </c>
      <c r="T791" s="90">
        <f t="shared" si="508"/>
        <v>0.2349770344</v>
      </c>
      <c r="U791" s="90">
        <f t="shared" si="508"/>
        <v>0.2349770344</v>
      </c>
      <c r="V791" s="90">
        <f t="shared" si="508"/>
        <v>0.2349770344</v>
      </c>
      <c r="W791" s="90">
        <f t="shared" si="508"/>
        <v>0.2349770344</v>
      </c>
      <c r="X791" s="90">
        <f t="shared" si="508"/>
        <v>0.2349770344</v>
      </c>
      <c r="Y791" s="90">
        <f t="shared" si="508"/>
        <v>0.2349770344</v>
      </c>
      <c r="Z791" s="90">
        <f t="shared" si="508"/>
        <v>0.2349770344</v>
      </c>
    </row>
    <row r="792" hidden="1" outlineLevel="1">
      <c r="B792" s="93">
        <f>G$4</f>
        <v>1</v>
      </c>
      <c r="C792" s="96">
        <f t="shared" si="509"/>
        <v>3.0672</v>
      </c>
      <c r="D792" s="16" t="s">
        <v>177</v>
      </c>
      <c r="E792" s="97">
        <f t="shared" si="108"/>
        <v>0.2349761684</v>
      </c>
      <c r="F792" s="74"/>
      <c r="G792" s="90" t="str">
        <f t="shared" ref="G792:Z792" si="510">IFERROR(XIRR(INDIRECT(""&amp;ADDRESS(ROW($D771),COLUMN($G771)+MATCH(INDEX($G771:$Z771,MATCH(TRUE,INDEX($G771:$Z771&lt;&gt;0,),0)),$G771:$Z771,0)-1,4)&amp;":"&amp;ADDRESS(ROW($G771),COLUMN($G771)+MATCH(F$5,$G$5:$Z$5,1),4)),INDIRECT(""&amp;ADDRESS(ROW(F$5),COLUMN($G771)+MATCH(INDEX($G771:$Z771,MATCH(TRUE,INDEX($G771:$Z771&lt;&gt;0,),0)),$G771:$Z771,0)-1,4) &amp; ":" &amp; ADDRESS(ROW($G$5),COLUMN($G771)+MATCH(F$5,$G$5:$Z$5,1),4))),"na")</f>
        <v>na</v>
      </c>
      <c r="H792" s="90" t="str">
        <f t="shared" si="510"/>
        <v>na</v>
      </c>
      <c r="I792" s="90" t="str">
        <f t="shared" si="510"/>
        <v>na</v>
      </c>
      <c r="J792" s="90" t="str">
        <f t="shared" si="510"/>
        <v>na</v>
      </c>
      <c r="K792" s="90" t="str">
        <f t="shared" si="510"/>
        <v>na</v>
      </c>
      <c r="L792" s="90">
        <f t="shared" si="510"/>
        <v>-0.3721146823</v>
      </c>
      <c r="M792" s="90">
        <f t="shared" si="510"/>
        <v>-0.1802627203</v>
      </c>
      <c r="N792" s="90">
        <f t="shared" si="510"/>
        <v>-0.1081610494</v>
      </c>
      <c r="O792" s="90">
        <f t="shared" si="510"/>
        <v>0.1000123497</v>
      </c>
      <c r="P792" s="90">
        <f t="shared" si="510"/>
        <v>0.1699066315</v>
      </c>
      <c r="Q792" s="90">
        <f t="shared" si="510"/>
        <v>0.2098585199</v>
      </c>
      <c r="R792" s="90">
        <f t="shared" si="510"/>
        <v>0.2349761684</v>
      </c>
      <c r="S792" s="90">
        <f t="shared" si="510"/>
        <v>0.2349761684</v>
      </c>
      <c r="T792" s="90">
        <f t="shared" si="510"/>
        <v>0.2349761684</v>
      </c>
      <c r="U792" s="90">
        <f t="shared" si="510"/>
        <v>0.2349761684</v>
      </c>
      <c r="V792" s="90">
        <f t="shared" si="510"/>
        <v>0.2349761684</v>
      </c>
      <c r="W792" s="90">
        <f t="shared" si="510"/>
        <v>0.2349761684</v>
      </c>
      <c r="X792" s="90">
        <f t="shared" si="510"/>
        <v>0.2349761684</v>
      </c>
      <c r="Y792" s="90">
        <f t="shared" si="510"/>
        <v>0.2349761684</v>
      </c>
      <c r="Z792" s="90">
        <f t="shared" si="510"/>
        <v>0.2349761684</v>
      </c>
    </row>
    <row r="793" hidden="1" outlineLevel="1">
      <c r="B793" s="93">
        <f t="shared" ref="B793:B811" si="512">B792+1</f>
        <v>2</v>
      </c>
      <c r="C793" s="96">
        <f t="shared" si="509"/>
        <v>3.0672</v>
      </c>
      <c r="D793" s="16" t="s">
        <v>177</v>
      </c>
      <c r="E793" s="97">
        <f t="shared" si="108"/>
        <v>0.2349783679</v>
      </c>
      <c r="F793" s="74"/>
      <c r="G793" s="90" t="str">
        <f t="shared" ref="G793:Z793" si="511">IFERROR(XIRR(INDIRECT(""&amp;ADDRESS(ROW($D772),COLUMN($G772)+MATCH(INDEX($G772:$Z772,MATCH(TRUE,INDEX($G772:$Z772&lt;&gt;0,),0)),$G772:$Z772,0)-1,4)&amp;":"&amp;ADDRESS(ROW($G772),COLUMN($G772)+MATCH(F$5,$G$5:$Z$5,1),4)),INDIRECT(""&amp;ADDRESS(ROW(F$5),COLUMN($G772)+MATCH(INDEX($G772:$Z772,MATCH(TRUE,INDEX($G772:$Z772&lt;&gt;0,),0)),$G772:$Z772,0)-1,4) &amp; ":" &amp; ADDRESS(ROW($G$5),COLUMN($G772)+MATCH(F$5,$G$5:$Z$5,1),4))),"na")</f>
        <v>na</v>
      </c>
      <c r="H793" s="90" t="str">
        <f t="shared" si="511"/>
        <v>na</v>
      </c>
      <c r="I793" s="90" t="str">
        <f t="shared" si="511"/>
        <v>na</v>
      </c>
      <c r="J793" s="90" t="str">
        <f t="shared" si="511"/>
        <v>na</v>
      </c>
      <c r="K793" s="90" t="str">
        <f t="shared" si="511"/>
        <v>na</v>
      </c>
      <c r="L793" s="90" t="str">
        <f t="shared" si="511"/>
        <v>na</v>
      </c>
      <c r="M793" s="90">
        <f t="shared" si="511"/>
        <v>-0.3718876066</v>
      </c>
      <c r="N793" s="90">
        <f t="shared" si="511"/>
        <v>-0.1802390326</v>
      </c>
      <c r="O793" s="90">
        <f t="shared" si="511"/>
        <v>-0.1081562245</v>
      </c>
      <c r="P793" s="90">
        <f t="shared" si="511"/>
        <v>0.100019582</v>
      </c>
      <c r="Q793" s="90">
        <f t="shared" si="511"/>
        <v>0.1698978089</v>
      </c>
      <c r="R793" s="90">
        <f t="shared" si="511"/>
        <v>0.2098563623</v>
      </c>
      <c r="S793" s="90">
        <f t="shared" si="511"/>
        <v>0.2349783679</v>
      </c>
      <c r="T793" s="90">
        <f t="shared" si="511"/>
        <v>0.2349783679</v>
      </c>
      <c r="U793" s="90">
        <f t="shared" si="511"/>
        <v>0.2349783679</v>
      </c>
      <c r="V793" s="90">
        <f t="shared" si="511"/>
        <v>0.2349783679</v>
      </c>
      <c r="W793" s="90">
        <f t="shared" si="511"/>
        <v>0.2349783679</v>
      </c>
      <c r="X793" s="90">
        <f t="shared" si="511"/>
        <v>0.2349783679</v>
      </c>
      <c r="Y793" s="90">
        <f t="shared" si="511"/>
        <v>0.2349783679</v>
      </c>
      <c r="Z793" s="90">
        <f t="shared" si="511"/>
        <v>0.2349783679</v>
      </c>
    </row>
    <row r="794" hidden="1" outlineLevel="1">
      <c r="B794" s="93">
        <f t="shared" si="512"/>
        <v>3</v>
      </c>
      <c r="C794" s="96">
        <f t="shared" si="509"/>
        <v>3.0672</v>
      </c>
      <c r="D794" s="16" t="s">
        <v>177</v>
      </c>
      <c r="E794" s="97">
        <f t="shared" si="108"/>
        <v>0.2349767087</v>
      </c>
      <c r="F794" s="74"/>
      <c r="G794" s="90" t="str">
        <f t="shared" ref="G794:Z794" si="513">IFERROR(XIRR(INDIRECT(""&amp;ADDRESS(ROW($D773),COLUMN($G773)+MATCH(INDEX($G773:$Z773,MATCH(TRUE,INDEX($G773:$Z773&lt;&gt;0,),0)),$G773:$Z773,0)-1,4)&amp;":"&amp;ADDRESS(ROW($G773),COLUMN($G773)+MATCH(F$5,$G$5:$Z$5,1),4)),INDIRECT(""&amp;ADDRESS(ROW(F$5),COLUMN($G773)+MATCH(INDEX($G773:$Z773,MATCH(TRUE,INDEX($G773:$Z773&lt;&gt;0,),0)),$G773:$Z773,0)-1,4) &amp; ":" &amp; ADDRESS(ROW($G$5),COLUMN($G773)+MATCH(F$5,$G$5:$Z$5,1),4))),"na")</f>
        <v>na</v>
      </c>
      <c r="H794" s="90" t="str">
        <f t="shared" si="513"/>
        <v>na</v>
      </c>
      <c r="I794" s="90" t="str">
        <f t="shared" si="513"/>
        <v>na</v>
      </c>
      <c r="J794" s="90" t="str">
        <f t="shared" si="513"/>
        <v>na</v>
      </c>
      <c r="K794" s="90" t="str">
        <f t="shared" si="513"/>
        <v>na</v>
      </c>
      <c r="L794" s="90" t="str">
        <f t="shared" si="513"/>
        <v>na</v>
      </c>
      <c r="M794" s="90" t="str">
        <f t="shared" si="513"/>
        <v>na</v>
      </c>
      <c r="N794" s="90">
        <f t="shared" si="513"/>
        <v>-0.3719303103</v>
      </c>
      <c r="O794" s="90">
        <f t="shared" si="513"/>
        <v>-0.1802596794</v>
      </c>
      <c r="P794" s="90">
        <f t="shared" si="513"/>
        <v>-0.1081685367</v>
      </c>
      <c r="Q794" s="90">
        <f t="shared" si="513"/>
        <v>0.1000010548</v>
      </c>
      <c r="R794" s="90">
        <f t="shared" si="513"/>
        <v>0.1698855879</v>
      </c>
      <c r="S794" s="90">
        <f t="shared" si="513"/>
        <v>0.2098504101</v>
      </c>
      <c r="T794" s="90">
        <f t="shared" si="513"/>
        <v>0.2349767087</v>
      </c>
      <c r="U794" s="90">
        <f t="shared" si="513"/>
        <v>0.2349767087</v>
      </c>
      <c r="V794" s="90">
        <f t="shared" si="513"/>
        <v>0.2349767087</v>
      </c>
      <c r="W794" s="90">
        <f t="shared" si="513"/>
        <v>0.2349767087</v>
      </c>
      <c r="X794" s="90">
        <f t="shared" si="513"/>
        <v>0.2349767087</v>
      </c>
      <c r="Y794" s="90">
        <f t="shared" si="513"/>
        <v>0.2349767087</v>
      </c>
      <c r="Z794" s="90">
        <f t="shared" si="513"/>
        <v>0.2349767087</v>
      </c>
    </row>
    <row r="795" hidden="1" outlineLevel="1">
      <c r="B795" s="93">
        <f t="shared" si="512"/>
        <v>4</v>
      </c>
      <c r="C795" s="96">
        <f t="shared" si="509"/>
        <v>0</v>
      </c>
      <c r="D795" s="16" t="s">
        <v>177</v>
      </c>
      <c r="E795" s="97" t="str">
        <f t="shared" si="108"/>
        <v>na</v>
      </c>
      <c r="F795" s="74"/>
      <c r="G795" s="90" t="str">
        <f t="shared" ref="G795:Z795" si="514">IFERROR(XIRR(INDIRECT(""&amp;ADDRESS(ROW($D774),COLUMN($G774)+MATCH(INDEX($G774:$Z774,MATCH(TRUE,INDEX($G774:$Z774&lt;&gt;0,),0)),$G774:$Z774,0)-1,4)&amp;":"&amp;ADDRESS(ROW($G774),COLUMN($G774)+MATCH(F$5,$G$5:$Z$5,1),4)),INDIRECT(""&amp;ADDRESS(ROW(F$5),COLUMN($G774)+MATCH(INDEX($G774:$Z774,MATCH(TRUE,INDEX($G774:$Z774&lt;&gt;0,),0)),$G774:$Z774,0)-1,4) &amp; ":" &amp; ADDRESS(ROW($G$5),COLUMN($G774)+MATCH(F$5,$G$5:$Z$5,1),4))),"na")</f>
        <v>na</v>
      </c>
      <c r="H795" s="90" t="str">
        <f t="shared" si="514"/>
        <v>na</v>
      </c>
      <c r="I795" s="90" t="str">
        <f t="shared" si="514"/>
        <v>na</v>
      </c>
      <c r="J795" s="90" t="str">
        <f t="shared" si="514"/>
        <v>na</v>
      </c>
      <c r="K795" s="90" t="str">
        <f t="shared" si="514"/>
        <v>na</v>
      </c>
      <c r="L795" s="90" t="str">
        <f t="shared" si="514"/>
        <v>na</v>
      </c>
      <c r="M795" s="90" t="str">
        <f t="shared" si="514"/>
        <v>na</v>
      </c>
      <c r="N795" s="90" t="str">
        <f t="shared" si="514"/>
        <v>na</v>
      </c>
      <c r="O795" s="90" t="str">
        <f t="shared" si="514"/>
        <v>na</v>
      </c>
      <c r="P795" s="90" t="str">
        <f t="shared" si="514"/>
        <v>na</v>
      </c>
      <c r="Q795" s="90" t="str">
        <f t="shared" si="514"/>
        <v>na</v>
      </c>
      <c r="R795" s="90" t="str">
        <f t="shared" si="514"/>
        <v>na</v>
      </c>
      <c r="S795" s="90" t="str">
        <f t="shared" si="514"/>
        <v>na</v>
      </c>
      <c r="T795" s="90" t="str">
        <f t="shared" si="514"/>
        <v>na</v>
      </c>
      <c r="U795" s="90" t="str">
        <f t="shared" si="514"/>
        <v>na</v>
      </c>
      <c r="V795" s="90" t="str">
        <f t="shared" si="514"/>
        <v>na</v>
      </c>
      <c r="W795" s="90" t="str">
        <f t="shared" si="514"/>
        <v>na</v>
      </c>
      <c r="X795" s="90" t="str">
        <f t="shared" si="514"/>
        <v>na</v>
      </c>
      <c r="Y795" s="90" t="str">
        <f t="shared" si="514"/>
        <v>na</v>
      </c>
      <c r="Z795" s="90" t="str">
        <f t="shared" si="514"/>
        <v>na</v>
      </c>
    </row>
    <row r="796" hidden="1" outlineLevel="1">
      <c r="B796" s="93">
        <f t="shared" si="512"/>
        <v>5</v>
      </c>
      <c r="C796" s="96">
        <f t="shared" si="509"/>
        <v>0</v>
      </c>
      <c r="D796" s="16" t="s">
        <v>177</v>
      </c>
      <c r="E796" s="97" t="str">
        <f t="shared" si="108"/>
        <v>na</v>
      </c>
      <c r="F796" s="74"/>
      <c r="G796" s="90" t="str">
        <f t="shared" ref="G796:Z796" si="515">IFERROR(XIRR(INDIRECT(""&amp;ADDRESS(ROW($D775),COLUMN($G775)+MATCH(INDEX($G775:$Z775,MATCH(TRUE,INDEX($G775:$Z775&lt;&gt;0,),0)),$G775:$Z775,0)-1,4)&amp;":"&amp;ADDRESS(ROW($G775),COLUMN($G775)+MATCH(F$5,$G$5:$Z$5,1),4)),INDIRECT(""&amp;ADDRESS(ROW(F$5),COLUMN($G775)+MATCH(INDEX($G775:$Z775,MATCH(TRUE,INDEX($G775:$Z775&lt;&gt;0,),0)),$G775:$Z775,0)-1,4) &amp; ":" &amp; ADDRESS(ROW($G$5),COLUMN($G775)+MATCH(F$5,$G$5:$Z$5,1),4))),"na")</f>
        <v>na</v>
      </c>
      <c r="H796" s="90" t="str">
        <f t="shared" si="515"/>
        <v>na</v>
      </c>
      <c r="I796" s="90" t="str">
        <f t="shared" si="515"/>
        <v>na</v>
      </c>
      <c r="J796" s="90" t="str">
        <f t="shared" si="515"/>
        <v>na</v>
      </c>
      <c r="K796" s="90" t="str">
        <f t="shared" si="515"/>
        <v>na</v>
      </c>
      <c r="L796" s="90" t="str">
        <f t="shared" si="515"/>
        <v>na</v>
      </c>
      <c r="M796" s="90" t="str">
        <f t="shared" si="515"/>
        <v>na</v>
      </c>
      <c r="N796" s="90" t="str">
        <f t="shared" si="515"/>
        <v>na</v>
      </c>
      <c r="O796" s="90" t="str">
        <f t="shared" si="515"/>
        <v>na</v>
      </c>
      <c r="P796" s="90" t="str">
        <f t="shared" si="515"/>
        <v>na</v>
      </c>
      <c r="Q796" s="90" t="str">
        <f t="shared" si="515"/>
        <v>na</v>
      </c>
      <c r="R796" s="90" t="str">
        <f t="shared" si="515"/>
        <v>na</v>
      </c>
      <c r="S796" s="90" t="str">
        <f t="shared" si="515"/>
        <v>na</v>
      </c>
      <c r="T796" s="90" t="str">
        <f t="shared" si="515"/>
        <v>na</v>
      </c>
      <c r="U796" s="90" t="str">
        <f t="shared" si="515"/>
        <v>na</v>
      </c>
      <c r="V796" s="90" t="str">
        <f t="shared" si="515"/>
        <v>na</v>
      </c>
      <c r="W796" s="90" t="str">
        <f t="shared" si="515"/>
        <v>na</v>
      </c>
      <c r="X796" s="90" t="str">
        <f t="shared" si="515"/>
        <v>na</v>
      </c>
      <c r="Y796" s="90" t="str">
        <f t="shared" si="515"/>
        <v>na</v>
      </c>
      <c r="Z796" s="90" t="str">
        <f t="shared" si="515"/>
        <v>na</v>
      </c>
    </row>
    <row r="797" hidden="1" outlineLevel="1">
      <c r="B797" s="93">
        <f t="shared" si="512"/>
        <v>6</v>
      </c>
      <c r="C797" s="96">
        <f t="shared" si="509"/>
        <v>0</v>
      </c>
      <c r="D797" s="16" t="s">
        <v>177</v>
      </c>
      <c r="E797" s="97" t="str">
        <f t="shared" si="108"/>
        <v>na</v>
      </c>
      <c r="F797" s="74"/>
      <c r="G797" s="90" t="str">
        <f t="shared" ref="G797:Z797" si="516">IFERROR(XIRR(INDIRECT(""&amp;ADDRESS(ROW($D776),COLUMN($G776)+MATCH(INDEX($G776:$Z776,MATCH(TRUE,INDEX($G776:$Z776&lt;&gt;0,),0)),$G776:$Z776,0)-1,4)&amp;":"&amp;ADDRESS(ROW($G776),COLUMN($G776)+MATCH(F$5,$G$5:$Z$5,1),4)),INDIRECT(""&amp;ADDRESS(ROW(F$5),COLUMN($G776)+MATCH(INDEX($G776:$Z776,MATCH(TRUE,INDEX($G776:$Z776&lt;&gt;0,),0)),$G776:$Z776,0)-1,4) &amp; ":" &amp; ADDRESS(ROW($G$5),COLUMN($G776)+MATCH(F$5,$G$5:$Z$5,1),4))),"na")</f>
        <v>na</v>
      </c>
      <c r="H797" s="90" t="str">
        <f t="shared" si="516"/>
        <v>na</v>
      </c>
      <c r="I797" s="90" t="str">
        <f t="shared" si="516"/>
        <v>na</v>
      </c>
      <c r="J797" s="90" t="str">
        <f t="shared" si="516"/>
        <v>na</v>
      </c>
      <c r="K797" s="90" t="str">
        <f t="shared" si="516"/>
        <v>na</v>
      </c>
      <c r="L797" s="90" t="str">
        <f t="shared" si="516"/>
        <v>na</v>
      </c>
      <c r="M797" s="90" t="str">
        <f t="shared" si="516"/>
        <v>na</v>
      </c>
      <c r="N797" s="90" t="str">
        <f t="shared" si="516"/>
        <v>na</v>
      </c>
      <c r="O797" s="90" t="str">
        <f t="shared" si="516"/>
        <v>na</v>
      </c>
      <c r="P797" s="90" t="str">
        <f t="shared" si="516"/>
        <v>na</v>
      </c>
      <c r="Q797" s="90" t="str">
        <f t="shared" si="516"/>
        <v>na</v>
      </c>
      <c r="R797" s="90" t="str">
        <f t="shared" si="516"/>
        <v>na</v>
      </c>
      <c r="S797" s="90" t="str">
        <f t="shared" si="516"/>
        <v>na</v>
      </c>
      <c r="T797" s="90" t="str">
        <f t="shared" si="516"/>
        <v>na</v>
      </c>
      <c r="U797" s="90" t="str">
        <f t="shared" si="516"/>
        <v>na</v>
      </c>
      <c r="V797" s="90" t="str">
        <f t="shared" si="516"/>
        <v>na</v>
      </c>
      <c r="W797" s="90" t="str">
        <f t="shared" si="516"/>
        <v>na</v>
      </c>
      <c r="X797" s="90" t="str">
        <f t="shared" si="516"/>
        <v>na</v>
      </c>
      <c r="Y797" s="90" t="str">
        <f t="shared" si="516"/>
        <v>na</v>
      </c>
      <c r="Z797" s="90" t="str">
        <f t="shared" si="516"/>
        <v>na</v>
      </c>
    </row>
    <row r="798" hidden="1" outlineLevel="1">
      <c r="B798" s="93">
        <f t="shared" si="512"/>
        <v>7</v>
      </c>
      <c r="C798" s="96">
        <f t="shared" si="509"/>
        <v>0</v>
      </c>
      <c r="D798" s="16" t="s">
        <v>177</v>
      </c>
      <c r="E798" s="97" t="str">
        <f t="shared" si="108"/>
        <v>na</v>
      </c>
      <c r="F798" s="74"/>
      <c r="G798" s="90" t="str">
        <f t="shared" ref="G798:Z798" si="517">IFERROR(XIRR(INDIRECT(""&amp;ADDRESS(ROW($D777),COLUMN($G777)+MATCH(INDEX($G777:$Z777,MATCH(TRUE,INDEX($G777:$Z777&lt;&gt;0,),0)),$G777:$Z777,0)-1,4)&amp;":"&amp;ADDRESS(ROW($G777),COLUMN($G777)+MATCH(F$5,$G$5:$Z$5,1),4)),INDIRECT(""&amp;ADDRESS(ROW(F$5),COLUMN($G777)+MATCH(INDEX($G777:$Z777,MATCH(TRUE,INDEX($G777:$Z777&lt;&gt;0,),0)),$G777:$Z777,0)-1,4) &amp; ":" &amp; ADDRESS(ROW($G$5),COLUMN($G777)+MATCH(F$5,$G$5:$Z$5,1),4))),"na")</f>
        <v>na</v>
      </c>
      <c r="H798" s="90" t="str">
        <f t="shared" si="517"/>
        <v>na</v>
      </c>
      <c r="I798" s="90" t="str">
        <f t="shared" si="517"/>
        <v>na</v>
      </c>
      <c r="J798" s="90" t="str">
        <f t="shared" si="517"/>
        <v>na</v>
      </c>
      <c r="K798" s="90" t="str">
        <f t="shared" si="517"/>
        <v>na</v>
      </c>
      <c r="L798" s="90" t="str">
        <f t="shared" si="517"/>
        <v>na</v>
      </c>
      <c r="M798" s="90" t="str">
        <f t="shared" si="517"/>
        <v>na</v>
      </c>
      <c r="N798" s="90" t="str">
        <f t="shared" si="517"/>
        <v>na</v>
      </c>
      <c r="O798" s="90" t="str">
        <f t="shared" si="517"/>
        <v>na</v>
      </c>
      <c r="P798" s="90" t="str">
        <f t="shared" si="517"/>
        <v>na</v>
      </c>
      <c r="Q798" s="90" t="str">
        <f t="shared" si="517"/>
        <v>na</v>
      </c>
      <c r="R798" s="90" t="str">
        <f t="shared" si="517"/>
        <v>na</v>
      </c>
      <c r="S798" s="90" t="str">
        <f t="shared" si="517"/>
        <v>na</v>
      </c>
      <c r="T798" s="90" t="str">
        <f t="shared" si="517"/>
        <v>na</v>
      </c>
      <c r="U798" s="90" t="str">
        <f t="shared" si="517"/>
        <v>na</v>
      </c>
      <c r="V798" s="90" t="str">
        <f t="shared" si="517"/>
        <v>na</v>
      </c>
      <c r="W798" s="90" t="str">
        <f t="shared" si="517"/>
        <v>na</v>
      </c>
      <c r="X798" s="90" t="str">
        <f t="shared" si="517"/>
        <v>na</v>
      </c>
      <c r="Y798" s="90" t="str">
        <f t="shared" si="517"/>
        <v>na</v>
      </c>
      <c r="Z798" s="90" t="str">
        <f t="shared" si="517"/>
        <v>na</v>
      </c>
    </row>
    <row r="799" hidden="1" outlineLevel="1">
      <c r="B799" s="93">
        <f t="shared" si="512"/>
        <v>8</v>
      </c>
      <c r="C799" s="96">
        <f t="shared" si="509"/>
        <v>0</v>
      </c>
      <c r="D799" s="16" t="s">
        <v>177</v>
      </c>
      <c r="E799" s="97" t="str">
        <f t="shared" si="108"/>
        <v>na</v>
      </c>
      <c r="F799" s="74"/>
      <c r="G799" s="90" t="str">
        <f t="shared" ref="G799:Z799" si="518">IFERROR(XIRR(INDIRECT(""&amp;ADDRESS(ROW($D778),COLUMN($G778)+MATCH(INDEX($G778:$Z778,MATCH(TRUE,INDEX($G778:$Z778&lt;&gt;0,),0)),$G778:$Z778,0)-1,4)&amp;":"&amp;ADDRESS(ROW($G778),COLUMN($G778)+MATCH(F$5,$G$5:$Z$5,1),4)),INDIRECT(""&amp;ADDRESS(ROW(F$5),COLUMN($G778)+MATCH(INDEX($G778:$Z778,MATCH(TRUE,INDEX($G778:$Z778&lt;&gt;0,),0)),$G778:$Z778,0)-1,4) &amp; ":" &amp; ADDRESS(ROW($G$5),COLUMN($G778)+MATCH(F$5,$G$5:$Z$5,1),4))),"na")</f>
        <v>na</v>
      </c>
      <c r="H799" s="90" t="str">
        <f t="shared" si="518"/>
        <v>na</v>
      </c>
      <c r="I799" s="90" t="str">
        <f t="shared" si="518"/>
        <v>na</v>
      </c>
      <c r="J799" s="90" t="str">
        <f t="shared" si="518"/>
        <v>na</v>
      </c>
      <c r="K799" s="90" t="str">
        <f t="shared" si="518"/>
        <v>na</v>
      </c>
      <c r="L799" s="90" t="str">
        <f t="shared" si="518"/>
        <v>na</v>
      </c>
      <c r="M799" s="90" t="str">
        <f t="shared" si="518"/>
        <v>na</v>
      </c>
      <c r="N799" s="90" t="str">
        <f t="shared" si="518"/>
        <v>na</v>
      </c>
      <c r="O799" s="90" t="str">
        <f t="shared" si="518"/>
        <v>na</v>
      </c>
      <c r="P799" s="90" t="str">
        <f t="shared" si="518"/>
        <v>na</v>
      </c>
      <c r="Q799" s="90" t="str">
        <f t="shared" si="518"/>
        <v>na</v>
      </c>
      <c r="R799" s="90" t="str">
        <f t="shared" si="518"/>
        <v>na</v>
      </c>
      <c r="S799" s="90" t="str">
        <f t="shared" si="518"/>
        <v>na</v>
      </c>
      <c r="T799" s="90" t="str">
        <f t="shared" si="518"/>
        <v>na</v>
      </c>
      <c r="U799" s="90" t="str">
        <f t="shared" si="518"/>
        <v>na</v>
      </c>
      <c r="V799" s="90" t="str">
        <f t="shared" si="518"/>
        <v>na</v>
      </c>
      <c r="W799" s="90" t="str">
        <f t="shared" si="518"/>
        <v>na</v>
      </c>
      <c r="X799" s="90" t="str">
        <f t="shared" si="518"/>
        <v>na</v>
      </c>
      <c r="Y799" s="90" t="str">
        <f t="shared" si="518"/>
        <v>na</v>
      </c>
      <c r="Z799" s="90" t="str">
        <f t="shared" si="518"/>
        <v>na</v>
      </c>
    </row>
    <row r="800" hidden="1" outlineLevel="1">
      <c r="B800" s="93">
        <f t="shared" si="512"/>
        <v>9</v>
      </c>
      <c r="C800" s="96">
        <f t="shared" si="509"/>
        <v>0</v>
      </c>
      <c r="D800" s="16" t="s">
        <v>177</v>
      </c>
      <c r="E800" s="97" t="str">
        <f t="shared" si="108"/>
        <v>na</v>
      </c>
      <c r="F800" s="74"/>
      <c r="G800" s="90" t="str">
        <f t="shared" ref="G800:Z800" si="519">IFERROR(XIRR(INDIRECT(""&amp;ADDRESS(ROW($D779),COLUMN($G779)+MATCH(INDEX($G779:$Z779,MATCH(TRUE,INDEX($G779:$Z779&lt;&gt;0,),0)),$G779:$Z779,0)-1,4)&amp;":"&amp;ADDRESS(ROW($G779),COLUMN($G779)+MATCH(F$5,$G$5:$Z$5,1),4)),INDIRECT(""&amp;ADDRESS(ROW(F$5),COLUMN($G779)+MATCH(INDEX($G779:$Z779,MATCH(TRUE,INDEX($G779:$Z779&lt;&gt;0,),0)),$G779:$Z779,0)-1,4) &amp; ":" &amp; ADDRESS(ROW($G$5),COLUMN($G779)+MATCH(F$5,$G$5:$Z$5,1),4))),"na")</f>
        <v>na</v>
      </c>
      <c r="H800" s="90" t="str">
        <f t="shared" si="519"/>
        <v>na</v>
      </c>
      <c r="I800" s="90" t="str">
        <f t="shared" si="519"/>
        <v>na</v>
      </c>
      <c r="J800" s="90" t="str">
        <f t="shared" si="519"/>
        <v>na</v>
      </c>
      <c r="K800" s="90" t="str">
        <f t="shared" si="519"/>
        <v>na</v>
      </c>
      <c r="L800" s="90" t="str">
        <f t="shared" si="519"/>
        <v>na</v>
      </c>
      <c r="M800" s="90" t="str">
        <f t="shared" si="519"/>
        <v>na</v>
      </c>
      <c r="N800" s="90" t="str">
        <f t="shared" si="519"/>
        <v>na</v>
      </c>
      <c r="O800" s="90" t="str">
        <f t="shared" si="519"/>
        <v>na</v>
      </c>
      <c r="P800" s="90" t="str">
        <f t="shared" si="519"/>
        <v>na</v>
      </c>
      <c r="Q800" s="90" t="str">
        <f t="shared" si="519"/>
        <v>na</v>
      </c>
      <c r="R800" s="90" t="str">
        <f t="shared" si="519"/>
        <v>na</v>
      </c>
      <c r="S800" s="90" t="str">
        <f t="shared" si="519"/>
        <v>na</v>
      </c>
      <c r="T800" s="90" t="str">
        <f t="shared" si="519"/>
        <v>na</v>
      </c>
      <c r="U800" s="90" t="str">
        <f t="shared" si="519"/>
        <v>na</v>
      </c>
      <c r="V800" s="90" t="str">
        <f t="shared" si="519"/>
        <v>na</v>
      </c>
      <c r="W800" s="90" t="str">
        <f t="shared" si="519"/>
        <v>na</v>
      </c>
      <c r="X800" s="90" t="str">
        <f t="shared" si="519"/>
        <v>na</v>
      </c>
      <c r="Y800" s="90" t="str">
        <f t="shared" si="519"/>
        <v>na</v>
      </c>
      <c r="Z800" s="90" t="str">
        <f t="shared" si="519"/>
        <v>na</v>
      </c>
    </row>
    <row r="801" hidden="1" outlineLevel="1">
      <c r="B801" s="93">
        <f t="shared" si="512"/>
        <v>10</v>
      </c>
      <c r="C801" s="96">
        <f t="shared" si="509"/>
        <v>0</v>
      </c>
      <c r="D801" s="16" t="s">
        <v>177</v>
      </c>
      <c r="E801" s="97" t="str">
        <f t="shared" si="108"/>
        <v>na</v>
      </c>
      <c r="F801" s="74"/>
      <c r="G801" s="90" t="str">
        <f t="shared" ref="G801:Z801" si="520">IFERROR(XIRR(INDIRECT(""&amp;ADDRESS(ROW($D780),COLUMN($G780)+MATCH(INDEX($G780:$Z780,MATCH(TRUE,INDEX($G780:$Z780&lt;&gt;0,),0)),$G780:$Z780,0)-1,4)&amp;":"&amp;ADDRESS(ROW($G780),COLUMN($G780)+MATCH(F$5,$G$5:$Z$5,1),4)),INDIRECT(""&amp;ADDRESS(ROW(F$5),COLUMN($G780)+MATCH(INDEX($G780:$Z780,MATCH(TRUE,INDEX($G780:$Z780&lt;&gt;0,),0)),$G780:$Z780,0)-1,4) &amp; ":" &amp; ADDRESS(ROW($G$5),COLUMN($G780)+MATCH(F$5,$G$5:$Z$5,1),4))),"na")</f>
        <v>na</v>
      </c>
      <c r="H801" s="90" t="str">
        <f t="shared" si="520"/>
        <v>na</v>
      </c>
      <c r="I801" s="90" t="str">
        <f t="shared" si="520"/>
        <v>na</v>
      </c>
      <c r="J801" s="90" t="str">
        <f t="shared" si="520"/>
        <v>na</v>
      </c>
      <c r="K801" s="90" t="str">
        <f t="shared" si="520"/>
        <v>na</v>
      </c>
      <c r="L801" s="90" t="str">
        <f t="shared" si="520"/>
        <v>na</v>
      </c>
      <c r="M801" s="90" t="str">
        <f t="shared" si="520"/>
        <v>na</v>
      </c>
      <c r="N801" s="90" t="str">
        <f t="shared" si="520"/>
        <v>na</v>
      </c>
      <c r="O801" s="90" t="str">
        <f t="shared" si="520"/>
        <v>na</v>
      </c>
      <c r="P801" s="90" t="str">
        <f t="shared" si="520"/>
        <v>na</v>
      </c>
      <c r="Q801" s="90" t="str">
        <f t="shared" si="520"/>
        <v>na</v>
      </c>
      <c r="R801" s="90" t="str">
        <f t="shared" si="520"/>
        <v>na</v>
      </c>
      <c r="S801" s="90" t="str">
        <f t="shared" si="520"/>
        <v>na</v>
      </c>
      <c r="T801" s="90" t="str">
        <f t="shared" si="520"/>
        <v>na</v>
      </c>
      <c r="U801" s="90" t="str">
        <f t="shared" si="520"/>
        <v>na</v>
      </c>
      <c r="V801" s="90" t="str">
        <f t="shared" si="520"/>
        <v>na</v>
      </c>
      <c r="W801" s="90" t="str">
        <f t="shared" si="520"/>
        <v>na</v>
      </c>
      <c r="X801" s="90" t="str">
        <f t="shared" si="520"/>
        <v>na</v>
      </c>
      <c r="Y801" s="90" t="str">
        <f t="shared" si="520"/>
        <v>na</v>
      </c>
      <c r="Z801" s="90" t="str">
        <f t="shared" si="520"/>
        <v>na</v>
      </c>
    </row>
    <row r="802" hidden="1" outlineLevel="1">
      <c r="B802" s="93">
        <f t="shared" si="512"/>
        <v>11</v>
      </c>
      <c r="C802" s="96">
        <f t="shared" si="509"/>
        <v>0</v>
      </c>
      <c r="D802" s="16" t="s">
        <v>177</v>
      </c>
      <c r="E802" s="97" t="str">
        <f t="shared" si="108"/>
        <v>na</v>
      </c>
      <c r="F802" s="74"/>
      <c r="G802" s="90" t="str">
        <f t="shared" ref="G802:Z802" si="521">IFERROR(XIRR(INDIRECT(""&amp;ADDRESS(ROW($D781),COLUMN($G781)+MATCH(INDEX($G781:$Z781,MATCH(TRUE,INDEX($G781:$Z781&lt;&gt;0,),0)),$G781:$Z781,0)-1,4)&amp;":"&amp;ADDRESS(ROW($G781),COLUMN($G781)+MATCH(F$5,$G$5:$Z$5,1),4)),INDIRECT(""&amp;ADDRESS(ROW(F$5),COLUMN($G781)+MATCH(INDEX($G781:$Z781,MATCH(TRUE,INDEX($G781:$Z781&lt;&gt;0,),0)),$G781:$Z781,0)-1,4) &amp; ":" &amp; ADDRESS(ROW($G$5),COLUMN($G781)+MATCH(F$5,$G$5:$Z$5,1),4))),"na")</f>
        <v>na</v>
      </c>
      <c r="H802" s="90" t="str">
        <f t="shared" si="521"/>
        <v>na</v>
      </c>
      <c r="I802" s="90" t="str">
        <f t="shared" si="521"/>
        <v>na</v>
      </c>
      <c r="J802" s="90" t="str">
        <f t="shared" si="521"/>
        <v>na</v>
      </c>
      <c r="K802" s="90" t="str">
        <f t="shared" si="521"/>
        <v>na</v>
      </c>
      <c r="L802" s="90" t="str">
        <f t="shared" si="521"/>
        <v>na</v>
      </c>
      <c r="M802" s="90" t="str">
        <f t="shared" si="521"/>
        <v>na</v>
      </c>
      <c r="N802" s="90" t="str">
        <f t="shared" si="521"/>
        <v>na</v>
      </c>
      <c r="O802" s="90" t="str">
        <f t="shared" si="521"/>
        <v>na</v>
      </c>
      <c r="P802" s="90" t="str">
        <f t="shared" si="521"/>
        <v>na</v>
      </c>
      <c r="Q802" s="90" t="str">
        <f t="shared" si="521"/>
        <v>na</v>
      </c>
      <c r="R802" s="90" t="str">
        <f t="shared" si="521"/>
        <v>na</v>
      </c>
      <c r="S802" s="90" t="str">
        <f t="shared" si="521"/>
        <v>na</v>
      </c>
      <c r="T802" s="90" t="str">
        <f t="shared" si="521"/>
        <v>na</v>
      </c>
      <c r="U802" s="90" t="str">
        <f t="shared" si="521"/>
        <v>na</v>
      </c>
      <c r="V802" s="90" t="str">
        <f t="shared" si="521"/>
        <v>na</v>
      </c>
      <c r="W802" s="90" t="str">
        <f t="shared" si="521"/>
        <v>na</v>
      </c>
      <c r="X802" s="90" t="str">
        <f t="shared" si="521"/>
        <v>na</v>
      </c>
      <c r="Y802" s="90" t="str">
        <f t="shared" si="521"/>
        <v>na</v>
      </c>
      <c r="Z802" s="90" t="str">
        <f t="shared" si="521"/>
        <v>na</v>
      </c>
    </row>
    <row r="803" hidden="1" outlineLevel="1">
      <c r="B803" s="93">
        <f t="shared" si="512"/>
        <v>12</v>
      </c>
      <c r="C803" s="96">
        <f t="shared" si="509"/>
        <v>0</v>
      </c>
      <c r="D803" s="16" t="s">
        <v>177</v>
      </c>
      <c r="E803" s="97" t="str">
        <f t="shared" si="108"/>
        <v>na</v>
      </c>
      <c r="F803" s="74"/>
      <c r="G803" s="90" t="str">
        <f t="shared" ref="G803:Z803" si="522">IFERROR(XIRR(INDIRECT(""&amp;ADDRESS(ROW($D782),COLUMN($G782)+MATCH(INDEX($G782:$Z782,MATCH(TRUE,INDEX($G782:$Z782&lt;&gt;0,),0)),$G782:$Z782,0)-1,4)&amp;":"&amp;ADDRESS(ROW($G782),COLUMN($G782)+MATCH(F$5,$G$5:$Z$5,1),4)),INDIRECT(""&amp;ADDRESS(ROW(F$5),COLUMN($G782)+MATCH(INDEX($G782:$Z782,MATCH(TRUE,INDEX($G782:$Z782&lt;&gt;0,),0)),$G782:$Z782,0)-1,4) &amp; ":" &amp; ADDRESS(ROW($G$5),COLUMN($G782)+MATCH(F$5,$G$5:$Z$5,1),4))),"na")</f>
        <v>na</v>
      </c>
      <c r="H803" s="90" t="str">
        <f t="shared" si="522"/>
        <v>na</v>
      </c>
      <c r="I803" s="90" t="str">
        <f t="shared" si="522"/>
        <v>na</v>
      </c>
      <c r="J803" s="90" t="str">
        <f t="shared" si="522"/>
        <v>na</v>
      </c>
      <c r="K803" s="90" t="str">
        <f t="shared" si="522"/>
        <v>na</v>
      </c>
      <c r="L803" s="90" t="str">
        <f t="shared" si="522"/>
        <v>na</v>
      </c>
      <c r="M803" s="90" t="str">
        <f t="shared" si="522"/>
        <v>na</v>
      </c>
      <c r="N803" s="90" t="str">
        <f t="shared" si="522"/>
        <v>na</v>
      </c>
      <c r="O803" s="90" t="str">
        <f t="shared" si="522"/>
        <v>na</v>
      </c>
      <c r="P803" s="90" t="str">
        <f t="shared" si="522"/>
        <v>na</v>
      </c>
      <c r="Q803" s="90" t="str">
        <f t="shared" si="522"/>
        <v>na</v>
      </c>
      <c r="R803" s="90" t="str">
        <f t="shared" si="522"/>
        <v>na</v>
      </c>
      <c r="S803" s="90" t="str">
        <f t="shared" si="522"/>
        <v>na</v>
      </c>
      <c r="T803" s="90" t="str">
        <f t="shared" si="522"/>
        <v>na</v>
      </c>
      <c r="U803" s="90" t="str">
        <f t="shared" si="522"/>
        <v>na</v>
      </c>
      <c r="V803" s="90" t="str">
        <f t="shared" si="522"/>
        <v>na</v>
      </c>
      <c r="W803" s="90" t="str">
        <f t="shared" si="522"/>
        <v>na</v>
      </c>
      <c r="X803" s="90" t="str">
        <f t="shared" si="522"/>
        <v>na</v>
      </c>
      <c r="Y803" s="90" t="str">
        <f t="shared" si="522"/>
        <v>na</v>
      </c>
      <c r="Z803" s="90" t="str">
        <f t="shared" si="522"/>
        <v>na</v>
      </c>
    </row>
    <row r="804" hidden="1" outlineLevel="1">
      <c r="B804" s="93">
        <f t="shared" si="512"/>
        <v>13</v>
      </c>
      <c r="C804" s="96">
        <f t="shared" si="509"/>
        <v>0</v>
      </c>
      <c r="D804" s="16" t="s">
        <v>177</v>
      </c>
      <c r="E804" s="97" t="str">
        <f t="shared" si="108"/>
        <v>na</v>
      </c>
      <c r="F804" s="74"/>
      <c r="G804" s="90" t="str">
        <f t="shared" ref="G804:Z804" si="523">IFERROR(XIRR(INDIRECT(""&amp;ADDRESS(ROW($D783),COLUMN($G783)+MATCH(INDEX($G783:$Z783,MATCH(TRUE,INDEX($G783:$Z783&lt;&gt;0,),0)),$G783:$Z783,0)-1,4)&amp;":"&amp;ADDRESS(ROW($G783),COLUMN($G783)+MATCH(F$5,$G$5:$Z$5,1),4)),INDIRECT(""&amp;ADDRESS(ROW(F$5),COLUMN($G783)+MATCH(INDEX($G783:$Z783,MATCH(TRUE,INDEX($G783:$Z783&lt;&gt;0,),0)),$G783:$Z783,0)-1,4) &amp; ":" &amp; ADDRESS(ROW($G$5),COLUMN($G783)+MATCH(F$5,$G$5:$Z$5,1),4))),"na")</f>
        <v>na</v>
      </c>
      <c r="H804" s="90" t="str">
        <f t="shared" si="523"/>
        <v>na</v>
      </c>
      <c r="I804" s="90" t="str">
        <f t="shared" si="523"/>
        <v>na</v>
      </c>
      <c r="J804" s="90" t="str">
        <f t="shared" si="523"/>
        <v>na</v>
      </c>
      <c r="K804" s="90" t="str">
        <f t="shared" si="523"/>
        <v>na</v>
      </c>
      <c r="L804" s="90" t="str">
        <f t="shared" si="523"/>
        <v>na</v>
      </c>
      <c r="M804" s="90" t="str">
        <f t="shared" si="523"/>
        <v>na</v>
      </c>
      <c r="N804" s="90" t="str">
        <f t="shared" si="523"/>
        <v>na</v>
      </c>
      <c r="O804" s="90" t="str">
        <f t="shared" si="523"/>
        <v>na</v>
      </c>
      <c r="P804" s="90" t="str">
        <f t="shared" si="523"/>
        <v>na</v>
      </c>
      <c r="Q804" s="90" t="str">
        <f t="shared" si="523"/>
        <v>na</v>
      </c>
      <c r="R804" s="90" t="str">
        <f t="shared" si="523"/>
        <v>na</v>
      </c>
      <c r="S804" s="90" t="str">
        <f t="shared" si="523"/>
        <v>na</v>
      </c>
      <c r="T804" s="90" t="str">
        <f t="shared" si="523"/>
        <v>na</v>
      </c>
      <c r="U804" s="90" t="str">
        <f t="shared" si="523"/>
        <v>na</v>
      </c>
      <c r="V804" s="90" t="str">
        <f t="shared" si="523"/>
        <v>na</v>
      </c>
      <c r="W804" s="90" t="str">
        <f t="shared" si="523"/>
        <v>na</v>
      </c>
      <c r="X804" s="90" t="str">
        <f t="shared" si="523"/>
        <v>na</v>
      </c>
      <c r="Y804" s="90" t="str">
        <f t="shared" si="523"/>
        <v>na</v>
      </c>
      <c r="Z804" s="90" t="str">
        <f t="shared" si="523"/>
        <v>na</v>
      </c>
    </row>
    <row r="805" hidden="1" outlineLevel="1">
      <c r="B805" s="93">
        <f t="shared" si="512"/>
        <v>14</v>
      </c>
      <c r="C805" s="96">
        <f t="shared" si="509"/>
        <v>0</v>
      </c>
      <c r="D805" s="16" t="s">
        <v>177</v>
      </c>
      <c r="E805" s="97" t="str">
        <f t="shared" si="108"/>
        <v>na</v>
      </c>
      <c r="F805" s="74"/>
      <c r="G805" s="90" t="str">
        <f t="shared" ref="G805:Z805" si="524">IFERROR(XIRR(INDIRECT(""&amp;ADDRESS(ROW($D784),COLUMN($G784)+MATCH(INDEX($G784:$Z784,MATCH(TRUE,INDEX($G784:$Z784&lt;&gt;0,),0)),$G784:$Z784,0)-1,4)&amp;":"&amp;ADDRESS(ROW($G784),COLUMN($G784)+MATCH(F$5,$G$5:$Z$5,1),4)),INDIRECT(""&amp;ADDRESS(ROW(F$5),COLUMN($G784)+MATCH(INDEX($G784:$Z784,MATCH(TRUE,INDEX($G784:$Z784&lt;&gt;0,),0)),$G784:$Z784,0)-1,4) &amp; ":" &amp; ADDRESS(ROW($G$5),COLUMN($G784)+MATCH(F$5,$G$5:$Z$5,1),4))),"na")</f>
        <v>na</v>
      </c>
      <c r="H805" s="90" t="str">
        <f t="shared" si="524"/>
        <v>na</v>
      </c>
      <c r="I805" s="90" t="str">
        <f t="shared" si="524"/>
        <v>na</v>
      </c>
      <c r="J805" s="90" t="str">
        <f t="shared" si="524"/>
        <v>na</v>
      </c>
      <c r="K805" s="90" t="str">
        <f t="shared" si="524"/>
        <v>na</v>
      </c>
      <c r="L805" s="90" t="str">
        <f t="shared" si="524"/>
        <v>na</v>
      </c>
      <c r="M805" s="90" t="str">
        <f t="shared" si="524"/>
        <v>na</v>
      </c>
      <c r="N805" s="90" t="str">
        <f t="shared" si="524"/>
        <v>na</v>
      </c>
      <c r="O805" s="90" t="str">
        <f t="shared" si="524"/>
        <v>na</v>
      </c>
      <c r="P805" s="90" t="str">
        <f t="shared" si="524"/>
        <v>na</v>
      </c>
      <c r="Q805" s="90" t="str">
        <f t="shared" si="524"/>
        <v>na</v>
      </c>
      <c r="R805" s="90" t="str">
        <f t="shared" si="524"/>
        <v>na</v>
      </c>
      <c r="S805" s="90" t="str">
        <f t="shared" si="524"/>
        <v>na</v>
      </c>
      <c r="T805" s="90" t="str">
        <f t="shared" si="524"/>
        <v>na</v>
      </c>
      <c r="U805" s="90" t="str">
        <f t="shared" si="524"/>
        <v>na</v>
      </c>
      <c r="V805" s="90" t="str">
        <f t="shared" si="524"/>
        <v>na</v>
      </c>
      <c r="W805" s="90" t="str">
        <f t="shared" si="524"/>
        <v>na</v>
      </c>
      <c r="X805" s="90" t="str">
        <f t="shared" si="524"/>
        <v>na</v>
      </c>
      <c r="Y805" s="90" t="str">
        <f t="shared" si="524"/>
        <v>na</v>
      </c>
      <c r="Z805" s="90" t="str">
        <f t="shared" si="524"/>
        <v>na</v>
      </c>
    </row>
    <row r="806" hidden="1" outlineLevel="1">
      <c r="B806" s="93">
        <f t="shared" si="512"/>
        <v>15</v>
      </c>
      <c r="C806" s="96">
        <f t="shared" si="509"/>
        <v>0</v>
      </c>
      <c r="D806" s="16" t="s">
        <v>177</v>
      </c>
      <c r="E806" s="97" t="str">
        <f t="shared" si="108"/>
        <v>na</v>
      </c>
      <c r="F806" s="74"/>
      <c r="G806" s="90" t="str">
        <f t="shared" ref="G806:Z806" si="525">IFERROR(XIRR(INDIRECT(""&amp;ADDRESS(ROW($D785),COLUMN($G785)+MATCH(INDEX($G785:$Z785,MATCH(TRUE,INDEX($G785:$Z785&lt;&gt;0,),0)),$G785:$Z785,0)-1,4)&amp;":"&amp;ADDRESS(ROW($G785),COLUMN($G785)+MATCH(F$5,$G$5:$Z$5,1),4)),INDIRECT(""&amp;ADDRESS(ROW(F$5),COLUMN($G785)+MATCH(INDEX($G785:$Z785,MATCH(TRUE,INDEX($G785:$Z785&lt;&gt;0,),0)),$G785:$Z785,0)-1,4) &amp; ":" &amp; ADDRESS(ROW($G$5),COLUMN($G785)+MATCH(F$5,$G$5:$Z$5,1),4))),"na")</f>
        <v>na</v>
      </c>
      <c r="H806" s="90" t="str">
        <f t="shared" si="525"/>
        <v>na</v>
      </c>
      <c r="I806" s="90" t="str">
        <f t="shared" si="525"/>
        <v>na</v>
      </c>
      <c r="J806" s="90" t="str">
        <f t="shared" si="525"/>
        <v>na</v>
      </c>
      <c r="K806" s="90" t="str">
        <f t="shared" si="525"/>
        <v>na</v>
      </c>
      <c r="L806" s="90" t="str">
        <f t="shared" si="525"/>
        <v>na</v>
      </c>
      <c r="M806" s="90" t="str">
        <f t="shared" si="525"/>
        <v>na</v>
      </c>
      <c r="N806" s="90" t="str">
        <f t="shared" si="525"/>
        <v>na</v>
      </c>
      <c r="O806" s="90" t="str">
        <f t="shared" si="525"/>
        <v>na</v>
      </c>
      <c r="P806" s="90" t="str">
        <f t="shared" si="525"/>
        <v>na</v>
      </c>
      <c r="Q806" s="90" t="str">
        <f t="shared" si="525"/>
        <v>na</v>
      </c>
      <c r="R806" s="90" t="str">
        <f t="shared" si="525"/>
        <v>na</v>
      </c>
      <c r="S806" s="90" t="str">
        <f t="shared" si="525"/>
        <v>na</v>
      </c>
      <c r="T806" s="90" t="str">
        <f t="shared" si="525"/>
        <v>na</v>
      </c>
      <c r="U806" s="90" t="str">
        <f t="shared" si="525"/>
        <v>na</v>
      </c>
      <c r="V806" s="90" t="str">
        <f t="shared" si="525"/>
        <v>na</v>
      </c>
      <c r="W806" s="90" t="str">
        <f t="shared" si="525"/>
        <v>na</v>
      </c>
      <c r="X806" s="90" t="str">
        <f t="shared" si="525"/>
        <v>na</v>
      </c>
      <c r="Y806" s="90" t="str">
        <f t="shared" si="525"/>
        <v>na</v>
      </c>
      <c r="Z806" s="90" t="str">
        <f t="shared" si="525"/>
        <v>na</v>
      </c>
    </row>
    <row r="807" hidden="1" outlineLevel="1">
      <c r="B807" s="93">
        <f t="shared" si="512"/>
        <v>16</v>
      </c>
      <c r="C807" s="96">
        <f t="shared" si="509"/>
        <v>0</v>
      </c>
      <c r="D807" s="16" t="s">
        <v>177</v>
      </c>
      <c r="E807" s="97" t="str">
        <f t="shared" si="108"/>
        <v>na</v>
      </c>
      <c r="F807" s="74"/>
      <c r="G807" s="90" t="str">
        <f t="shared" ref="G807:Z807" si="526">IFERROR(XIRR(INDIRECT(""&amp;ADDRESS(ROW($D786),COLUMN($G786)+MATCH(INDEX($G786:$Z786,MATCH(TRUE,INDEX($G786:$Z786&lt;&gt;0,),0)),$G786:$Z786,0)-1,4)&amp;":"&amp;ADDRESS(ROW($G786),COLUMN($G786)+MATCH(F$5,$G$5:$Z$5,1),4)),INDIRECT(""&amp;ADDRESS(ROW(F$5),COLUMN($G786)+MATCH(INDEX($G786:$Z786,MATCH(TRUE,INDEX($G786:$Z786&lt;&gt;0,),0)),$G786:$Z786,0)-1,4) &amp; ":" &amp; ADDRESS(ROW($G$5),COLUMN($G786)+MATCH(F$5,$G$5:$Z$5,1),4))),"na")</f>
        <v>na</v>
      </c>
      <c r="H807" s="90" t="str">
        <f t="shared" si="526"/>
        <v>na</v>
      </c>
      <c r="I807" s="90" t="str">
        <f t="shared" si="526"/>
        <v>na</v>
      </c>
      <c r="J807" s="90" t="str">
        <f t="shared" si="526"/>
        <v>na</v>
      </c>
      <c r="K807" s="90" t="str">
        <f t="shared" si="526"/>
        <v>na</v>
      </c>
      <c r="L807" s="90" t="str">
        <f t="shared" si="526"/>
        <v>na</v>
      </c>
      <c r="M807" s="90" t="str">
        <f t="shared" si="526"/>
        <v>na</v>
      </c>
      <c r="N807" s="90" t="str">
        <f t="shared" si="526"/>
        <v>na</v>
      </c>
      <c r="O807" s="90" t="str">
        <f t="shared" si="526"/>
        <v>na</v>
      </c>
      <c r="P807" s="90" t="str">
        <f t="shared" si="526"/>
        <v>na</v>
      </c>
      <c r="Q807" s="90" t="str">
        <f t="shared" si="526"/>
        <v>na</v>
      </c>
      <c r="R807" s="90" t="str">
        <f t="shared" si="526"/>
        <v>na</v>
      </c>
      <c r="S807" s="90" t="str">
        <f t="shared" si="526"/>
        <v>na</v>
      </c>
      <c r="T807" s="90" t="str">
        <f t="shared" si="526"/>
        <v>na</v>
      </c>
      <c r="U807" s="90" t="str">
        <f t="shared" si="526"/>
        <v>na</v>
      </c>
      <c r="V807" s="90" t="str">
        <f t="shared" si="526"/>
        <v>na</v>
      </c>
      <c r="W807" s="90" t="str">
        <f t="shared" si="526"/>
        <v>na</v>
      </c>
      <c r="X807" s="90" t="str">
        <f t="shared" si="526"/>
        <v>na</v>
      </c>
      <c r="Y807" s="90" t="str">
        <f t="shared" si="526"/>
        <v>na</v>
      </c>
      <c r="Z807" s="90" t="str">
        <f t="shared" si="526"/>
        <v>na</v>
      </c>
    </row>
    <row r="808" hidden="1" outlineLevel="1">
      <c r="B808" s="93">
        <f t="shared" si="512"/>
        <v>17</v>
      </c>
      <c r="C808" s="96">
        <f t="shared" si="509"/>
        <v>0</v>
      </c>
      <c r="D808" s="16" t="s">
        <v>177</v>
      </c>
      <c r="E808" s="97" t="str">
        <f t="shared" si="108"/>
        <v>na</v>
      </c>
      <c r="F808" s="74"/>
      <c r="G808" s="90" t="str">
        <f t="shared" ref="G808:Z808" si="527">IFERROR(XIRR(INDIRECT(""&amp;ADDRESS(ROW($D787),COLUMN($G787)+MATCH(INDEX($G787:$Z787,MATCH(TRUE,INDEX($G787:$Z787&lt;&gt;0,),0)),$G787:$Z787,0)-1,4)&amp;":"&amp;ADDRESS(ROW($G787),COLUMN($G787)+MATCH(F$5,$G$5:$Z$5,1),4)),INDIRECT(""&amp;ADDRESS(ROW(F$5),COLUMN($G787)+MATCH(INDEX($G787:$Z787,MATCH(TRUE,INDEX($G787:$Z787&lt;&gt;0,),0)),$G787:$Z787,0)-1,4) &amp; ":" &amp; ADDRESS(ROW($G$5),COLUMN($G787)+MATCH(F$5,$G$5:$Z$5,1),4))),"na")</f>
        <v>na</v>
      </c>
      <c r="H808" s="90" t="str">
        <f t="shared" si="527"/>
        <v>na</v>
      </c>
      <c r="I808" s="90" t="str">
        <f t="shared" si="527"/>
        <v>na</v>
      </c>
      <c r="J808" s="90" t="str">
        <f t="shared" si="527"/>
        <v>na</v>
      </c>
      <c r="K808" s="90" t="str">
        <f t="shared" si="527"/>
        <v>na</v>
      </c>
      <c r="L808" s="90" t="str">
        <f t="shared" si="527"/>
        <v>na</v>
      </c>
      <c r="M808" s="90" t="str">
        <f t="shared" si="527"/>
        <v>na</v>
      </c>
      <c r="N808" s="90" t="str">
        <f t="shared" si="527"/>
        <v>na</v>
      </c>
      <c r="O808" s="90" t="str">
        <f t="shared" si="527"/>
        <v>na</v>
      </c>
      <c r="P808" s="90" t="str">
        <f t="shared" si="527"/>
        <v>na</v>
      </c>
      <c r="Q808" s="90" t="str">
        <f t="shared" si="527"/>
        <v>na</v>
      </c>
      <c r="R808" s="90" t="str">
        <f t="shared" si="527"/>
        <v>na</v>
      </c>
      <c r="S808" s="90" t="str">
        <f t="shared" si="527"/>
        <v>na</v>
      </c>
      <c r="T808" s="90" t="str">
        <f t="shared" si="527"/>
        <v>na</v>
      </c>
      <c r="U808" s="90" t="str">
        <f t="shared" si="527"/>
        <v>na</v>
      </c>
      <c r="V808" s="90" t="str">
        <f t="shared" si="527"/>
        <v>na</v>
      </c>
      <c r="W808" s="90" t="str">
        <f t="shared" si="527"/>
        <v>na</v>
      </c>
      <c r="X808" s="90" t="str">
        <f t="shared" si="527"/>
        <v>na</v>
      </c>
      <c r="Y808" s="90" t="str">
        <f t="shared" si="527"/>
        <v>na</v>
      </c>
      <c r="Z808" s="90" t="str">
        <f t="shared" si="527"/>
        <v>na</v>
      </c>
    </row>
    <row r="809" hidden="1" outlineLevel="1">
      <c r="B809" s="93">
        <f t="shared" si="512"/>
        <v>18</v>
      </c>
      <c r="C809" s="96">
        <f t="shared" si="509"/>
        <v>0</v>
      </c>
      <c r="D809" s="16" t="s">
        <v>177</v>
      </c>
      <c r="E809" s="97" t="str">
        <f t="shared" si="108"/>
        <v>na</v>
      </c>
      <c r="F809" s="74"/>
      <c r="G809" s="90" t="str">
        <f t="shared" ref="G809:Z809" si="528">IFERROR(XIRR(INDIRECT(""&amp;ADDRESS(ROW($D788),COLUMN($G788)+MATCH(INDEX($G788:$Z788,MATCH(TRUE,INDEX($G788:$Z788&lt;&gt;0,),0)),$G788:$Z788,0)-1,4)&amp;":"&amp;ADDRESS(ROW($G788),COLUMN($G788)+MATCH(F$5,$G$5:$Z$5,1),4)),INDIRECT(""&amp;ADDRESS(ROW(F$5),COLUMN($G788)+MATCH(INDEX($G788:$Z788,MATCH(TRUE,INDEX($G788:$Z788&lt;&gt;0,),0)),$G788:$Z788,0)-1,4) &amp; ":" &amp; ADDRESS(ROW($G$5),COLUMN($G788)+MATCH(F$5,$G$5:$Z$5,1),4))),"na")</f>
        <v>na</v>
      </c>
      <c r="H809" s="90" t="str">
        <f t="shared" si="528"/>
        <v>na</v>
      </c>
      <c r="I809" s="90" t="str">
        <f t="shared" si="528"/>
        <v>na</v>
      </c>
      <c r="J809" s="90" t="str">
        <f t="shared" si="528"/>
        <v>na</v>
      </c>
      <c r="K809" s="90" t="str">
        <f t="shared" si="528"/>
        <v>na</v>
      </c>
      <c r="L809" s="90" t="str">
        <f t="shared" si="528"/>
        <v>na</v>
      </c>
      <c r="M809" s="90" t="str">
        <f t="shared" si="528"/>
        <v>na</v>
      </c>
      <c r="N809" s="90" t="str">
        <f t="shared" si="528"/>
        <v>na</v>
      </c>
      <c r="O809" s="90" t="str">
        <f t="shared" si="528"/>
        <v>na</v>
      </c>
      <c r="P809" s="90" t="str">
        <f t="shared" si="528"/>
        <v>na</v>
      </c>
      <c r="Q809" s="90" t="str">
        <f t="shared" si="528"/>
        <v>na</v>
      </c>
      <c r="R809" s="90" t="str">
        <f t="shared" si="528"/>
        <v>na</v>
      </c>
      <c r="S809" s="90" t="str">
        <f t="shared" si="528"/>
        <v>na</v>
      </c>
      <c r="T809" s="90" t="str">
        <f t="shared" si="528"/>
        <v>na</v>
      </c>
      <c r="U809" s="90" t="str">
        <f t="shared" si="528"/>
        <v>na</v>
      </c>
      <c r="V809" s="90" t="str">
        <f t="shared" si="528"/>
        <v>na</v>
      </c>
      <c r="W809" s="90" t="str">
        <f t="shared" si="528"/>
        <v>na</v>
      </c>
      <c r="X809" s="90" t="str">
        <f t="shared" si="528"/>
        <v>na</v>
      </c>
      <c r="Y809" s="90" t="str">
        <f t="shared" si="528"/>
        <v>na</v>
      </c>
      <c r="Z809" s="90" t="str">
        <f t="shared" si="528"/>
        <v>na</v>
      </c>
    </row>
    <row r="810" hidden="1" outlineLevel="1">
      <c r="B810" s="93">
        <f t="shared" si="512"/>
        <v>19</v>
      </c>
      <c r="C810" s="96">
        <f t="shared" si="509"/>
        <v>0</v>
      </c>
      <c r="D810" s="16" t="s">
        <v>177</v>
      </c>
      <c r="E810" s="97" t="str">
        <f t="shared" si="108"/>
        <v>na</v>
      </c>
      <c r="F810" s="74"/>
      <c r="G810" s="90" t="str">
        <f t="shared" ref="G810:Z810" si="529">IFERROR(XIRR(INDIRECT(""&amp;ADDRESS(ROW($D789),COLUMN($G789)+MATCH(INDEX($G789:$Z789,MATCH(TRUE,INDEX($G789:$Z789&lt;&gt;0,),0)),$G789:$Z789,0)-1,4)&amp;":"&amp;ADDRESS(ROW($G789),COLUMN($G789)+MATCH(F$5,$G$5:$Z$5,1),4)),INDIRECT(""&amp;ADDRESS(ROW(F$5),COLUMN($G789)+MATCH(INDEX($G789:$Z789,MATCH(TRUE,INDEX($G789:$Z789&lt;&gt;0,),0)),$G789:$Z789,0)-1,4) &amp; ":" &amp; ADDRESS(ROW($G$5),COLUMN($G789)+MATCH(F$5,$G$5:$Z$5,1),4))),"na")</f>
        <v>na</v>
      </c>
      <c r="H810" s="90" t="str">
        <f t="shared" si="529"/>
        <v>na</v>
      </c>
      <c r="I810" s="90" t="str">
        <f t="shared" si="529"/>
        <v>na</v>
      </c>
      <c r="J810" s="90" t="str">
        <f t="shared" si="529"/>
        <v>na</v>
      </c>
      <c r="K810" s="90" t="str">
        <f t="shared" si="529"/>
        <v>na</v>
      </c>
      <c r="L810" s="90" t="str">
        <f t="shared" si="529"/>
        <v>na</v>
      </c>
      <c r="M810" s="90" t="str">
        <f t="shared" si="529"/>
        <v>na</v>
      </c>
      <c r="N810" s="90" t="str">
        <f t="shared" si="529"/>
        <v>na</v>
      </c>
      <c r="O810" s="90" t="str">
        <f t="shared" si="529"/>
        <v>na</v>
      </c>
      <c r="P810" s="90" t="str">
        <f t="shared" si="529"/>
        <v>na</v>
      </c>
      <c r="Q810" s="90" t="str">
        <f t="shared" si="529"/>
        <v>na</v>
      </c>
      <c r="R810" s="90" t="str">
        <f t="shared" si="529"/>
        <v>na</v>
      </c>
      <c r="S810" s="90" t="str">
        <f t="shared" si="529"/>
        <v>na</v>
      </c>
      <c r="T810" s="90" t="str">
        <f t="shared" si="529"/>
        <v>na</v>
      </c>
      <c r="U810" s="90" t="str">
        <f t="shared" si="529"/>
        <v>na</v>
      </c>
      <c r="V810" s="90" t="str">
        <f t="shared" si="529"/>
        <v>na</v>
      </c>
      <c r="W810" s="90" t="str">
        <f t="shared" si="529"/>
        <v>na</v>
      </c>
      <c r="X810" s="90" t="str">
        <f t="shared" si="529"/>
        <v>na</v>
      </c>
      <c r="Y810" s="90" t="str">
        <f t="shared" si="529"/>
        <v>na</v>
      </c>
      <c r="Z810" s="90" t="str">
        <f t="shared" si="529"/>
        <v>na</v>
      </c>
    </row>
    <row r="811" hidden="1" outlineLevel="1">
      <c r="B811" s="93">
        <f t="shared" si="512"/>
        <v>20</v>
      </c>
      <c r="C811" s="96">
        <f t="shared" si="509"/>
        <v>0</v>
      </c>
      <c r="D811" s="16" t="s">
        <v>177</v>
      </c>
      <c r="E811" s="97" t="str">
        <f t="shared" si="108"/>
        <v>na</v>
      </c>
      <c r="F811" s="74"/>
      <c r="G811" s="90" t="str">
        <f t="shared" ref="G811:Z811" si="530">IFERROR(XIRR(INDIRECT(""&amp;ADDRESS(ROW($D790),COLUMN($G790)+MATCH(INDEX($G790:$Z790,MATCH(TRUE,INDEX($G790:$Z790&lt;&gt;0,),0)),$G790:$Z790,0)-1,4)&amp;":"&amp;ADDRESS(ROW($G790),COLUMN($G790)+MATCH(F$5,$G$5:$Z$5,1),4)),INDIRECT(""&amp;ADDRESS(ROW(F$5),COLUMN($G790)+MATCH(INDEX($G790:$Z790,MATCH(TRUE,INDEX($G790:$Z790&lt;&gt;0,),0)),$G790:$Z790,0)-1,4) &amp; ":" &amp; ADDRESS(ROW($G$5),COLUMN($G790)+MATCH(F$5,$G$5:$Z$5,1),4))),"na")</f>
        <v>na</v>
      </c>
      <c r="H811" s="90" t="str">
        <f t="shared" si="530"/>
        <v>na</v>
      </c>
      <c r="I811" s="90" t="str">
        <f t="shared" si="530"/>
        <v>na</v>
      </c>
      <c r="J811" s="90" t="str">
        <f t="shared" si="530"/>
        <v>na</v>
      </c>
      <c r="K811" s="90" t="str">
        <f t="shared" si="530"/>
        <v>na</v>
      </c>
      <c r="L811" s="90" t="str">
        <f t="shared" si="530"/>
        <v>na</v>
      </c>
      <c r="M811" s="90" t="str">
        <f t="shared" si="530"/>
        <v>na</v>
      </c>
      <c r="N811" s="90" t="str">
        <f t="shared" si="530"/>
        <v>na</v>
      </c>
      <c r="O811" s="90" t="str">
        <f t="shared" si="530"/>
        <v>na</v>
      </c>
      <c r="P811" s="90" t="str">
        <f t="shared" si="530"/>
        <v>na</v>
      </c>
      <c r="Q811" s="90" t="str">
        <f t="shared" si="530"/>
        <v>na</v>
      </c>
      <c r="R811" s="90" t="str">
        <f t="shared" si="530"/>
        <v>na</v>
      </c>
      <c r="S811" s="90" t="str">
        <f t="shared" si="530"/>
        <v>na</v>
      </c>
      <c r="T811" s="90" t="str">
        <f t="shared" si="530"/>
        <v>na</v>
      </c>
      <c r="U811" s="90" t="str">
        <f t="shared" si="530"/>
        <v>na</v>
      </c>
      <c r="V811" s="90" t="str">
        <f t="shared" si="530"/>
        <v>na</v>
      </c>
      <c r="W811" s="90" t="str">
        <f t="shared" si="530"/>
        <v>na</v>
      </c>
      <c r="X811" s="90" t="str">
        <f t="shared" si="530"/>
        <v>na</v>
      </c>
      <c r="Y811" s="90" t="str">
        <f t="shared" si="530"/>
        <v>na</v>
      </c>
      <c r="Z811" s="90" t="str">
        <f t="shared" si="530"/>
        <v>na</v>
      </c>
    </row>
    <row r="812">
      <c r="B812" s="16"/>
      <c r="C812" s="16"/>
      <c r="D812" s="16"/>
      <c r="E812" s="74"/>
      <c r="F812" s="74"/>
      <c r="G812" s="74"/>
      <c r="H812" s="74"/>
      <c r="I812" s="74"/>
      <c r="J812" s="74"/>
      <c r="K812" s="74"/>
      <c r="L812" s="74"/>
      <c r="M812" s="74"/>
      <c r="N812" s="74"/>
      <c r="O812" s="74"/>
      <c r="P812" s="74"/>
      <c r="Q812" s="74"/>
      <c r="R812" s="74"/>
      <c r="S812" s="74"/>
      <c r="T812" s="74"/>
      <c r="U812" s="74"/>
      <c r="V812" s="74"/>
      <c r="W812" s="74"/>
      <c r="X812" s="74"/>
      <c r="Y812" s="74"/>
      <c r="Z812" s="74"/>
    </row>
  </sheetData>
  <dataValidations>
    <dataValidation type="list" allowBlank="1" sqref="D8:D10 D13:D16 D18:D24 D26:D77 D79:D82 D85:D113 D116:D121 D124:D128 D134:D136 D158:D560 D581:D644 D665:D811">
      <formula1>"sum,final,initial,average"</formula1>
    </dataValidation>
    <dataValidation type="list" allowBlank="1" sqref="D83">
      <formula1>"sum,final,initial,average,max"</formula1>
    </dataValidation>
    <dataValidation type="list" allowBlank="1" showInputMessage="1" showErrorMessage="1" prompt="You can change the method used to calculate management fees per year. Note, if you choose &quot;called&quot; or &quot;assets under management&quot; (specifically, current invested capital), that creates a circular reference given the nature of how those fees are calculated (" sqref="G14:Z14 G135:Z135">
      <formula1>"committed,called,assets under management"</formula1>
    </dataValidation>
  </dataValidations>
  <hyperlinks>
    <hyperlink r:id="rId1" ref="C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
    <col customWidth="1" min="2" max="2" width="37.75"/>
    <col customWidth="1" min="3" max="3" width="43.38"/>
    <col customWidth="1" min="4" max="4" width="70.13"/>
  </cols>
  <sheetData>
    <row r="1">
      <c r="A1" s="39"/>
      <c r="B1" s="39"/>
      <c r="C1" s="39"/>
      <c r="D1" s="39"/>
      <c r="E1" s="39"/>
      <c r="F1" s="39"/>
    </row>
    <row r="2">
      <c r="A2" s="39"/>
      <c r="B2" s="98" t="s">
        <v>239</v>
      </c>
      <c r="C2" s="39"/>
      <c r="D2" s="39"/>
      <c r="E2" s="39"/>
      <c r="F2" s="39"/>
    </row>
    <row r="3">
      <c r="A3" s="39"/>
      <c r="B3" s="99" t="s">
        <v>240</v>
      </c>
      <c r="C3" s="92"/>
      <c r="D3" s="40"/>
      <c r="E3" s="39"/>
      <c r="F3" s="39"/>
    </row>
    <row r="4">
      <c r="A4" s="39"/>
      <c r="B4" s="40"/>
      <c r="C4" s="40"/>
      <c r="D4" s="40"/>
      <c r="E4" s="39"/>
      <c r="F4" s="39"/>
    </row>
    <row r="5">
      <c r="A5" s="39"/>
      <c r="B5" s="100" t="s">
        <v>241</v>
      </c>
      <c r="C5" s="100" t="s">
        <v>242</v>
      </c>
      <c r="D5" s="100" t="s">
        <v>243</v>
      </c>
      <c r="E5" s="39"/>
      <c r="F5" s="39"/>
    </row>
    <row r="6">
      <c r="A6" s="39"/>
      <c r="B6" s="40"/>
      <c r="C6" s="40"/>
      <c r="D6" s="40"/>
      <c r="E6" s="39"/>
      <c r="F6" s="39"/>
    </row>
    <row r="7">
      <c r="A7" s="39"/>
      <c r="B7" s="101" t="s">
        <v>244</v>
      </c>
      <c r="C7" s="101" t="s">
        <v>245</v>
      </c>
      <c r="D7" s="102" t="s">
        <v>246</v>
      </c>
      <c r="E7" s="39"/>
      <c r="F7" s="39"/>
    </row>
    <row r="8">
      <c r="A8" s="39"/>
      <c r="B8" s="103" t="s">
        <v>247</v>
      </c>
      <c r="C8" s="103" t="s">
        <v>248</v>
      </c>
      <c r="D8" s="104" t="s">
        <v>249</v>
      </c>
      <c r="E8" s="39"/>
      <c r="F8" s="39"/>
    </row>
    <row r="9">
      <c r="A9" s="39"/>
      <c r="B9" s="101" t="s">
        <v>250</v>
      </c>
      <c r="C9" s="101" t="s">
        <v>251</v>
      </c>
      <c r="D9" s="102" t="s">
        <v>252</v>
      </c>
      <c r="E9" s="39"/>
      <c r="F9" s="39"/>
    </row>
    <row r="10">
      <c r="A10" s="39"/>
      <c r="B10" s="103" t="s">
        <v>253</v>
      </c>
      <c r="C10" s="103" t="s">
        <v>254</v>
      </c>
      <c r="D10" s="104" t="s">
        <v>255</v>
      </c>
      <c r="E10" s="39"/>
      <c r="F10" s="39"/>
    </row>
    <row r="11">
      <c r="A11" s="40"/>
      <c r="B11" s="101" t="s">
        <v>256</v>
      </c>
      <c r="C11" s="101" t="s">
        <v>257</v>
      </c>
      <c r="D11" s="102" t="s">
        <v>258</v>
      </c>
      <c r="E11" s="39"/>
      <c r="F11" s="39"/>
    </row>
    <row r="12">
      <c r="A12" s="105"/>
      <c r="B12" s="103" t="s">
        <v>259</v>
      </c>
      <c r="C12" s="103" t="s">
        <v>260</v>
      </c>
      <c r="D12" s="104" t="s">
        <v>261</v>
      </c>
      <c r="E12" s="39"/>
      <c r="F12" s="39"/>
    </row>
    <row r="13">
      <c r="A13" s="106"/>
      <c r="B13" s="101" t="s">
        <v>262</v>
      </c>
      <c r="C13" s="101" t="s">
        <v>263</v>
      </c>
      <c r="D13" s="107" t="s">
        <v>264</v>
      </c>
      <c r="E13" s="39"/>
      <c r="F13" s="39"/>
    </row>
    <row r="14">
      <c r="A14" s="39"/>
      <c r="B14" s="103" t="s">
        <v>262</v>
      </c>
      <c r="C14" s="103" t="s">
        <v>265</v>
      </c>
      <c r="D14" s="108" t="s">
        <v>264</v>
      </c>
      <c r="E14" s="39"/>
      <c r="F14" s="39"/>
    </row>
    <row r="15">
      <c r="A15" s="40"/>
      <c r="B15" s="101" t="s">
        <v>266</v>
      </c>
      <c r="C15" s="101" t="s">
        <v>267</v>
      </c>
      <c r="D15" s="107" t="s">
        <v>264</v>
      </c>
      <c r="E15" s="39"/>
      <c r="F15" s="39"/>
    </row>
    <row r="16">
      <c r="A16" s="105"/>
      <c r="B16" s="103" t="s">
        <v>268</v>
      </c>
      <c r="C16" s="103" t="s">
        <v>269</v>
      </c>
      <c r="D16" s="108" t="s">
        <v>264</v>
      </c>
      <c r="E16" s="39"/>
      <c r="F16" s="39"/>
    </row>
    <row r="17">
      <c r="A17" s="106"/>
      <c r="B17" s="101" t="s">
        <v>270</v>
      </c>
      <c r="C17" s="101" t="s">
        <v>271</v>
      </c>
      <c r="D17" s="102" t="s">
        <v>272</v>
      </c>
      <c r="E17" s="39"/>
      <c r="F17" s="39"/>
    </row>
    <row r="18">
      <c r="A18" s="39"/>
      <c r="B18" s="103" t="s">
        <v>273</v>
      </c>
      <c r="C18" s="103" t="s">
        <v>274</v>
      </c>
      <c r="D18" s="108" t="s">
        <v>264</v>
      </c>
      <c r="E18" s="39"/>
      <c r="F18" s="39"/>
    </row>
    <row r="19">
      <c r="A19" s="39"/>
      <c r="B19" s="109" t="s">
        <v>275</v>
      </c>
      <c r="C19" s="101" t="s">
        <v>276</v>
      </c>
      <c r="D19" s="110" t="s">
        <v>277</v>
      </c>
      <c r="E19" s="39"/>
      <c r="F19" s="39"/>
    </row>
    <row r="20">
      <c r="A20" s="39"/>
      <c r="B20" s="103" t="s">
        <v>278</v>
      </c>
      <c r="C20" s="103" t="s">
        <v>279</v>
      </c>
      <c r="D20" s="108" t="s">
        <v>280</v>
      </c>
      <c r="E20" s="39"/>
      <c r="F20" s="39"/>
    </row>
    <row r="21">
      <c r="A21" s="39"/>
      <c r="B21" s="101" t="s">
        <v>281</v>
      </c>
      <c r="C21" s="101" t="s">
        <v>282</v>
      </c>
      <c r="D21" s="102" t="s">
        <v>283</v>
      </c>
      <c r="E21" s="39"/>
      <c r="F21" s="39"/>
    </row>
    <row r="22">
      <c r="A22" s="39"/>
      <c r="B22" s="103" t="s">
        <v>284</v>
      </c>
      <c r="C22" s="103" t="s">
        <v>285</v>
      </c>
      <c r="D22" s="104" t="s">
        <v>286</v>
      </c>
      <c r="E22" s="39"/>
      <c r="F22" s="39"/>
    </row>
    <row r="23">
      <c r="A23" s="39"/>
      <c r="B23" s="101" t="s">
        <v>287</v>
      </c>
      <c r="C23" s="101" t="s">
        <v>288</v>
      </c>
      <c r="D23" s="102" t="s">
        <v>289</v>
      </c>
      <c r="E23" s="39"/>
      <c r="F23" s="39"/>
    </row>
    <row r="24">
      <c r="A24" s="39"/>
      <c r="B24" s="103" t="s">
        <v>290</v>
      </c>
      <c r="C24" s="103" t="s">
        <v>291</v>
      </c>
      <c r="D24" s="104" t="s">
        <v>292</v>
      </c>
      <c r="E24" s="39"/>
      <c r="F24" s="39"/>
    </row>
    <row r="25">
      <c r="A25" s="39"/>
      <c r="B25" s="109" t="s">
        <v>293</v>
      </c>
      <c r="C25" s="109" t="s">
        <v>294</v>
      </c>
      <c r="D25" s="111" t="s">
        <v>295</v>
      </c>
      <c r="E25" s="39"/>
      <c r="F25" s="39"/>
    </row>
    <row r="26">
      <c r="A26" s="39"/>
      <c r="B26" s="112" t="s">
        <v>296</v>
      </c>
      <c r="C26" s="112" t="s">
        <v>297</v>
      </c>
      <c r="D26" s="113" t="s">
        <v>298</v>
      </c>
      <c r="E26" s="39"/>
      <c r="F26" s="39"/>
    </row>
    <row r="27">
      <c r="A27" s="39"/>
      <c r="B27" s="39"/>
      <c r="C27" s="39"/>
      <c r="D27" s="39"/>
      <c r="E27" s="39"/>
      <c r="F27" s="39"/>
    </row>
  </sheetData>
  <hyperlinks>
    <hyperlink r:id="rId1" ref="D7"/>
    <hyperlink r:id="rId2" ref="D8"/>
    <hyperlink r:id="rId3" ref="D9"/>
    <hyperlink r:id="rId4" ref="D10"/>
    <hyperlink r:id="rId5" ref="D11"/>
    <hyperlink r:id="rId6" ref="D12"/>
    <hyperlink r:id="rId7" ref="D13"/>
    <hyperlink r:id="rId8" ref="D14"/>
    <hyperlink r:id="rId9" ref="D15"/>
    <hyperlink r:id="rId10" ref="D16"/>
    <hyperlink r:id="rId11" ref="D17"/>
    <hyperlink r:id="rId12" ref="D18"/>
    <hyperlink r:id="rId13" ref="D20"/>
    <hyperlink r:id="rId14" ref="D21"/>
    <hyperlink r:id="rId15" ref="D22"/>
    <hyperlink r:id="rId16" ref="D23"/>
    <hyperlink r:id="rId17" ref="D24"/>
    <hyperlink r:id="rId18" ref="D25"/>
    <hyperlink r:id="rId19" ref="D26"/>
  </hyperlinks>
  <drawing r:id="rId20"/>
  <tableParts count="1">
    <tablePart r:id="rId2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2" max="2" width="28.63"/>
    <col customWidth="1" min="3" max="3" width="21.13"/>
    <col customWidth="1" min="4" max="4" width="16.38"/>
    <col customWidth="1" min="5" max="5" width="11.38"/>
    <col customWidth="1" min="6" max="18" width="12.63"/>
  </cols>
  <sheetData>
    <row r="1">
      <c r="A1" s="39"/>
      <c r="B1" s="39"/>
      <c r="C1" s="39"/>
      <c r="D1" s="39"/>
      <c r="E1" s="39"/>
      <c r="F1" s="39"/>
      <c r="G1" s="39"/>
      <c r="H1" s="39"/>
      <c r="I1" s="39"/>
      <c r="J1" s="39"/>
      <c r="K1" s="39"/>
      <c r="L1" s="39"/>
      <c r="M1" s="39"/>
      <c r="N1" s="39"/>
      <c r="O1" s="39"/>
      <c r="P1" s="39"/>
      <c r="Q1" s="39"/>
      <c r="R1" s="39"/>
      <c r="S1" s="39"/>
      <c r="T1" s="39"/>
      <c r="U1" s="39"/>
    </row>
    <row r="2">
      <c r="A2" s="39"/>
      <c r="B2" s="114" t="s">
        <v>299</v>
      </c>
      <c r="C2" s="39"/>
      <c r="D2" s="39"/>
      <c r="E2" s="39"/>
      <c r="F2" s="39"/>
      <c r="G2" s="39"/>
      <c r="H2" s="39"/>
      <c r="I2" s="39"/>
      <c r="J2" s="39"/>
      <c r="K2" s="39"/>
      <c r="L2" s="39"/>
      <c r="M2" s="39"/>
      <c r="N2" s="39"/>
      <c r="O2" s="39"/>
      <c r="P2" s="39"/>
      <c r="Q2" s="39"/>
      <c r="R2" s="39"/>
      <c r="S2" s="39"/>
      <c r="T2" s="39"/>
      <c r="U2" s="39"/>
    </row>
    <row r="3">
      <c r="A3" s="39"/>
      <c r="B3" s="115" t="s">
        <v>300</v>
      </c>
      <c r="C3" s="39"/>
      <c r="D3" s="39"/>
      <c r="E3" s="39"/>
      <c r="F3" s="39"/>
      <c r="G3" s="39"/>
      <c r="H3" s="39"/>
      <c r="I3" s="39"/>
      <c r="J3" s="39"/>
      <c r="K3" s="39"/>
      <c r="L3" s="39"/>
      <c r="M3" s="39"/>
      <c r="N3" s="39"/>
      <c r="O3" s="39"/>
      <c r="P3" s="39"/>
      <c r="Q3" s="39"/>
      <c r="R3" s="39"/>
      <c r="S3" s="39"/>
      <c r="T3" s="39"/>
      <c r="U3" s="39"/>
    </row>
    <row r="4">
      <c r="A4" s="39"/>
      <c r="B4" s="39"/>
      <c r="C4" s="39"/>
      <c r="D4" s="39"/>
      <c r="E4" s="39"/>
      <c r="F4" s="39"/>
      <c r="G4" s="39"/>
      <c r="H4" s="39"/>
      <c r="I4" s="39"/>
      <c r="J4" s="39"/>
      <c r="K4" s="39"/>
      <c r="L4" s="39"/>
      <c r="M4" s="39"/>
      <c r="N4" s="39"/>
      <c r="O4" s="39"/>
      <c r="P4" s="39"/>
      <c r="Q4" s="39"/>
      <c r="R4" s="39"/>
      <c r="S4" s="39"/>
      <c r="T4" s="39"/>
      <c r="U4" s="39"/>
    </row>
    <row r="5">
      <c r="A5" s="39"/>
      <c r="B5" s="116" t="s">
        <v>301</v>
      </c>
      <c r="C5" s="116" t="s">
        <v>243</v>
      </c>
      <c r="D5" s="116" t="s">
        <v>302</v>
      </c>
      <c r="E5" s="116" t="s">
        <v>303</v>
      </c>
      <c r="F5" s="117" t="s">
        <v>304</v>
      </c>
      <c r="G5" s="117" t="s">
        <v>305</v>
      </c>
      <c r="H5" s="117" t="s">
        <v>306</v>
      </c>
      <c r="I5" s="117" t="s">
        <v>307</v>
      </c>
      <c r="J5" s="117" t="s">
        <v>93</v>
      </c>
      <c r="K5" s="117" t="s">
        <v>308</v>
      </c>
      <c r="L5" s="117" t="s">
        <v>309</v>
      </c>
      <c r="M5" s="117" t="s">
        <v>310</v>
      </c>
      <c r="N5" s="117" t="s">
        <v>311</v>
      </c>
      <c r="O5" s="117" t="s">
        <v>312</v>
      </c>
      <c r="P5" s="117" t="s">
        <v>313</v>
      </c>
      <c r="Q5" s="117" t="s">
        <v>314</v>
      </c>
      <c r="R5" s="117" t="s">
        <v>315</v>
      </c>
      <c r="S5" s="39"/>
      <c r="T5" s="118" t="s">
        <v>316</v>
      </c>
      <c r="U5" s="39"/>
    </row>
    <row r="6">
      <c r="A6" s="119"/>
      <c r="B6" s="119"/>
      <c r="C6" s="119"/>
      <c r="D6" s="120"/>
      <c r="E6" s="120"/>
      <c r="F6" s="120"/>
      <c r="G6" s="119"/>
      <c r="H6" s="120"/>
      <c r="I6" s="120"/>
      <c r="J6" s="119"/>
      <c r="K6" s="119"/>
      <c r="L6" s="119"/>
      <c r="M6" s="119"/>
      <c r="N6" s="119"/>
      <c r="O6" s="119"/>
      <c r="P6" s="119"/>
      <c r="Q6" s="119"/>
      <c r="R6" s="119"/>
      <c r="S6" s="119"/>
      <c r="T6" s="119"/>
      <c r="U6" s="119"/>
    </row>
    <row r="7">
      <c r="A7" s="119"/>
      <c r="B7" s="109" t="s">
        <v>317</v>
      </c>
      <c r="C7" s="102" t="s">
        <v>318</v>
      </c>
      <c r="D7" s="101" t="s">
        <v>319</v>
      </c>
      <c r="E7" s="101" t="s">
        <v>320</v>
      </c>
      <c r="F7" s="121" t="b">
        <v>1</v>
      </c>
      <c r="G7" s="122" t="b">
        <v>0</v>
      </c>
      <c r="H7" s="121" t="b">
        <v>0</v>
      </c>
      <c r="I7" s="121" t="b">
        <v>1</v>
      </c>
      <c r="J7" s="122" t="b">
        <v>0</v>
      </c>
      <c r="K7" s="122" t="b">
        <v>0</v>
      </c>
      <c r="L7" s="122" t="b">
        <v>0</v>
      </c>
      <c r="M7" s="122" t="b">
        <v>0</v>
      </c>
      <c r="N7" s="122" t="b">
        <v>0</v>
      </c>
      <c r="O7" s="122" t="b">
        <v>0</v>
      </c>
      <c r="P7" s="122" t="b">
        <v>0</v>
      </c>
      <c r="Q7" s="122" t="b">
        <v>0</v>
      </c>
      <c r="R7" s="122" t="b">
        <v>0</v>
      </c>
      <c r="S7" s="123"/>
      <c r="T7" s="122" t="b">
        <v>0</v>
      </c>
      <c r="U7" s="119"/>
    </row>
    <row r="8">
      <c r="A8" s="119"/>
      <c r="B8" s="112" t="s">
        <v>266</v>
      </c>
      <c r="C8" s="104" t="s">
        <v>321</v>
      </c>
      <c r="D8" s="103" t="s">
        <v>319</v>
      </c>
      <c r="E8" s="103" t="s">
        <v>320</v>
      </c>
      <c r="F8" s="124" t="b">
        <v>1</v>
      </c>
      <c r="G8" s="125" t="b">
        <v>1</v>
      </c>
      <c r="H8" s="124" t="b">
        <v>0</v>
      </c>
      <c r="I8" s="124" t="b">
        <v>1</v>
      </c>
      <c r="J8" s="125" t="b">
        <v>0</v>
      </c>
      <c r="K8" s="125" t="b">
        <v>0</v>
      </c>
      <c r="L8" s="125" t="b">
        <v>0</v>
      </c>
      <c r="M8" s="125" t="b">
        <v>0</v>
      </c>
      <c r="N8" s="125" t="b">
        <v>0</v>
      </c>
      <c r="O8" s="125" t="b">
        <v>0</v>
      </c>
      <c r="P8" s="125" t="b">
        <v>0</v>
      </c>
      <c r="Q8" s="125" t="b">
        <v>0</v>
      </c>
      <c r="R8" s="125" t="b">
        <v>0</v>
      </c>
      <c r="S8" s="126"/>
      <c r="T8" s="125" t="b">
        <v>0</v>
      </c>
      <c r="U8" s="119"/>
    </row>
    <row r="9">
      <c r="A9" s="119"/>
      <c r="B9" s="109" t="s">
        <v>322</v>
      </c>
      <c r="C9" s="102" t="s">
        <v>323</v>
      </c>
      <c r="D9" s="101" t="s">
        <v>324</v>
      </c>
      <c r="E9" s="101" t="s">
        <v>320</v>
      </c>
      <c r="F9" s="121" t="b">
        <v>1</v>
      </c>
      <c r="G9" s="121" t="b">
        <v>1</v>
      </c>
      <c r="H9" s="121" t="b">
        <v>0</v>
      </c>
      <c r="I9" s="121" t="b">
        <v>1</v>
      </c>
      <c r="J9" s="122" t="b">
        <v>1</v>
      </c>
      <c r="K9" s="121" t="b">
        <v>0</v>
      </c>
      <c r="L9" s="122" t="b">
        <v>0</v>
      </c>
      <c r="M9" s="122" t="b">
        <v>0</v>
      </c>
      <c r="N9" s="121" t="b">
        <v>0</v>
      </c>
      <c r="O9" s="122" t="b">
        <v>0</v>
      </c>
      <c r="P9" s="122" t="b">
        <v>0</v>
      </c>
      <c r="Q9" s="122" t="b">
        <v>0</v>
      </c>
      <c r="R9" s="122" t="b">
        <v>0</v>
      </c>
      <c r="S9" s="123"/>
      <c r="T9" s="122" t="b">
        <v>0</v>
      </c>
      <c r="U9" s="119"/>
    </row>
    <row r="10">
      <c r="A10" s="119"/>
      <c r="B10" s="112" t="s">
        <v>325</v>
      </c>
      <c r="C10" s="104" t="s">
        <v>326</v>
      </c>
      <c r="D10" s="103" t="s">
        <v>324</v>
      </c>
      <c r="E10" s="127" t="s">
        <v>327</v>
      </c>
      <c r="F10" s="124" t="b">
        <v>1</v>
      </c>
      <c r="G10" s="124" t="b">
        <v>1</v>
      </c>
      <c r="H10" s="124" t="b">
        <v>0</v>
      </c>
      <c r="I10" s="124" t="b">
        <v>1</v>
      </c>
      <c r="J10" s="125" t="b">
        <v>1</v>
      </c>
      <c r="K10" s="124" t="b">
        <v>0</v>
      </c>
      <c r="L10" s="124" t="b">
        <v>0</v>
      </c>
      <c r="M10" s="125" t="b">
        <v>0</v>
      </c>
      <c r="N10" s="125" t="b">
        <v>0</v>
      </c>
      <c r="O10" s="125" t="b">
        <v>0</v>
      </c>
      <c r="P10" s="125" t="b">
        <v>0</v>
      </c>
      <c r="Q10" s="125" t="b">
        <v>0</v>
      </c>
      <c r="R10" s="125" t="b">
        <v>1</v>
      </c>
      <c r="S10" s="126"/>
      <c r="T10" s="125" t="b">
        <v>0</v>
      </c>
      <c r="U10" s="119"/>
    </row>
    <row r="11">
      <c r="A11" s="119"/>
      <c r="B11" s="109" t="s">
        <v>328</v>
      </c>
      <c r="C11" s="102" t="s">
        <v>272</v>
      </c>
      <c r="D11" s="101" t="s">
        <v>324</v>
      </c>
      <c r="E11" s="128" t="s">
        <v>329</v>
      </c>
      <c r="F11" s="121" t="b">
        <v>1</v>
      </c>
      <c r="G11" s="121" t="b">
        <v>1</v>
      </c>
      <c r="H11" s="121" t="b">
        <v>1</v>
      </c>
      <c r="I11" s="121" t="b">
        <v>1</v>
      </c>
      <c r="J11" s="122" t="b">
        <v>1</v>
      </c>
      <c r="K11" s="121" t="b">
        <v>1</v>
      </c>
      <c r="L11" s="121" t="b">
        <v>0</v>
      </c>
      <c r="M11" s="122" t="b">
        <v>0</v>
      </c>
      <c r="N11" s="122" t="b">
        <v>1</v>
      </c>
      <c r="O11" s="122" t="b">
        <v>1</v>
      </c>
      <c r="P11" s="122" t="b">
        <v>0</v>
      </c>
      <c r="Q11" s="122" t="b">
        <v>0</v>
      </c>
      <c r="R11" s="122" t="b">
        <v>1</v>
      </c>
      <c r="S11" s="123"/>
      <c r="T11" s="122" t="b">
        <v>0</v>
      </c>
      <c r="U11" s="119"/>
    </row>
    <row r="12">
      <c r="A12" s="119"/>
      <c r="B12" s="103" t="s">
        <v>273</v>
      </c>
      <c r="C12" s="104" t="s">
        <v>330</v>
      </c>
      <c r="D12" s="103" t="s">
        <v>324</v>
      </c>
      <c r="E12" s="127" t="s">
        <v>331</v>
      </c>
      <c r="F12" s="124" t="b">
        <v>1</v>
      </c>
      <c r="G12" s="124" t="b">
        <v>1</v>
      </c>
      <c r="H12" s="124" t="b">
        <v>1</v>
      </c>
      <c r="I12" s="124" t="b">
        <v>1</v>
      </c>
      <c r="J12" s="124" t="b">
        <v>1</v>
      </c>
      <c r="K12" s="124" t="b">
        <v>1</v>
      </c>
      <c r="L12" s="124" t="b">
        <v>1</v>
      </c>
      <c r="M12" s="124" t="b">
        <v>1</v>
      </c>
      <c r="N12" s="124" t="b">
        <v>1</v>
      </c>
      <c r="O12" s="124" t="b">
        <v>1</v>
      </c>
      <c r="P12" s="125" t="b">
        <v>0</v>
      </c>
      <c r="Q12" s="124" t="b">
        <v>0</v>
      </c>
      <c r="R12" s="125" t="b">
        <v>1</v>
      </c>
      <c r="S12" s="126"/>
      <c r="T12" s="125" t="b">
        <v>0</v>
      </c>
      <c r="U12" s="119"/>
    </row>
    <row r="13">
      <c r="A13" s="119"/>
      <c r="B13" s="101" t="s">
        <v>332</v>
      </c>
      <c r="C13" s="102" t="s">
        <v>333</v>
      </c>
      <c r="D13" s="101" t="s">
        <v>324</v>
      </c>
      <c r="E13" s="128" t="s">
        <v>320</v>
      </c>
      <c r="F13" s="121" t="b">
        <v>1</v>
      </c>
      <c r="G13" s="121" t="b">
        <v>0</v>
      </c>
      <c r="H13" s="121" t="b">
        <v>0</v>
      </c>
      <c r="I13" s="121" t="b">
        <v>1</v>
      </c>
      <c r="J13" s="121" t="b">
        <v>0</v>
      </c>
      <c r="K13" s="121" t="b">
        <v>0</v>
      </c>
      <c r="L13" s="121" t="b">
        <v>1</v>
      </c>
      <c r="M13" s="121" t="b">
        <v>0</v>
      </c>
      <c r="N13" s="121" t="b">
        <v>0</v>
      </c>
      <c r="O13" s="121" t="b">
        <v>0</v>
      </c>
      <c r="P13" s="122" t="b">
        <v>0</v>
      </c>
      <c r="Q13" s="121" t="b">
        <v>0</v>
      </c>
      <c r="R13" s="122" t="b">
        <v>0</v>
      </c>
      <c r="S13" s="123"/>
      <c r="T13" s="122" t="b">
        <v>0</v>
      </c>
      <c r="U13" s="119"/>
    </row>
    <row r="14">
      <c r="A14" s="119"/>
      <c r="B14" s="112" t="s">
        <v>281</v>
      </c>
      <c r="C14" s="104" t="s">
        <v>334</v>
      </c>
      <c r="D14" s="103" t="s">
        <v>324</v>
      </c>
      <c r="E14" s="127" t="s">
        <v>320</v>
      </c>
      <c r="F14" s="124" t="b">
        <v>1</v>
      </c>
      <c r="G14" s="124" t="b">
        <v>1</v>
      </c>
      <c r="H14" s="125" t="b">
        <v>0</v>
      </c>
      <c r="I14" s="125" t="b">
        <v>0</v>
      </c>
      <c r="J14" s="125" t="b">
        <v>0</v>
      </c>
      <c r="K14" s="125" t="b">
        <v>0</v>
      </c>
      <c r="L14" s="125" t="b">
        <v>0</v>
      </c>
      <c r="M14" s="125" t="b">
        <v>0</v>
      </c>
      <c r="N14" s="125" t="b">
        <v>0</v>
      </c>
      <c r="O14" s="125" t="b">
        <v>0</v>
      </c>
      <c r="P14" s="124" t="b">
        <v>1</v>
      </c>
      <c r="Q14" s="124" t="b">
        <v>0</v>
      </c>
      <c r="R14" s="125" t="b">
        <v>0</v>
      </c>
      <c r="S14" s="126"/>
      <c r="T14" s="125" t="b">
        <v>1</v>
      </c>
      <c r="U14" s="119"/>
    </row>
    <row r="15">
      <c r="A15" s="119"/>
      <c r="B15" s="101" t="s">
        <v>284</v>
      </c>
      <c r="C15" s="102" t="s">
        <v>286</v>
      </c>
      <c r="D15" s="101" t="s">
        <v>335</v>
      </c>
      <c r="E15" s="101" t="s">
        <v>320</v>
      </c>
      <c r="F15" s="121" t="b">
        <v>0</v>
      </c>
      <c r="G15" s="121" t="b">
        <v>0</v>
      </c>
      <c r="H15" s="122" t="b">
        <v>0</v>
      </c>
      <c r="I15" s="122" t="b">
        <v>0</v>
      </c>
      <c r="J15" s="121" t="b">
        <v>0</v>
      </c>
      <c r="K15" s="122" t="b">
        <v>0</v>
      </c>
      <c r="L15" s="122" t="b">
        <v>0</v>
      </c>
      <c r="M15" s="122" t="b">
        <v>0</v>
      </c>
      <c r="N15" s="122" t="b">
        <v>0</v>
      </c>
      <c r="O15" s="122" t="b">
        <v>0</v>
      </c>
      <c r="P15" s="121" t="b">
        <v>0</v>
      </c>
      <c r="Q15" s="121" t="b">
        <v>1</v>
      </c>
      <c r="R15" s="122" t="b">
        <v>0</v>
      </c>
      <c r="S15" s="123"/>
      <c r="T15" s="122" t="b">
        <v>0</v>
      </c>
      <c r="U15" s="119"/>
    </row>
    <row r="16">
      <c r="A16" s="119"/>
      <c r="B16" s="112" t="s">
        <v>287</v>
      </c>
      <c r="C16" s="104" t="s">
        <v>336</v>
      </c>
      <c r="D16" s="103" t="s">
        <v>335</v>
      </c>
      <c r="E16" s="103" t="s">
        <v>320</v>
      </c>
      <c r="F16" s="124" t="b">
        <v>0</v>
      </c>
      <c r="G16" s="124" t="b">
        <v>0</v>
      </c>
      <c r="H16" s="125" t="b">
        <v>0</v>
      </c>
      <c r="I16" s="125" t="b">
        <v>0</v>
      </c>
      <c r="J16" s="125" t="b">
        <v>0</v>
      </c>
      <c r="K16" s="125" t="b">
        <v>0</v>
      </c>
      <c r="L16" s="125" t="b">
        <v>0</v>
      </c>
      <c r="M16" s="125" t="b">
        <v>0</v>
      </c>
      <c r="N16" s="125" t="b">
        <v>0</v>
      </c>
      <c r="O16" s="125" t="b">
        <v>0</v>
      </c>
      <c r="P16" s="124" t="b">
        <v>0</v>
      </c>
      <c r="Q16" s="125" t="b">
        <v>1</v>
      </c>
      <c r="R16" s="125" t="b">
        <v>0</v>
      </c>
      <c r="S16" s="126"/>
      <c r="T16" s="125" t="b">
        <v>0</v>
      </c>
      <c r="U16" s="119"/>
    </row>
    <row r="17">
      <c r="A17" s="119"/>
      <c r="B17" s="109" t="s">
        <v>337</v>
      </c>
      <c r="C17" s="102" t="s">
        <v>338</v>
      </c>
      <c r="D17" s="101" t="s">
        <v>335</v>
      </c>
      <c r="E17" s="101" t="s">
        <v>320</v>
      </c>
      <c r="F17" s="122" t="b">
        <v>0</v>
      </c>
      <c r="G17" s="122" t="b">
        <v>0</v>
      </c>
      <c r="H17" s="122" t="b">
        <v>0</v>
      </c>
      <c r="I17" s="122" t="b">
        <v>0</v>
      </c>
      <c r="J17" s="122" t="b">
        <v>0</v>
      </c>
      <c r="K17" s="122" t="b">
        <v>0</v>
      </c>
      <c r="L17" s="122" t="b">
        <v>0</v>
      </c>
      <c r="M17" s="122" t="b">
        <v>0</v>
      </c>
      <c r="N17" s="122" t="b">
        <v>0</v>
      </c>
      <c r="O17" s="122" t="b">
        <v>0</v>
      </c>
      <c r="P17" s="122" t="b">
        <v>0</v>
      </c>
      <c r="Q17" s="121" t="b">
        <v>0</v>
      </c>
      <c r="R17" s="122" t="b">
        <v>1</v>
      </c>
      <c r="S17" s="123"/>
      <c r="T17" s="122" t="b">
        <v>0</v>
      </c>
      <c r="U17" s="119"/>
    </row>
    <row r="18">
      <c r="A18" s="39"/>
      <c r="B18" s="112" t="s">
        <v>339</v>
      </c>
      <c r="C18" s="129" t="s">
        <v>277</v>
      </c>
      <c r="D18" s="103" t="s">
        <v>340</v>
      </c>
      <c r="E18" s="103" t="s">
        <v>341</v>
      </c>
      <c r="F18" s="125" t="b">
        <v>0</v>
      </c>
      <c r="G18" s="125" t="b">
        <v>0</v>
      </c>
      <c r="H18" s="125" t="b">
        <v>0</v>
      </c>
      <c r="I18" s="125" t="b">
        <v>0</v>
      </c>
      <c r="J18" s="125" t="b">
        <v>0</v>
      </c>
      <c r="K18" s="125" t="b">
        <v>0</v>
      </c>
      <c r="L18" s="125" t="b">
        <v>0</v>
      </c>
      <c r="M18" s="125" t="b">
        <v>0</v>
      </c>
      <c r="N18" s="125" t="b">
        <v>0</v>
      </c>
      <c r="O18" s="125" t="b">
        <v>0</v>
      </c>
      <c r="P18" s="125" t="b">
        <v>0</v>
      </c>
      <c r="Q18" s="124" t="b">
        <v>0</v>
      </c>
      <c r="R18" s="125" t="b">
        <v>0</v>
      </c>
      <c r="S18" s="130"/>
      <c r="T18" s="125" t="b">
        <v>0</v>
      </c>
      <c r="U18" s="119"/>
    </row>
    <row r="19">
      <c r="F19" s="22"/>
      <c r="G19" s="22"/>
      <c r="H19" s="22"/>
      <c r="I19" s="22"/>
      <c r="J19" s="22"/>
      <c r="K19" s="22"/>
      <c r="L19" s="22"/>
      <c r="M19" s="22"/>
      <c r="N19" s="22"/>
      <c r="O19" s="22"/>
      <c r="P19" s="22"/>
      <c r="Q19" s="22"/>
      <c r="R19" s="22"/>
    </row>
  </sheetData>
  <hyperlinks>
    <hyperlink r:id="rId1" ref="C7"/>
    <hyperlink r:id="rId2" ref="C8"/>
    <hyperlink r:id="rId3" ref="C9"/>
    <hyperlink r:id="rId4" ref="C10"/>
    <hyperlink r:id="rId5" ref="C11"/>
    <hyperlink r:id="rId6" ref="C12"/>
    <hyperlink r:id="rId7" ref="C13"/>
    <hyperlink r:id="rId8" ref="C14"/>
    <hyperlink r:id="rId9" ref="C15"/>
    <hyperlink r:id="rId10" ref="C16"/>
    <hyperlink r:id="rId11" ref="C17"/>
  </hyperlinks>
  <drawing r:id="rId12"/>
  <tableParts count="1">
    <tablePart r:id="rId1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31.63"/>
    <col customWidth="1" min="3" max="3" width="80.25"/>
  </cols>
  <sheetData>
    <row r="2">
      <c r="B2" s="2" t="s">
        <v>39</v>
      </c>
    </row>
    <row r="3">
      <c r="B3" s="23" t="s">
        <v>342</v>
      </c>
    </row>
    <row r="4">
      <c r="B4" s="16"/>
    </row>
    <row r="5">
      <c r="B5" s="27" t="s">
        <v>343</v>
      </c>
      <c r="C5" s="27" t="s">
        <v>344</v>
      </c>
    </row>
    <row r="6">
      <c r="B6" s="17"/>
      <c r="C6" s="17"/>
    </row>
    <row r="7">
      <c r="B7" s="9" t="s">
        <v>345</v>
      </c>
      <c r="C7" s="9" t="s">
        <v>346</v>
      </c>
    </row>
    <row r="8">
      <c r="B8" s="9" t="s">
        <v>347</v>
      </c>
      <c r="C8" s="9" t="s">
        <v>348</v>
      </c>
    </row>
    <row r="9">
      <c r="B9" s="9" t="s">
        <v>349</v>
      </c>
      <c r="C9" s="9" t="s">
        <v>350</v>
      </c>
    </row>
    <row r="10">
      <c r="B10" s="9" t="s">
        <v>351</v>
      </c>
      <c r="C10" s="9" t="s">
        <v>352</v>
      </c>
    </row>
    <row r="11">
      <c r="B11" s="9" t="s">
        <v>178</v>
      </c>
      <c r="C11" s="9" t="s">
        <v>353</v>
      </c>
    </row>
    <row r="12">
      <c r="B12" s="9" t="s">
        <v>172</v>
      </c>
      <c r="C12" s="9" t="s">
        <v>354</v>
      </c>
    </row>
    <row r="13">
      <c r="B13" s="9" t="s">
        <v>355</v>
      </c>
      <c r="C13" s="9" t="s">
        <v>356</v>
      </c>
    </row>
    <row r="14">
      <c r="B14" s="9" t="s">
        <v>184</v>
      </c>
      <c r="C14" s="9" t="s">
        <v>357</v>
      </c>
    </row>
    <row r="15">
      <c r="B15" s="9" t="s">
        <v>185</v>
      </c>
      <c r="C15" s="9" t="s">
        <v>358</v>
      </c>
    </row>
    <row r="16">
      <c r="B16" s="9" t="s">
        <v>166</v>
      </c>
      <c r="C16" s="9" t="s">
        <v>359</v>
      </c>
    </row>
    <row r="17">
      <c r="B17" s="9" t="s">
        <v>82</v>
      </c>
      <c r="C17" s="9" t="s">
        <v>360</v>
      </c>
    </row>
    <row r="18">
      <c r="B18" s="131" t="s">
        <v>140</v>
      </c>
      <c r="C18" s="9" t="s">
        <v>361</v>
      </c>
    </row>
    <row r="19">
      <c r="B19" s="132" t="s">
        <v>186</v>
      </c>
      <c r="C19" s="9" t="s">
        <v>362</v>
      </c>
    </row>
    <row r="20">
      <c r="B20" s="132" t="s">
        <v>187</v>
      </c>
      <c r="C20" s="9" t="s">
        <v>363</v>
      </c>
    </row>
    <row r="21">
      <c r="B21" s="132" t="s">
        <v>141</v>
      </c>
      <c r="C21" s="9" t="s">
        <v>364</v>
      </c>
    </row>
    <row r="22">
      <c r="B22" s="132" t="s">
        <v>365</v>
      </c>
      <c r="C22" s="9" t="s">
        <v>366</v>
      </c>
    </row>
    <row r="23">
      <c r="B23" s="132" t="s">
        <v>367</v>
      </c>
      <c r="C23" s="9" t="s">
        <v>368</v>
      </c>
    </row>
    <row r="24">
      <c r="B24" s="132" t="s">
        <v>369</v>
      </c>
      <c r="C24" s="9" t="s">
        <v>370</v>
      </c>
    </row>
    <row r="25">
      <c r="B25" s="131" t="s">
        <v>142</v>
      </c>
      <c r="C25" s="9" t="s">
        <v>371</v>
      </c>
    </row>
    <row r="26">
      <c r="B26" s="131" t="s">
        <v>188</v>
      </c>
      <c r="C26" s="9" t="s">
        <v>372</v>
      </c>
    </row>
    <row r="27">
      <c r="B27" s="131" t="s">
        <v>191</v>
      </c>
      <c r="C27" s="9" t="s">
        <v>373</v>
      </c>
    </row>
    <row r="28">
      <c r="B28" s="131" t="s">
        <v>193</v>
      </c>
      <c r="C28" s="9" t="s">
        <v>374</v>
      </c>
    </row>
    <row r="29">
      <c r="B29" s="131" t="s">
        <v>195</v>
      </c>
      <c r="C29" s="9" t="s">
        <v>196</v>
      </c>
    </row>
    <row r="30">
      <c r="B30" s="131" t="s">
        <v>202</v>
      </c>
      <c r="C30" s="9" t="s">
        <v>375</v>
      </c>
    </row>
    <row r="31">
      <c r="B31" s="131" t="s">
        <v>203</v>
      </c>
      <c r="C31" s="9" t="s">
        <v>376</v>
      </c>
    </row>
    <row r="32">
      <c r="B32" s="131" t="s">
        <v>204</v>
      </c>
      <c r="C32" s="9" t="s">
        <v>377</v>
      </c>
    </row>
    <row r="33">
      <c r="B33" s="131" t="s">
        <v>205</v>
      </c>
      <c r="C33" s="9" t="s">
        <v>378</v>
      </c>
    </row>
    <row r="34">
      <c r="B34" s="131" t="s">
        <v>209</v>
      </c>
      <c r="C34" s="9" t="s">
        <v>379</v>
      </c>
    </row>
    <row r="35">
      <c r="B35" s="131" t="s">
        <v>143</v>
      </c>
      <c r="C35" s="9" t="s">
        <v>380</v>
      </c>
    </row>
    <row r="36">
      <c r="B36" s="131" t="s">
        <v>147</v>
      </c>
      <c r="C36" s="9" t="s">
        <v>381</v>
      </c>
    </row>
    <row r="37">
      <c r="B37" s="131" t="s">
        <v>210</v>
      </c>
      <c r="C37" s="9" t="s">
        <v>382</v>
      </c>
    </row>
    <row r="38">
      <c r="B38" s="131" t="s">
        <v>145</v>
      </c>
      <c r="C38" s="9" t="s">
        <v>383</v>
      </c>
    </row>
    <row r="39">
      <c r="B39" s="131" t="s">
        <v>149</v>
      </c>
      <c r="C39" s="9" t="s">
        <v>384</v>
      </c>
    </row>
    <row r="40">
      <c r="B40" s="131" t="s">
        <v>211</v>
      </c>
      <c r="C40" s="9" t="s">
        <v>385</v>
      </c>
    </row>
    <row r="41">
      <c r="B41" s="9" t="s">
        <v>386</v>
      </c>
      <c r="C41" s="9" t="s">
        <v>387</v>
      </c>
    </row>
    <row r="42">
      <c r="B42" s="9" t="s">
        <v>388</v>
      </c>
      <c r="C42" s="9" t="s">
        <v>389</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7.63"/>
    <col customWidth="1" min="3" max="3" width="16.0"/>
    <col customWidth="1" min="4" max="4" width="87.5"/>
  </cols>
  <sheetData>
    <row r="1">
      <c r="C1" s="133"/>
    </row>
    <row r="2">
      <c r="B2" s="2" t="s">
        <v>41</v>
      </c>
      <c r="C2" s="133"/>
    </row>
    <row r="3">
      <c r="B3" s="23" t="s">
        <v>390</v>
      </c>
      <c r="C3" s="133"/>
    </row>
    <row r="4">
      <c r="B4" s="16"/>
      <c r="C4" s="133"/>
    </row>
    <row r="5">
      <c r="B5" s="27" t="s">
        <v>391</v>
      </c>
      <c r="C5" s="30" t="s">
        <v>392</v>
      </c>
      <c r="D5" s="27" t="s">
        <v>344</v>
      </c>
    </row>
    <row r="6">
      <c r="B6" s="17"/>
      <c r="C6" s="134"/>
      <c r="D6" s="17"/>
    </row>
    <row r="7">
      <c r="B7" s="135" t="s">
        <v>393</v>
      </c>
      <c r="C7" s="136">
        <v>45268.0</v>
      </c>
      <c r="D7" s="135" t="s">
        <v>394</v>
      </c>
    </row>
    <row r="8">
      <c r="B8" s="135" t="s">
        <v>395</v>
      </c>
      <c r="C8" s="136">
        <v>45266.0</v>
      </c>
      <c r="D8" s="135" t="s">
        <v>396</v>
      </c>
    </row>
    <row r="9">
      <c r="B9" s="137" t="s">
        <v>397</v>
      </c>
      <c r="C9" s="136">
        <v>45238.0</v>
      </c>
      <c r="D9" s="137" t="s">
        <v>398</v>
      </c>
    </row>
    <row r="10">
      <c r="B10" s="9" t="s">
        <v>399</v>
      </c>
      <c r="C10" s="136">
        <v>45237.0</v>
      </c>
      <c r="D10" s="138" t="s">
        <v>400</v>
      </c>
    </row>
    <row r="11">
      <c r="B11" s="9" t="s">
        <v>401</v>
      </c>
      <c r="C11" s="136">
        <v>44707.0</v>
      </c>
      <c r="D11" s="138" t="s">
        <v>402</v>
      </c>
    </row>
    <row r="12">
      <c r="B12" s="9" t="s">
        <v>403</v>
      </c>
      <c r="C12" s="136">
        <v>44669.0</v>
      </c>
      <c r="D12" s="138" t="s">
        <v>404</v>
      </c>
    </row>
    <row r="13">
      <c r="B13" s="9" t="s">
        <v>405</v>
      </c>
      <c r="C13" s="136">
        <v>44624.0</v>
      </c>
      <c r="D13" s="138" t="s">
        <v>406</v>
      </c>
    </row>
    <row r="14">
      <c r="B14" s="9" t="s">
        <v>407</v>
      </c>
      <c r="C14" s="136">
        <v>44470.0</v>
      </c>
      <c r="D14" s="138" t="s">
        <v>408</v>
      </c>
    </row>
    <row r="15">
      <c r="C15" s="133"/>
    </row>
  </sheetData>
  <drawing r:id="rId1"/>
  <tableParts count="1">
    <tablePart r:id="rId3"/>
  </tableParts>
</worksheet>
</file>